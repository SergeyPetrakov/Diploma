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ergeypetrakov/Documents/Documents/Диплом /ВКР/Diploma/"/>
    </mc:Choice>
  </mc:AlternateContent>
  <xr:revisionPtr revIDLastSave="0" documentId="13_ncr:1_{1FF91DD0-07FB-BE4D-8A14-4E42B7F09781}" xr6:coauthVersionLast="46" xr6:coauthVersionMax="46" xr10:uidLastSave="{00000000-0000-0000-0000-000000000000}"/>
  <bookViews>
    <workbookView xWindow="21360" yWindow="500" windowWidth="13620" windowHeight="19820" xr2:uid="{00000000-000D-0000-FFFF-FFFF00000000}"/>
  </bookViews>
  <sheets>
    <sheet name="Summary" sheetId="6" r:id="rId1"/>
    <sheet name="Цены" sheetId="1" r:id="rId2"/>
    <sheet name="Доходности" sheetId="5" r:id="rId3"/>
    <sheet name="Рекомы_CAPM" sheetId="2" r:id="rId4"/>
    <sheet name="Рекомы_Фама_Френч" sheetId="3" r:id="rId5"/>
    <sheet name="Рекомы_Лассо" sheetId="4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2" i="5" l="1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X62" i="5"/>
  <c r="Y62" i="5"/>
  <c r="Z62" i="5"/>
  <c r="AA62" i="5"/>
  <c r="AB62" i="5"/>
  <c r="AC62" i="5"/>
  <c r="AD62" i="5"/>
  <c r="AE62" i="5"/>
  <c r="AF62" i="5"/>
  <c r="AG62" i="5"/>
  <c r="AH62" i="5"/>
  <c r="AI62" i="5"/>
  <c r="AJ62" i="5"/>
  <c r="AK62" i="5"/>
  <c r="AL62" i="5"/>
  <c r="AM62" i="5"/>
  <c r="AN62" i="5"/>
  <c r="AO62" i="5"/>
  <c r="AP62" i="5"/>
  <c r="AQ62" i="5"/>
  <c r="AR62" i="5"/>
  <c r="AS62" i="5"/>
  <c r="AT62" i="5"/>
  <c r="AU62" i="5"/>
  <c r="AV62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X63" i="5"/>
  <c r="Y63" i="5"/>
  <c r="Z63" i="5"/>
  <c r="AA63" i="5"/>
  <c r="AB63" i="5"/>
  <c r="AC63" i="5"/>
  <c r="AD63" i="5"/>
  <c r="AE63" i="5"/>
  <c r="AF63" i="5"/>
  <c r="AG63" i="5"/>
  <c r="AH63" i="5"/>
  <c r="AI63" i="5"/>
  <c r="AJ63" i="5"/>
  <c r="AK63" i="5"/>
  <c r="AL63" i="5"/>
  <c r="AM63" i="5"/>
  <c r="AN63" i="5"/>
  <c r="AO63" i="5"/>
  <c r="AP63" i="5"/>
  <c r="AQ63" i="5"/>
  <c r="AR63" i="5"/>
  <c r="AS63" i="5"/>
  <c r="AT63" i="5"/>
  <c r="AU63" i="5"/>
  <c r="AV63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H65" i="5"/>
  <c r="AI65" i="5"/>
  <c r="AJ65" i="5"/>
  <c r="AK65" i="5"/>
  <c r="AL65" i="5"/>
  <c r="AM65" i="5"/>
  <c r="AN65" i="5"/>
  <c r="AO65" i="5"/>
  <c r="AP65" i="5"/>
  <c r="AQ65" i="5"/>
  <c r="AR65" i="5"/>
  <c r="AS65" i="5"/>
  <c r="AT65" i="5"/>
  <c r="AU65" i="5"/>
  <c r="AV65" i="5"/>
  <c r="C62" i="5"/>
  <c r="C63" i="5"/>
  <c r="C64" i="5"/>
  <c r="C65" i="5"/>
  <c r="C2" i="5" l="1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U34" i="5"/>
  <c r="AV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AU35" i="5"/>
  <c r="AV35" i="5"/>
  <c r="C36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C37" i="5"/>
  <c r="D37" i="5"/>
  <c r="E37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AU37" i="5"/>
  <c r="AV37" i="5"/>
  <c r="C38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U38" i="5"/>
  <c r="AV38" i="5"/>
  <c r="C39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C40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C41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C42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C43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AT43" i="5"/>
  <c r="AU43" i="5"/>
  <c r="AV43" i="5"/>
  <c r="C44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C45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U45" i="5"/>
  <c r="AV45" i="5"/>
  <c r="C46" i="5"/>
  <c r="D46" i="5"/>
  <c r="E46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U46" i="5"/>
  <c r="AV46" i="5"/>
  <c r="C47" i="5"/>
  <c r="D47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AT47" i="5"/>
  <c r="AU47" i="5"/>
  <c r="AV47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C50" i="5"/>
  <c r="D50" i="5"/>
  <c r="E50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AU50" i="5"/>
  <c r="AV50" i="5"/>
  <c r="C51" i="5"/>
  <c r="D51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AV51" i="5"/>
  <c r="C52" i="5"/>
  <c r="D52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U53" i="5"/>
  <c r="AV53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R54" i="5"/>
  <c r="AS54" i="5"/>
  <c r="AT54" i="5"/>
  <c r="AU54" i="5"/>
  <c r="AV54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AT57" i="5"/>
  <c r="AU57" i="5"/>
  <c r="AV57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Y58" i="5"/>
  <c r="Z58" i="5"/>
  <c r="AA58" i="5"/>
  <c r="AB58" i="5"/>
  <c r="AC58" i="5"/>
  <c r="AD58" i="5"/>
  <c r="AE58" i="5"/>
  <c r="AF58" i="5"/>
  <c r="AG58" i="5"/>
  <c r="AH58" i="5"/>
  <c r="AI58" i="5"/>
  <c r="AJ58" i="5"/>
  <c r="AK58" i="5"/>
  <c r="AL58" i="5"/>
  <c r="AM58" i="5"/>
  <c r="AN58" i="5"/>
  <c r="AO58" i="5"/>
  <c r="AP58" i="5"/>
  <c r="AQ58" i="5"/>
  <c r="AR58" i="5"/>
  <c r="AS58" i="5"/>
  <c r="AT58" i="5"/>
  <c r="AU58" i="5"/>
  <c r="AV58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AT59" i="5"/>
  <c r="AU59" i="5"/>
  <c r="AV59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R60" i="5"/>
  <c r="AS60" i="5"/>
  <c r="AT60" i="5"/>
  <c r="AU60" i="5"/>
  <c r="AV60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I61" i="5"/>
  <c r="AJ61" i="5"/>
  <c r="AK61" i="5"/>
  <c r="AL61" i="5"/>
  <c r="AM61" i="5"/>
  <c r="AN61" i="5"/>
  <c r="AO61" i="5"/>
  <c r="AP61" i="5"/>
  <c r="AQ61" i="5"/>
  <c r="AR61" i="5"/>
  <c r="AS61" i="5"/>
  <c r="AT61" i="5"/>
  <c r="AU61" i="5"/>
  <c r="AV61" i="5"/>
  <c r="E69" i="5" l="1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D69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D68" i="5"/>
  <c r="AU70" i="5"/>
  <c r="AV70" i="5"/>
  <c r="AU71" i="5"/>
  <c r="AV71" i="5"/>
  <c r="C4" i="6" l="1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AT70" i="5"/>
  <c r="D70" i="5"/>
  <c r="D71" i="5"/>
  <c r="AI71" i="5"/>
  <c r="AM71" i="5"/>
  <c r="AT71" i="5"/>
  <c r="U71" i="5"/>
  <c r="AJ71" i="5"/>
  <c r="AH71" i="5"/>
  <c r="P71" i="5"/>
  <c r="Y71" i="5"/>
  <c r="R71" i="5"/>
  <c r="AB71" i="5"/>
  <c r="AQ71" i="5"/>
  <c r="AF71" i="5"/>
  <c r="AG71" i="5"/>
  <c r="O71" i="5"/>
  <c r="W71" i="5"/>
  <c r="AD71" i="5"/>
  <c r="G71" i="5"/>
  <c r="AE71" i="5"/>
  <c r="AC71" i="5"/>
  <c r="AK71" i="5"/>
  <c r="T71" i="5"/>
  <c r="I71" i="5"/>
  <c r="AP71" i="5"/>
  <c r="J71" i="5"/>
  <c r="AA71" i="5"/>
  <c r="V71" i="5"/>
  <c r="X71" i="5"/>
  <c r="F71" i="5"/>
  <c r="S71" i="5"/>
  <c r="AO71" i="5"/>
  <c r="AL71" i="5"/>
  <c r="E71" i="5"/>
  <c r="L71" i="5"/>
  <c r="K71" i="5"/>
  <c r="M71" i="5"/>
  <c r="H71" i="5"/>
  <c r="Q71" i="5"/>
  <c r="AN71" i="5"/>
  <c r="Z71" i="5"/>
  <c r="AR71" i="5"/>
  <c r="AS71" i="5"/>
  <c r="N71" i="5"/>
  <c r="F14" i="6"/>
  <c r="F9" i="6"/>
  <c r="H8" i="6"/>
  <c r="H9" i="6"/>
  <c r="J9" i="6"/>
  <c r="F15" i="6"/>
  <c r="J15" i="6"/>
  <c r="F21" i="6"/>
  <c r="J21" i="6"/>
  <c r="H15" i="6"/>
  <c r="H14" i="6"/>
  <c r="H13" i="6"/>
  <c r="H21" i="6"/>
  <c r="H20" i="6"/>
  <c r="H19" i="6"/>
  <c r="D72" i="5" l="1"/>
  <c r="D73" i="5"/>
  <c r="H10" i="6"/>
  <c r="J10" i="6"/>
  <c r="F6" i="6"/>
  <c r="F8" i="6"/>
  <c r="H18" i="6"/>
  <c r="F12" i="6"/>
  <c r="H6" i="6"/>
  <c r="J12" i="6"/>
  <c r="H12" i="6"/>
  <c r="J6" i="6"/>
  <c r="F18" i="6"/>
  <c r="J18" i="6"/>
  <c r="F19" i="6"/>
  <c r="F7" i="6"/>
  <c r="J19" i="6"/>
  <c r="F13" i="6"/>
  <c r="J13" i="6"/>
  <c r="H7" i="6"/>
  <c r="J7" i="6"/>
  <c r="J8" i="6"/>
  <c r="J14" i="6"/>
  <c r="J20" i="6"/>
  <c r="F20" i="6"/>
  <c r="H16" i="6" l="1"/>
  <c r="J16" i="6"/>
  <c r="H4" i="6"/>
  <c r="F10" i="6"/>
  <c r="J4" i="6"/>
  <c r="F16" i="6"/>
  <c r="F4" i="6"/>
  <c r="L10" i="6" l="1"/>
  <c r="L15" i="6" s="1"/>
  <c r="J22" i="6"/>
  <c r="J27" i="6" s="1"/>
  <c r="H22" i="6"/>
  <c r="H26" i="6" s="1"/>
  <c r="L16" i="6"/>
  <c r="L20" i="6" s="1"/>
  <c r="L4" i="6"/>
  <c r="L6" i="6" s="1"/>
  <c r="F22" i="6"/>
  <c r="F27" i="6" s="1"/>
  <c r="L14" i="6" l="1"/>
  <c r="L13" i="6"/>
  <c r="L12" i="6"/>
  <c r="L21" i="6"/>
  <c r="J24" i="6"/>
  <c r="J26" i="6"/>
  <c r="J25" i="6"/>
  <c r="F25" i="6"/>
  <c r="F24" i="6"/>
  <c r="F26" i="6"/>
  <c r="L9" i="6"/>
  <c r="H27" i="6"/>
  <c r="L18" i="6"/>
  <c r="L19" i="6"/>
  <c r="L22" i="6"/>
  <c r="L7" i="6"/>
  <c r="L8" i="6"/>
  <c r="H24" i="6"/>
  <c r="H25" i="6"/>
  <c r="L26" i="6" l="1"/>
  <c r="L27" i="6"/>
  <c r="L24" i="6"/>
  <c r="L25" i="6"/>
</calcChain>
</file>

<file path=xl/sharedStrings.xml><?xml version="1.0" encoding="utf-8"?>
<sst xmlns="http://schemas.openxmlformats.org/spreadsheetml/2006/main" count="419" uniqueCount="133">
  <si>
    <t>SBER</t>
  </si>
  <si>
    <t>GAZP</t>
  </si>
  <si>
    <t>LKOH</t>
  </si>
  <si>
    <t>GMKN</t>
  </si>
  <si>
    <t>NVTK</t>
  </si>
  <si>
    <t>SNGS</t>
  </si>
  <si>
    <t>PLZL</t>
  </si>
  <si>
    <t>TATN</t>
  </si>
  <si>
    <t>ROSN</t>
  </si>
  <si>
    <t>MGNT</t>
  </si>
  <si>
    <t>MTSS</t>
  </si>
  <si>
    <t>MOEX</t>
  </si>
  <si>
    <t>IRAO</t>
  </si>
  <si>
    <t>NLMK</t>
  </si>
  <si>
    <t>ALRS</t>
  </si>
  <si>
    <t>CHMF</t>
  </si>
  <si>
    <t>VTBR</t>
  </si>
  <si>
    <t>RTKM</t>
  </si>
  <si>
    <t>PHOR</t>
  </si>
  <si>
    <t>AFKS</t>
  </si>
  <si>
    <t>MAGN</t>
  </si>
  <si>
    <t>PIKK</t>
  </si>
  <si>
    <t>HYDR</t>
  </si>
  <si>
    <t>FEES</t>
  </si>
  <si>
    <t>AFLT</t>
  </si>
  <si>
    <t>LSRG</t>
  </si>
  <si>
    <t>RSTI</t>
  </si>
  <si>
    <t>UPRO</t>
  </si>
  <si>
    <t>LNTA</t>
  </si>
  <si>
    <t>MVID</t>
  </si>
  <si>
    <t>TRMK</t>
  </si>
  <si>
    <t>MTLR</t>
  </si>
  <si>
    <t>NMTP</t>
  </si>
  <si>
    <t>AKRN</t>
  </si>
  <si>
    <t>MSNG</t>
  </si>
  <si>
    <t>URKA</t>
  </si>
  <si>
    <t>BANE</t>
  </si>
  <si>
    <t>VSMO</t>
  </si>
  <si>
    <t>NKNC</t>
  </si>
  <si>
    <t>GCHE</t>
  </si>
  <si>
    <t>SVAV</t>
  </si>
  <si>
    <t>MSTT</t>
  </si>
  <si>
    <t>BSPB</t>
  </si>
  <si>
    <t>MSRS</t>
  </si>
  <si>
    <t>KMAZ</t>
  </si>
  <si>
    <t>RASP</t>
  </si>
  <si>
    <t>OGKB</t>
  </si>
  <si>
    <t>VZRZ</t>
  </si>
  <si>
    <t>Date</t>
  </si>
  <si>
    <t>Long</t>
  </si>
  <si>
    <t>Hold</t>
  </si>
  <si>
    <t>Short</t>
  </si>
  <si>
    <t>Горизонт, дней</t>
  </si>
  <si>
    <t>IMOEX (рынок)</t>
  </si>
  <si>
    <t>CAPM</t>
  </si>
  <si>
    <t>Fama-French</t>
  </si>
  <si>
    <t>Lasso</t>
  </si>
  <si>
    <t>Доходности:</t>
  </si>
  <si>
    <t>Сравнить лассо с</t>
  </si>
  <si>
    <t>Продавать</t>
  </si>
  <si>
    <t>Держать</t>
  </si>
  <si>
    <t>Покупать</t>
  </si>
  <si>
    <t>Итого</t>
  </si>
  <si>
    <t>Доходности</t>
  </si>
  <si>
    <t>Количество акций:</t>
  </si>
  <si>
    <t>Cell</t>
  </si>
  <si>
    <t>IMOEX</t>
  </si>
  <si>
    <t>2017-06-12</t>
  </si>
  <si>
    <t>Обычные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</si>
  <si>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</si>
  <si>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</si>
  <si>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</si>
  <si>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</si>
  <si>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</si>
  <si>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</si>
  <si>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</si>
  <si>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</si>
  <si>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</si>
  <si>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</si>
  <si>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</si>
  <si>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</si>
  <si>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</si>
  <si>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</si>
  <si>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</si>
  <si>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2017-07-04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</si>
  <si>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</si>
  <si>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</si>
  <si>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</si>
  <si>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</si>
  <si>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</si>
  <si>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</si>
  <si>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</si>
  <si>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</si>
  <si>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</si>
  <si>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</si>
  <si>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</si>
  <si>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</si>
  <si>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</si>
  <si>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</si>
  <si>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</si>
  <si>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</si>
  <si>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</si>
  <si>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</si>
  <si>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</si>
  <si>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</si>
  <si>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</si>
  <si>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</si>
  <si>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</si>
  <si>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</si>
  <si>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</si>
  <si>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</si>
  <si>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</si>
  <si>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</si>
  <si>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</si>
  <si>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</si>
  <si>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</si>
  <si>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</si>
  <si>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</si>
  <si>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</si>
  <si>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</si>
  <si>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</si>
  <si>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</si>
  <si>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</si>
  <si>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</si>
  <si>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</si>
  <si>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</si>
  <si>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</si>
  <si>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</si>
  <si>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2017-09-07</t>
  </si>
  <si>
    <t>2017-09-06</t>
  </si>
  <si>
    <t>2017-09-05</t>
  </si>
  <si>
    <t>2017-09-04</t>
  </si>
  <si>
    <t>Рекомендации Lasso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</si>
</sst>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0.0000%"/>
    <numFmt numFmtId="166" formatCode="0.000000000%"/>
    <numFmt numFmtId="167" formatCode="0.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64" fontId="0" fillId="0" borderId="6" xfId="0" applyNumberFormat="1" applyBorder="1"/>
    <xf numFmtId="164" fontId="0" fillId="0" borderId="8" xfId="0" applyNumberFormat="1" applyBorder="1"/>
    <xf numFmtId="166" fontId="0" fillId="0" borderId="0" xfId="0" applyNumberFormat="1"/>
    <xf numFmtId="167" fontId="0" fillId="0" borderId="0" xfId="0" applyNumberFormat="1"/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2" borderId="0" xfId="0" applyFill="1"/>
    <xf numFmtId="0" fontId="0" fillId="2" borderId="6" xfId="0" applyFill="1" applyBorder="1"/>
    <xf numFmtId="0" fontId="0" fillId="2" borderId="11" xfId="0" applyFill="1" applyBorder="1"/>
    <xf numFmtId="165" fontId="0" fillId="2" borderId="0" xfId="0" applyNumberFormat="1" applyFill="1"/>
    <xf numFmtId="0" fontId="0" fillId="2" borderId="5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9013034763059681E-2"/>
          <c:y val="9.9100201524941312E-2"/>
          <c:w val="0.84894315425761657"/>
          <c:h val="0.77107576922277854"/>
        </c:manualLayout>
      </c:layout>
      <c:lineChart>
        <c:grouping val="standard"/>
        <c:varyColors val="0"/>
        <c:ser>
          <c:idx val="0"/>
          <c:order val="0"/>
          <c:tx>
            <c:strRef>
              <c:f>Цены!$B$1</c:f>
              <c:strCache>
                <c:ptCount val="1"/>
                <c:pt idx="0">
                  <c:v>IMOEX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Цены!$A$3:$A$63</c:f>
              <c:strCache>
                <c:ptCount val="61"/>
                <c:pt idx="0">
                  <c:v>2017-06-13</c:v>
                </c:pt>
                <c:pt idx="1">
                  <c:v>2017-06-14</c:v>
                </c:pt>
                <c:pt idx="2">
                  <c:v>2017-06-15</c:v>
                </c:pt>
                <c:pt idx="3">
                  <c:v>2017-06-16</c:v>
                </c:pt>
                <c:pt idx="4">
                  <c:v>2017-06-19</c:v>
                </c:pt>
                <c:pt idx="5">
                  <c:v>2017-06-20</c:v>
                </c:pt>
                <c:pt idx="6">
                  <c:v>2017-06-21</c:v>
                </c:pt>
                <c:pt idx="7">
                  <c:v>2017-06-22</c:v>
                </c:pt>
                <c:pt idx="8">
                  <c:v>2017-06-23</c:v>
                </c:pt>
                <c:pt idx="9">
                  <c:v>2017-06-26</c:v>
                </c:pt>
                <c:pt idx="10">
                  <c:v>2017-06-27</c:v>
                </c:pt>
                <c:pt idx="11">
                  <c:v>2017-06-28</c:v>
                </c:pt>
                <c:pt idx="12">
                  <c:v>2017-06-29</c:v>
                </c:pt>
                <c:pt idx="13">
                  <c:v>2017-06-30</c:v>
                </c:pt>
                <c:pt idx="14">
                  <c:v>2017-07-03</c:v>
                </c:pt>
                <c:pt idx="15">
                  <c:v>2017-07-04</c:v>
                </c:pt>
                <c:pt idx="16">
                  <c:v>2017-07-05</c:v>
                </c:pt>
                <c:pt idx="17">
                  <c:v>2017-07-06</c:v>
                </c:pt>
                <c:pt idx="18">
                  <c:v>2017-07-07</c:v>
                </c:pt>
                <c:pt idx="19">
                  <c:v>2017-07-10</c:v>
                </c:pt>
                <c:pt idx="20">
                  <c:v>2017-07-11</c:v>
                </c:pt>
                <c:pt idx="21">
                  <c:v>2017-07-12</c:v>
                </c:pt>
                <c:pt idx="22">
                  <c:v>2017-07-13</c:v>
                </c:pt>
                <c:pt idx="23">
                  <c:v>2017-07-14</c:v>
                </c:pt>
                <c:pt idx="24">
                  <c:v>2017-07-17</c:v>
                </c:pt>
                <c:pt idx="25">
                  <c:v>2017-07-18</c:v>
                </c:pt>
                <c:pt idx="26">
                  <c:v>2017-07-19</c:v>
                </c:pt>
                <c:pt idx="27">
                  <c:v>2017-07-20</c:v>
                </c:pt>
                <c:pt idx="28">
                  <c:v>2017-07-21</c:v>
                </c:pt>
                <c:pt idx="29">
                  <c:v>2017-07-24</c:v>
                </c:pt>
                <c:pt idx="30">
                  <c:v>2017-07-25</c:v>
                </c:pt>
                <c:pt idx="31">
                  <c:v>2017-07-26</c:v>
                </c:pt>
                <c:pt idx="32">
                  <c:v>2017-07-27</c:v>
                </c:pt>
                <c:pt idx="33">
                  <c:v>2017-07-28</c:v>
                </c:pt>
                <c:pt idx="34">
                  <c:v>2017-07-31</c:v>
                </c:pt>
                <c:pt idx="35">
                  <c:v>2017-08-01</c:v>
                </c:pt>
                <c:pt idx="36">
                  <c:v>2017-08-02</c:v>
                </c:pt>
                <c:pt idx="37">
                  <c:v>2017-08-03</c:v>
                </c:pt>
                <c:pt idx="38">
                  <c:v>2017-08-04</c:v>
                </c:pt>
                <c:pt idx="39">
                  <c:v>2017-08-07</c:v>
                </c:pt>
                <c:pt idx="40">
                  <c:v>2017-08-08</c:v>
                </c:pt>
                <c:pt idx="41">
                  <c:v>2017-08-09</c:v>
                </c:pt>
                <c:pt idx="42">
                  <c:v>2017-08-10</c:v>
                </c:pt>
                <c:pt idx="43">
                  <c:v>2017-08-11</c:v>
                </c:pt>
                <c:pt idx="44">
                  <c:v>2017-08-14</c:v>
                </c:pt>
                <c:pt idx="45">
                  <c:v>2017-08-15</c:v>
                </c:pt>
                <c:pt idx="46">
                  <c:v>2017-08-16</c:v>
                </c:pt>
                <c:pt idx="47">
                  <c:v>2017-08-17</c:v>
                </c:pt>
                <c:pt idx="48">
                  <c:v>2017-08-18</c:v>
                </c:pt>
                <c:pt idx="49">
                  <c:v>2017-08-21</c:v>
                </c:pt>
                <c:pt idx="50">
                  <c:v>2017-08-22</c:v>
                </c:pt>
                <c:pt idx="51">
                  <c:v>2017-08-23</c:v>
                </c:pt>
                <c:pt idx="52">
                  <c:v>2017-08-24</c:v>
                </c:pt>
                <c:pt idx="53">
                  <c:v>2017-08-25</c:v>
                </c:pt>
                <c:pt idx="54">
                  <c:v>2017-08-28</c:v>
                </c:pt>
                <c:pt idx="55">
                  <c:v>2017-08-29</c:v>
                </c:pt>
                <c:pt idx="56">
                  <c:v>2017-08-30</c:v>
                </c:pt>
                <c:pt idx="57">
                  <c:v>2017-08-31</c:v>
                </c:pt>
                <c:pt idx="58">
                  <c:v>2017-09-01</c:v>
                </c:pt>
                <c:pt idx="59">
                  <c:v>2017-09-04</c:v>
                </c:pt>
                <c:pt idx="60">
                  <c:v>2017-09-05</c:v>
                </c:pt>
              </c:strCache>
            </c:strRef>
          </c:cat>
          <c:val>
            <c:numRef>
              <c:f>Цены!$B$3:$B$63</c:f>
              <c:numCache>
                <c:formatCode>General</c:formatCode>
                <c:ptCount val="61"/>
                <c:pt idx="0">
                  <c:v>1861.27</c:v>
                </c:pt>
                <c:pt idx="1">
                  <c:v>1838.32</c:v>
                </c:pt>
                <c:pt idx="2">
                  <c:v>1817.82</c:v>
                </c:pt>
                <c:pt idx="3">
                  <c:v>1822.91</c:v>
                </c:pt>
                <c:pt idx="4">
                  <c:v>1849.78</c:v>
                </c:pt>
                <c:pt idx="5">
                  <c:v>1857.96</c:v>
                </c:pt>
                <c:pt idx="6">
                  <c:v>1850.81</c:v>
                </c:pt>
                <c:pt idx="7">
                  <c:v>1860.05</c:v>
                </c:pt>
                <c:pt idx="8">
                  <c:v>1867.46</c:v>
                </c:pt>
                <c:pt idx="9">
                  <c:v>1860.39</c:v>
                </c:pt>
                <c:pt idx="10">
                  <c:v>1878.94</c:v>
                </c:pt>
                <c:pt idx="11">
                  <c:v>1891.98</c:v>
                </c:pt>
                <c:pt idx="12">
                  <c:v>1881.04</c:v>
                </c:pt>
                <c:pt idx="13">
                  <c:v>1879.5</c:v>
                </c:pt>
                <c:pt idx="14">
                  <c:v>1902.59</c:v>
                </c:pt>
                <c:pt idx="15">
                  <c:v>1917.4</c:v>
                </c:pt>
                <c:pt idx="16">
                  <c:v>1921.38</c:v>
                </c:pt>
                <c:pt idx="17">
                  <c:v>1923.22</c:v>
                </c:pt>
                <c:pt idx="18">
                  <c:v>1912.48</c:v>
                </c:pt>
                <c:pt idx="19">
                  <c:v>1925.74</c:v>
                </c:pt>
                <c:pt idx="20">
                  <c:v>1937.64</c:v>
                </c:pt>
                <c:pt idx="21">
                  <c:v>1954.39</c:v>
                </c:pt>
                <c:pt idx="22">
                  <c:v>1959.91</c:v>
                </c:pt>
                <c:pt idx="23">
                  <c:v>1960.69</c:v>
                </c:pt>
                <c:pt idx="24">
                  <c:v>1959.11</c:v>
                </c:pt>
                <c:pt idx="25">
                  <c:v>1947.71</c:v>
                </c:pt>
                <c:pt idx="26">
                  <c:v>1951.89</c:v>
                </c:pt>
                <c:pt idx="27">
                  <c:v>1946.51</c:v>
                </c:pt>
                <c:pt idx="28">
                  <c:v>1925.13</c:v>
                </c:pt>
                <c:pt idx="29">
                  <c:v>1931.75</c:v>
                </c:pt>
                <c:pt idx="30">
                  <c:v>1923.73</c:v>
                </c:pt>
                <c:pt idx="31">
                  <c:v>1933.1</c:v>
                </c:pt>
                <c:pt idx="32">
                  <c:v>1945.12</c:v>
                </c:pt>
                <c:pt idx="33">
                  <c:v>1916.75</c:v>
                </c:pt>
                <c:pt idx="34">
                  <c:v>1919.53</c:v>
                </c:pt>
                <c:pt idx="35">
                  <c:v>1940.14</c:v>
                </c:pt>
                <c:pt idx="36">
                  <c:v>1965.48</c:v>
                </c:pt>
                <c:pt idx="37">
                  <c:v>1965.29</c:v>
                </c:pt>
                <c:pt idx="38">
                  <c:v>1953.49</c:v>
                </c:pt>
                <c:pt idx="39">
                  <c:v>1970.37</c:v>
                </c:pt>
                <c:pt idx="40">
                  <c:v>1989.61</c:v>
                </c:pt>
                <c:pt idx="41">
                  <c:v>1975.91</c:v>
                </c:pt>
                <c:pt idx="42">
                  <c:v>1960.23</c:v>
                </c:pt>
                <c:pt idx="43">
                  <c:v>1944.83</c:v>
                </c:pt>
                <c:pt idx="44">
                  <c:v>1951.75</c:v>
                </c:pt>
                <c:pt idx="45">
                  <c:v>1950.28</c:v>
                </c:pt>
                <c:pt idx="46">
                  <c:v>1942.88</c:v>
                </c:pt>
                <c:pt idx="47">
                  <c:v>1941.52</c:v>
                </c:pt>
                <c:pt idx="48">
                  <c:v>1930.71</c:v>
                </c:pt>
                <c:pt idx="49">
                  <c:v>1937.66</c:v>
                </c:pt>
                <c:pt idx="50">
                  <c:v>1947.4</c:v>
                </c:pt>
                <c:pt idx="51">
                  <c:v>1958.52</c:v>
                </c:pt>
                <c:pt idx="52">
                  <c:v>1973.5</c:v>
                </c:pt>
                <c:pt idx="53">
                  <c:v>1979.14</c:v>
                </c:pt>
                <c:pt idx="54">
                  <c:v>1987.15</c:v>
                </c:pt>
                <c:pt idx="55">
                  <c:v>1989.12</c:v>
                </c:pt>
                <c:pt idx="56">
                  <c:v>2008.88</c:v>
                </c:pt>
                <c:pt idx="57">
                  <c:v>2022.22</c:v>
                </c:pt>
                <c:pt idx="58">
                  <c:v>2010.98</c:v>
                </c:pt>
                <c:pt idx="59">
                  <c:v>2003.32</c:v>
                </c:pt>
                <c:pt idx="60">
                  <c:v>2004.02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F-DA49-B125-9C938F985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7749519"/>
        <c:axId val="221511551"/>
      </c:lineChart>
      <c:catAx>
        <c:axId val="22774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11551"/>
        <c:crosses val="autoZero"/>
        <c:auto val="1"/>
        <c:lblAlgn val="ctr"/>
        <c:lblOffset val="100"/>
        <c:noMultiLvlLbl val="0"/>
      </c:catAx>
      <c:valAx>
        <c:axId val="221511551"/>
        <c:scaling>
          <c:orientation val="minMax"/>
          <c:min val="1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7749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425450</xdr:colOff>
      <xdr:row>69</xdr:row>
      <xdr:rowOff>114300</xdr:rowOff>
    </xdr:from>
    <xdr:to>
      <xdr:col>7</xdr:col>
      <xdr:colOff>571500</xdr:colOff>
      <xdr:row>94</xdr:row>
      <xdr:rowOff>165100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8B8C7430-89DF-4743-AA3C-BC43C30201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4"/>
  <sheetViews>
    <sheetView tabSelected="1" topLeftCell="B1" workbookViewId="0">
      <selection activeCell="L23" sqref="L23"/>
    </sheetView>
  </sheetViews>
  <sheetFormatPr baseColWidth="10" defaultColWidth="8.83203125" defaultRowHeight="15" x14ac:dyDescent="0.2"/>
  <cols>
    <col min="1" max="1" width="15.83203125" bestFit="1" customWidth="1"/>
    <col min="2" max="2" width="31.6640625" customWidth="1"/>
    <col min="3" max="3" width="6.83203125" customWidth="1"/>
    <col min="4" max="4" width="5.5" customWidth="1"/>
    <col min="5" max="5" width="11" customWidth="1"/>
    <col min="6" max="6" width="7.5" bestFit="1" customWidth="1"/>
    <col min="7" max="7" width="12.1640625" customWidth="1"/>
    <col min="9" max="9" width="9.6640625" customWidth="1"/>
    <col min="10" max="10" width="7.5" bestFit="1" customWidth="1"/>
    <col min="11" max="11" width="11.1640625" customWidth="1"/>
    <col min="12" max="12" width="8" bestFit="1" customWidth="1"/>
  </cols>
  <sheetData>
    <row r="1" spans="1:16" x14ac:dyDescent="0.2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</row>
    <row r="2" spans="1:16" x14ac:dyDescent="0.2">
      <c r="A2" t="s">
        <v>58</v>
      </c>
      <c r="B2" s="32" t="s">
        <v>54</v>
      </c>
      <c r="C2" s="19"/>
      <c r="D2" s="19"/>
      <c r="E2" s="20" t="s">
        <v>132</v>
      </c>
      <c r="F2" s="20"/>
      <c r="G2" s="20"/>
      <c r="H2" s="20"/>
      <c r="I2" s="20"/>
      <c r="J2" s="20"/>
      <c r="K2" s="21" t="s">
        <v>62</v>
      </c>
      <c r="L2" s="22"/>
      <c r="M2" s="32"/>
      <c r="N2" s="32"/>
      <c r="O2" s="32"/>
      <c r="P2" s="32"/>
    </row>
    <row r="3" spans="1:16" x14ac:dyDescent="0.2">
      <c r="A3" t="s">
        <v>63</v>
      </c>
      <c r="B3" s="32" t="s">
        <v>68</v>
      </c>
      <c r="C3" s="19"/>
      <c r="D3" s="19"/>
      <c r="E3" s="28" t="s">
        <v>59</v>
      </c>
      <c r="F3" s="28"/>
      <c r="G3" s="28" t="s">
        <v>60</v>
      </c>
      <c r="H3" s="28"/>
      <c r="I3" s="28" t="s">
        <v>61</v>
      </c>
      <c r="J3" s="28"/>
      <c r="K3" s="23"/>
      <c r="L3" s="24"/>
      <c r="M3" s="32"/>
      <c r="N3" s="32"/>
      <c r="O3" s="32"/>
      <c r="P3" s="32"/>
    </row>
    <row r="4" spans="1:16" ht="14.5" customHeight="1" x14ac:dyDescent="0.2">
      <c r="B4" s="32"/>
      <c r="C4" s="25" t="str">
        <f>"Рекомендации "&amp;B2</f>
        <v>Рекомендации CAPM</v>
      </c>
      <c r="D4" s="29" t="s">
        <v>59</v>
      </c>
      <c r="E4" s="4" t="s">
        <v>64</v>
      </c>
      <c r="F4" s="5">
        <f>COUNTIF(Доходности!$D$71:$AT$71,1)</f>
        <v>15</v>
      </c>
      <c r="G4" s="4" t="s">
        <v>64</v>
      </c>
      <c r="H4" s="5">
        <f>COUNTIF(Доходности!$D$71:$AT$71,2)</f>
        <v>1</v>
      </c>
      <c r="I4" s="4" t="s">
        <v>64</v>
      </c>
      <c r="J4" s="5">
        <f>COUNTIF(Доходности!$D$71:$AT$71,3)</f>
        <v>2</v>
      </c>
      <c r="K4" s="4" t="s">
        <v>64</v>
      </c>
      <c r="L4" s="5">
        <f>F4+H4+J4</f>
        <v>18</v>
      </c>
      <c r="M4" s="32"/>
      <c r="N4" s="32"/>
      <c r="O4" s="32"/>
      <c r="P4" s="32"/>
    </row>
    <row r="5" spans="1:16" x14ac:dyDescent="0.2">
      <c r="B5" s="32"/>
      <c r="C5" s="26"/>
      <c r="D5" s="30"/>
      <c r="E5" s="6" t="s">
        <v>57</v>
      </c>
      <c r="F5" s="7"/>
      <c r="G5" s="6" t="s">
        <v>57</v>
      </c>
      <c r="H5" s="7"/>
      <c r="I5" s="6" t="s">
        <v>57</v>
      </c>
      <c r="J5" s="7"/>
      <c r="K5" s="6" t="s">
        <v>57</v>
      </c>
      <c r="L5" s="7"/>
      <c r="M5" s="32"/>
      <c r="N5" s="32"/>
      <c r="O5" s="32"/>
      <c r="P5" s="32"/>
    </row>
    <row r="6" spans="1:16" x14ac:dyDescent="0.2">
      <c r="B6" s="32"/>
      <c r="C6" s="26"/>
      <c r="D6" s="30"/>
      <c r="E6" s="6">
        <v>1</v>
      </c>
      <c r="F6" s="9">
        <f ca="1">IFERROR(SUMIF(Доходности!$D$71:$AT$71,1,INDIRECT("Доходности!D"&amp;(2+Summary!E6)&amp;":AW"&amp;(2+Summary!E6)))/COUNTIF(Доходности!$D$71:$AT$71,1)-IF($B$3="Обычные",0,INDIRECT("Доходности!C"&amp;(2+Summary!E6))),"")</f>
        <v>-1.1524411010072394E-3</v>
      </c>
      <c r="G6" s="6">
        <v>1</v>
      </c>
      <c r="H6" s="9">
        <f ca="1">IFERROR(SUMIF(Доходности!$D$71:$AT$71,2,INDIRECT("Доходности!D"&amp;(2+Summary!G6)&amp;":AW"&amp;(2+Summary!G6)))/COUNTIF(Доходности!$D$71:$AT$71,2)-IF($B$3="Обычные",0,INDIRECT("Доходности!C"&amp;(2+Summary!G6))),"")</f>
        <v>-1.6584064048799037E-2</v>
      </c>
      <c r="I6" s="6">
        <v>1</v>
      </c>
      <c r="J6" s="9">
        <f ca="1">IFERROR(SUMIF(Доходности!$D$71:$AT$71,3,INDIRECT("Доходности!D"&amp;(2+Summary!I6)&amp;":AW"&amp;(2+Summary!I6)))/COUNTIF(Доходности!$D$71:$AT$71,3)-IF($B$3="Обычные",0,INDIRECT("Доходности!C"&amp;(2+Summary!I6))),"")</f>
        <v>1.5399483489531764E-2</v>
      </c>
      <c r="K6" s="6">
        <v>1</v>
      </c>
      <c r="L6" s="9">
        <f ca="1">(IF(F6="",0,F6)*$F$4+IF(H6="",0,H6)*$H$4+IF(J6="",0,J6)*$J$4)/$L$4</f>
        <v>-1.7065075471356112E-4</v>
      </c>
      <c r="M6" s="32"/>
      <c r="N6" s="32"/>
      <c r="O6" s="32"/>
      <c r="P6" s="32"/>
    </row>
    <row r="7" spans="1:16" x14ac:dyDescent="0.2">
      <c r="B7" s="32"/>
      <c r="C7" s="26"/>
      <c r="D7" s="30"/>
      <c r="E7" s="6">
        <v>10</v>
      </c>
      <c r="F7" s="9">
        <f ca="1">IFERROR(SUMIF(Доходности!$D$71:$AT$71,1,INDIRECT("Доходности!D"&amp;(2+Summary!E7)&amp;":AW"&amp;(2+Summary!E7)))/COUNTIF(Доходности!$D$71:$AT$71,1)-IF($B$3="Обычные",0,INDIRECT("Доходности!C"&amp;(2+Summary!E7))),"")</f>
        <v>-1.0347249899568109E-2</v>
      </c>
      <c r="G7" s="6">
        <v>10</v>
      </c>
      <c r="H7" s="9">
        <f ca="1">IFERROR(SUMIF(Доходности!$D$71:$AT$71,2,INDIRECT("Доходности!D"&amp;(2+Summary!G7)&amp;":AW"&amp;(2+Summary!G7)))/COUNTIF(Доходности!$D$71:$AT$71,2)-IF($B$3="Обычные",0,INDIRECT("Доходности!C"&amp;(2+Summary!G7))),"")</f>
        <v>-4.2508577964163248E-2</v>
      </c>
      <c r="I7" s="6">
        <v>10</v>
      </c>
      <c r="J7" s="9">
        <f ca="1">IFERROR(SUMIF(Доходности!$D$71:$AT$71,3,INDIRECT("Доходности!D"&amp;(2+Summary!I7)&amp;":AW"&amp;(2+Summary!I7)))/COUNTIF(Доходности!$D$71:$AT$71,3)-IF($B$3="Обычные",0,INDIRECT("Доходности!C"&amp;(2+Summary!I7))),"")</f>
        <v>-6.1851316451994988E-3</v>
      </c>
      <c r="K7" s="6">
        <v>10</v>
      </c>
      <c r="L7" s="9">
        <f t="shared" ref="L7:L9" ca="1" si="0">(IF(F7="",0,F7)*$F$4+IF(H7="",0,H7)*$H$4+IF(J7="",0,J7)*$J$4)/$L$4</f>
        <v>-1.1671532763782437E-2</v>
      </c>
      <c r="M7" s="32"/>
      <c r="N7" s="32"/>
      <c r="O7" s="32"/>
      <c r="P7" s="32"/>
    </row>
    <row r="8" spans="1:16" x14ac:dyDescent="0.2">
      <c r="B8" s="32"/>
      <c r="C8" s="26"/>
      <c r="D8" s="30"/>
      <c r="E8" s="6">
        <v>30</v>
      </c>
      <c r="F8" s="9">
        <f ca="1">IFERROR(SUMIF(Доходности!$D$71:$AT$71,1,INDIRECT("Доходности!D"&amp;(2+Summary!E8)&amp;":AW"&amp;(2+Summary!E8)))/COUNTIF(Доходности!$D$71:$AT$71,1)-IF($B$3="Обычные",0,INDIRECT("Доходности!C"&amp;(2+Summary!E8))),"")</f>
        <v>2.8234158755365391E-2</v>
      </c>
      <c r="G8" s="6">
        <v>30</v>
      </c>
      <c r="H8" s="9">
        <f ca="1">IFERROR(SUMIF(Доходности!$D$71:$AT$71,2,INDIRECT("Доходности!D"&amp;(2+Summary!G8)&amp;":AW"&amp;(2+Summary!G8)))/COUNTIF(Доходности!$D$71:$AT$71,2)-IF($B$3="Обычные",0,INDIRECT("Доходности!C"&amp;(2+Summary!G8))),"")</f>
        <v>2.6305756767060665E-2</v>
      </c>
      <c r="I8" s="6">
        <v>30</v>
      </c>
      <c r="J8" s="9">
        <f ca="1">IFERROR(SUMIF(Доходности!$D$71:$AT$71,3,INDIRECT("Доходности!D"&amp;(2+Summary!I8)&amp;":AW"&amp;(2+Summary!I8)))/COUNTIF(Доходности!$D$71:$AT$71,3)-IF($B$3="Обычные",0,INDIRECT("Доходности!C"&amp;(2+Summary!I8))),"")</f>
        <v>-9.8754202738481414E-4</v>
      </c>
      <c r="K8" s="6">
        <v>30</v>
      </c>
      <c r="L8" s="9">
        <f t="shared" ca="1" si="0"/>
        <v>2.4880169669042881E-2</v>
      </c>
      <c r="M8" s="32"/>
      <c r="N8" s="32"/>
      <c r="O8" s="32"/>
      <c r="P8" s="32"/>
    </row>
    <row r="9" spans="1:16" x14ac:dyDescent="0.2">
      <c r="B9" s="32"/>
      <c r="C9" s="26"/>
      <c r="D9" s="31"/>
      <c r="E9" s="8">
        <v>60</v>
      </c>
      <c r="F9" s="9">
        <f ca="1">IFERROR(SUMIF(Доходности!$D$71:$AT$71,1,INDIRECT("Доходности!D"&amp;(2+Summary!E9)&amp;":AW"&amp;(2+Summary!E9)))/COUNTIF(Доходности!$D$71:$AT$71,1)-IF($B$3="Обычные",0,INDIRECT("Доходности!C"&amp;(2+Summary!E9))),"")</f>
        <v>3.7061324575359059E-2</v>
      </c>
      <c r="G9" s="8">
        <v>60</v>
      </c>
      <c r="H9" s="9">
        <f ca="1">IFERROR(SUMIF(Доходности!$D$71:$AT$71,2,INDIRECT("Доходности!D"&amp;(2+Summary!G9)&amp;":AW"&amp;(2+Summary!G9)))/COUNTIF(Доходности!$D$71:$AT$71,2)-IF($B$3="Обычные",0,INDIRECT("Доходности!C"&amp;(2+Summary!G9))),"")</f>
        <v>4.0221120853983973E-2</v>
      </c>
      <c r="I9" s="8">
        <v>60</v>
      </c>
      <c r="J9" s="9">
        <f ca="1">IFERROR(SUMIF(Доходности!$D$71:$AT$71,3,INDIRECT("Доходности!D"&amp;(2+Summary!I9)&amp;":AW"&amp;(2+Summary!I9)))/COUNTIF(Доходности!$D$71:$AT$71,3)-IF($B$3="Обычные",0,INDIRECT("Доходности!C"&amp;(2+Summary!I9))),"")</f>
        <v>2.3330907372974389E-2</v>
      </c>
      <c r="K9" s="8">
        <v>60</v>
      </c>
      <c r="L9" s="9">
        <f ca="1">(IF(F9="",0,F9)*$F$4+IF(H9="",0,H9)*$H$4+IF(J9="",0,J9)*$J$4)/$L$4</f>
        <v>3.5711266901684371E-2</v>
      </c>
      <c r="M9" s="32"/>
      <c r="N9" s="32"/>
      <c r="O9" s="32"/>
      <c r="P9" s="32"/>
    </row>
    <row r="10" spans="1:16" x14ac:dyDescent="0.2">
      <c r="B10" s="32"/>
      <c r="C10" s="26"/>
      <c r="D10" s="29" t="s">
        <v>60</v>
      </c>
      <c r="E10" s="4" t="s">
        <v>64</v>
      </c>
      <c r="F10" s="5">
        <f>COUNTIF(Доходности!$D$71:$AT$71,4)</f>
        <v>0</v>
      </c>
      <c r="G10" s="4" t="s">
        <v>64</v>
      </c>
      <c r="H10" s="5">
        <f>COUNTIF(Доходности!$D$71:$AT$71,5)</f>
        <v>3</v>
      </c>
      <c r="I10" s="4" t="s">
        <v>64</v>
      </c>
      <c r="J10" s="5">
        <f>COUNTIF(Доходности!$D$71:$AT$71,6)</f>
        <v>1</v>
      </c>
      <c r="K10" s="4" t="s">
        <v>64</v>
      </c>
      <c r="L10" s="5">
        <f>F10+H10+J10</f>
        <v>4</v>
      </c>
      <c r="M10" s="32"/>
      <c r="N10" s="32"/>
      <c r="O10" s="32"/>
      <c r="P10" s="32"/>
    </row>
    <row r="11" spans="1:16" x14ac:dyDescent="0.2">
      <c r="B11" s="33"/>
      <c r="C11" s="26"/>
      <c r="D11" s="30"/>
      <c r="E11" s="6" t="s">
        <v>57</v>
      </c>
      <c r="F11" s="7"/>
      <c r="G11" s="6" t="s">
        <v>57</v>
      </c>
      <c r="H11" s="7"/>
      <c r="I11" s="6" t="s">
        <v>57</v>
      </c>
      <c r="J11" s="7"/>
      <c r="K11" s="6" t="s">
        <v>57</v>
      </c>
      <c r="L11" s="7"/>
      <c r="M11" s="32"/>
      <c r="N11" s="32"/>
      <c r="O11" s="32"/>
      <c r="P11" s="32"/>
    </row>
    <row r="12" spans="1:16" x14ac:dyDescent="0.2">
      <c r="B12" s="32"/>
      <c r="C12" s="26"/>
      <c r="D12" s="30"/>
      <c r="E12" s="6">
        <v>1</v>
      </c>
      <c r="F12" s="9" t="str">
        <f ca="1">IFERROR(SUMIF(Доходности!$D$71:$AT$71,4,INDIRECT("Доходности!D"&amp;(2+Summary!E12)&amp;":AW"&amp;(2+Summary!E12)))/COUNTIF(Доходности!$D$71:$AT$71,4)-IF($B$3="Обычные",0,INDIRECT("Доходности!C"&amp;(2+Summary!E12))),"")</f>
        <v/>
      </c>
      <c r="G12" s="6">
        <v>1</v>
      </c>
      <c r="H12" s="9">
        <f ca="1">IFERROR(SUMIF(Доходности!$D$71:$AT$71,5,INDIRECT("Доходности!D"&amp;(2+Summary!G12)&amp;":AW"&amp;(2+Summary!G12)))/COUNTIF(Доходности!$D$71:$AT$71,5)-IF($B$3="Обычные",0,INDIRECT("Доходности!C"&amp;(2+Summary!G12))),"")</f>
        <v>-7.9105414121545016E-3</v>
      </c>
      <c r="I12" s="6">
        <v>1</v>
      </c>
      <c r="J12" s="9">
        <f ca="1">IFERROR(SUMIF(Доходности!$D$71:$AT$71,6,INDIRECT("Доходности!D"&amp;(2+Summary!I12)&amp;":AW"&amp;(2+Summary!I12)))/COUNTIF(Доходности!$D$71:$AT$71,6)-IF($B$3="Обычные",0,INDIRECT("Доходности!C"&amp;(2+Summary!I12))),"")</f>
        <v>-1.282051282051282E-2</v>
      </c>
      <c r="K12" s="6">
        <v>1</v>
      </c>
      <c r="L12" s="9">
        <f ca="1">(IF(F12="",0,F12)*$F$10+IF(H12="",0,H12)*$H$10+IF(J12="",0,J12)*$J$10)/$L$10</f>
        <v>-9.1380342642440812E-3</v>
      </c>
      <c r="M12" s="32"/>
      <c r="N12" s="32"/>
      <c r="O12" s="32"/>
      <c r="P12" s="32"/>
    </row>
    <row r="13" spans="1:16" x14ac:dyDescent="0.2">
      <c r="B13" s="32"/>
      <c r="C13" s="26"/>
      <c r="D13" s="30"/>
      <c r="E13" s="6">
        <v>10</v>
      </c>
      <c r="F13" s="9" t="str">
        <f ca="1">IFERROR(SUMIF(Доходности!$D$71:$AT$71,4,INDIRECT("Доходности!D"&amp;(2+Summary!E13)&amp;":AW"&amp;(2+Summary!E13)))/COUNTIF(Доходности!$D$71:$AT$71,4)-IF($B$3="Обычные",0,INDIRECT("Доходности!C"&amp;(2+Summary!E13))),"")</f>
        <v/>
      </c>
      <c r="G13" s="6">
        <v>10</v>
      </c>
      <c r="H13" s="9">
        <f ca="1">IFERROR(SUMIF(Доходности!$D$71:$AT$71,5,INDIRECT("Доходности!D"&amp;(2+Summary!G13)&amp;":AW"&amp;(2+Summary!G13)))/COUNTIF(Доходности!$D$71:$AT$71,5)-IF($B$3="Обычные",0,INDIRECT("Доходности!C"&amp;(2+Summary!G13))),"")</f>
        <v>-1.7153894574069808E-2</v>
      </c>
      <c r="I13" s="6">
        <v>10</v>
      </c>
      <c r="J13" s="9">
        <f ca="1">IFERROR(SUMIF(Доходности!$D$71:$AT$71,6,INDIRECT("Доходности!D"&amp;(2+Summary!I13)&amp;":AW"&amp;(2+Summary!I13)))/COUNTIF(Доходности!$D$71:$AT$71,6)-IF($B$3="Обычные",0,INDIRECT("Доходности!C"&amp;(2+Summary!I13))),"")</f>
        <v>7.8754578754578752E-2</v>
      </c>
      <c r="K13" s="6">
        <v>10</v>
      </c>
      <c r="L13" s="9">
        <f t="shared" ref="L13:L15" ca="1" si="1">(IF(F13="",0,F13)*$F$10+IF(H13="",0,H13)*$H$10+IF(J13="",0,J13)*$J$10)/$L$10</f>
        <v>6.8232237580923318E-3</v>
      </c>
      <c r="M13" s="32"/>
      <c r="N13" s="32"/>
      <c r="O13" s="32"/>
      <c r="P13" s="32"/>
    </row>
    <row r="14" spans="1:16" x14ac:dyDescent="0.2">
      <c r="B14" s="32"/>
      <c r="C14" s="26"/>
      <c r="D14" s="30"/>
      <c r="E14" s="6">
        <v>30</v>
      </c>
      <c r="F14" s="9" t="str">
        <f ca="1">IFERROR(SUMIF(Доходности!$D$71:$AT$71,4,INDIRECT("Доходности!D"&amp;(2+Summary!E14)&amp;":AW"&amp;(2+Summary!E14)))/COUNTIF(Доходности!$D$71:$AT$71,4)-IF($B$3="Обычные",0,INDIRECT("Доходности!C"&amp;(2+Summary!E14))),"")</f>
        <v/>
      </c>
      <c r="G14" s="6">
        <v>30</v>
      </c>
      <c r="H14" s="9">
        <f ca="1">IFERROR(SUMIF(Доходности!$D$71:$AT$71,5,INDIRECT("Доходности!D"&amp;(2+Summary!G14)&amp;":AW"&amp;(2+Summary!G14)))/COUNTIF(Доходности!$D$71:$AT$71,5)-IF($B$3="Обычные",0,INDIRECT("Доходности!C"&amp;(2+Summary!G14))),"")</f>
        <v>-1.1266035042170061E-2</v>
      </c>
      <c r="I14" s="6">
        <v>30</v>
      </c>
      <c r="J14" s="9">
        <f ca="1">IFERROR(SUMIF(Доходности!$D$71:$AT$71,6,INDIRECT("Доходности!D"&amp;(2+Summary!I14)&amp;":AW"&amp;(2+Summary!I14)))/COUNTIF(Доходности!$D$71:$AT$71,6)-IF($B$3="Обычные",0,INDIRECT("Доходности!C"&amp;(2+Summary!I14))),"")</f>
        <v>4.9450549450549448E-2</v>
      </c>
      <c r="K14" s="6">
        <v>30</v>
      </c>
      <c r="L14" s="9">
        <f t="shared" ca="1" si="1"/>
        <v>3.9131110810098155E-3</v>
      </c>
      <c r="M14" s="32"/>
      <c r="N14" s="32"/>
      <c r="O14" s="32"/>
      <c r="P14" s="32"/>
    </row>
    <row r="15" spans="1:16" x14ac:dyDescent="0.2">
      <c r="B15" s="32"/>
      <c r="C15" s="26"/>
      <c r="D15" s="31"/>
      <c r="E15" s="8">
        <v>60</v>
      </c>
      <c r="F15" s="9" t="str">
        <f ca="1">IFERROR(SUMIF(Доходности!$D$71:$AT$71,4,INDIRECT("Доходности!D"&amp;(2+Summary!E15)&amp;":AW"&amp;(2+Summary!E15)))/COUNTIF(Доходности!$D$71:$AT$71,4)-IF($B$3="Обычные",0,INDIRECT("Доходности!C"&amp;(2+Summary!E15))),"")</f>
        <v/>
      </c>
      <c r="G15" s="8">
        <v>60</v>
      </c>
      <c r="H15" s="9">
        <f ca="1">IFERROR(SUMIF(Доходности!$D$71:$AT$71,5,INDIRECT("Доходности!D"&amp;(2+Summary!G15)&amp;":AW"&amp;(2+Summary!G15)))/COUNTIF(Доходности!$D$71:$AT$71,5)-IF($B$3="Обычные",0,INDIRECT("Доходности!C"&amp;(2+Summary!G15))),"")</f>
        <v>0.12763193463074954</v>
      </c>
      <c r="I15" s="8">
        <v>60</v>
      </c>
      <c r="J15" s="9">
        <f ca="1">IFERROR(SUMIF(Доходности!$D$71:$AT$71,6,INDIRECT("Доходности!D"&amp;(2+Summary!I15)&amp;":AW"&amp;(2+Summary!I15)))/COUNTIF(Доходности!$D$71:$AT$71,6)-IF($B$3="Обычные",0,INDIRECT("Доходности!C"&amp;(2+Summary!I15))),"")</f>
        <v>1.851851851851849E-2</v>
      </c>
      <c r="K15" s="8">
        <v>60</v>
      </c>
      <c r="L15" s="9">
        <f t="shared" ca="1" si="1"/>
        <v>0.10035358060269178</v>
      </c>
      <c r="M15" s="32"/>
      <c r="N15" s="32"/>
      <c r="O15" s="32"/>
      <c r="P15" s="32"/>
    </row>
    <row r="16" spans="1:16" x14ac:dyDescent="0.2">
      <c r="B16" s="32"/>
      <c r="C16" s="26"/>
      <c r="D16" s="29" t="s">
        <v>61</v>
      </c>
      <c r="E16" s="4" t="s">
        <v>64</v>
      </c>
      <c r="F16" s="5">
        <f>COUNTIF(Доходности!$D$71:$AT$71,7)</f>
        <v>0</v>
      </c>
      <c r="G16" s="4" t="s">
        <v>64</v>
      </c>
      <c r="H16" s="5">
        <f>COUNTIF(Доходности!$D$71:$AT$71,8)</f>
        <v>0</v>
      </c>
      <c r="I16" s="4" t="s">
        <v>64</v>
      </c>
      <c r="J16" s="5">
        <f>COUNTIF(Доходности!$D$71:$AT$71,9)</f>
        <v>21</v>
      </c>
      <c r="K16" s="4" t="s">
        <v>64</v>
      </c>
      <c r="L16" s="5">
        <f>F16+H16+J16</f>
        <v>21</v>
      </c>
      <c r="M16" s="32"/>
      <c r="N16" s="32"/>
      <c r="O16" s="32"/>
      <c r="P16" s="32"/>
    </row>
    <row r="17" spans="2:16" x14ac:dyDescent="0.2">
      <c r="B17" s="32"/>
      <c r="C17" s="26"/>
      <c r="D17" s="30"/>
      <c r="E17" s="6" t="s">
        <v>57</v>
      </c>
      <c r="F17" s="7"/>
      <c r="G17" s="6" t="s">
        <v>57</v>
      </c>
      <c r="H17" s="7"/>
      <c r="I17" s="6" t="s">
        <v>57</v>
      </c>
      <c r="J17" s="7"/>
      <c r="K17" s="6" t="s">
        <v>57</v>
      </c>
      <c r="L17" s="7"/>
      <c r="M17" s="32"/>
      <c r="N17" s="32"/>
      <c r="O17" s="32"/>
      <c r="P17" s="32"/>
    </row>
    <row r="18" spans="2:16" x14ac:dyDescent="0.2">
      <c r="B18" s="32"/>
      <c r="C18" s="26"/>
      <c r="D18" s="30"/>
      <c r="E18" s="6">
        <v>1</v>
      </c>
      <c r="F18" s="9" t="str">
        <f ca="1">IFERROR(SUMIF(Доходности!$D$71:$AT$71,7,INDIRECT("Доходности!D"&amp;(2+Summary!E18)&amp;":AW"&amp;(2+Summary!E18)))/COUNTIF(Доходности!$D$71:$AT$71,7)-IF($B$3="Обычные",0,INDIRECT("Доходности!C"&amp;(2+Summary!E18))),"")</f>
        <v/>
      </c>
      <c r="G18" s="6">
        <v>1</v>
      </c>
      <c r="H18" s="9" t="str">
        <f ca="1">IFERROR(SUMIF(Доходности!$D$71:$AT$71,8,INDIRECT("Доходности!D"&amp;(2+Summary!G18)&amp;":AW"&amp;(2+Summary!G18)))/COUNTIF(Доходности!$D$71:$AT$71,8)-IF($B$3="Обычные",0,INDIRECT("Доходности!C"&amp;(2+Summary!G18))),"")</f>
        <v/>
      </c>
      <c r="I18" s="6">
        <v>1</v>
      </c>
      <c r="J18" s="9">
        <f ca="1">IFERROR(SUMIF(Доходности!$D$71:$AT$71,9,INDIRECT("Доходности!D"&amp;(2+Summary!I18)&amp;":AW"&amp;(2+Summary!I18)))/COUNTIF(Доходности!$D$71:$AT$71,9)-IF($B$3="Обычные",0,INDIRECT("Доходности!C"&amp;(2+Summary!I18))),"")</f>
        <v>-7.0740484021333972E-3</v>
      </c>
      <c r="K18" s="6">
        <v>1</v>
      </c>
      <c r="L18" s="9">
        <f ca="1">(IF(F18="",0,F18)*$F$16+IF(H18="",0,H18)*$H$16+IF(J18="",0,J18)*$J$16)/$L$16</f>
        <v>-7.0740484021333972E-3</v>
      </c>
      <c r="M18" s="32"/>
      <c r="N18" s="32"/>
      <c r="O18" s="32"/>
      <c r="P18" s="32"/>
    </row>
    <row r="19" spans="2:16" x14ac:dyDescent="0.2">
      <c r="B19" s="32"/>
      <c r="C19" s="26"/>
      <c r="D19" s="30"/>
      <c r="E19" s="6">
        <v>10</v>
      </c>
      <c r="F19" s="9" t="str">
        <f ca="1">IFERROR(SUMIF(Доходности!$D$71:$AT$71,7,INDIRECT("Доходности!D"&amp;(2+Summary!E19)&amp;":AW"&amp;(2+Summary!E19)))/COUNTIF(Доходности!$D$71:$AT$71,7)-IF($B$3="Обычные",0,INDIRECT("Доходности!C"&amp;(2+Summary!E19))),"")</f>
        <v/>
      </c>
      <c r="G19" s="6">
        <v>10</v>
      </c>
      <c r="H19" s="9" t="str">
        <f ca="1">IFERROR(SUMIF(Доходности!$D$71:$AT$71,8,INDIRECT("Доходности!D"&amp;(2+Summary!G19)&amp;":AW"&amp;(2+Summary!G19)))/COUNTIF(Доходности!$D$71:$AT$71,8)-IF($B$3="Обычные",0,INDIRECT("Доходности!C"&amp;(2+Summary!G19))),"")</f>
        <v/>
      </c>
      <c r="I19" s="6">
        <v>10</v>
      </c>
      <c r="J19" s="9">
        <f ca="1">IFERROR(SUMIF(Доходности!$D$71:$AT$71,9,INDIRECT("Доходности!D"&amp;(2+Summary!I19)&amp;":AW"&amp;(2+Summary!I19)))/COUNTIF(Доходности!$D$71:$AT$71,9)-IF($B$3="Обычные",0,INDIRECT("Доходности!C"&amp;(2+Summary!I19))),"")</f>
        <v>-5.4331849946720814E-3</v>
      </c>
      <c r="K19" s="6">
        <v>10</v>
      </c>
      <c r="L19" s="9">
        <f t="shared" ref="L19:L21" ca="1" si="2">(IF(F19="",0,F19)*$F$16+IF(H19="",0,H19)*$H$16+IF(J19="",0,J19)*$J$16)/$L$16</f>
        <v>-5.4331849946720814E-3</v>
      </c>
      <c r="M19" s="32"/>
      <c r="N19" s="32"/>
      <c r="O19" s="32"/>
      <c r="P19" s="32"/>
    </row>
    <row r="20" spans="2:16" x14ac:dyDescent="0.2">
      <c r="B20" s="32"/>
      <c r="C20" s="26"/>
      <c r="D20" s="30"/>
      <c r="E20" s="6">
        <v>30</v>
      </c>
      <c r="F20" s="9" t="str">
        <f ca="1">IFERROR(SUMIF(Доходности!$D$71:$AT$71,7,INDIRECT("Доходности!D"&amp;(2+Summary!E20)&amp;":AW"&amp;(2+Summary!E20)))/COUNTIF(Доходности!$D$71:$AT$71,7)-IF($B$3="Обычные",0,INDIRECT("Доходности!C"&amp;(2+Summary!E20))),"")</f>
        <v/>
      </c>
      <c r="G20" s="6">
        <v>30</v>
      </c>
      <c r="H20" s="9" t="str">
        <f ca="1">IFERROR(SUMIF(Доходности!$D$71:$AT$71,8,INDIRECT("Доходности!D"&amp;(2+Summary!G20)&amp;":AW"&amp;(2+Summary!G20)))/COUNTIF(Доходности!$D$71:$AT$71,8)-IF($B$3="Обычные",0,INDIRECT("Доходности!C"&amp;(2+Summary!G20))),"")</f>
        <v/>
      </c>
      <c r="I20" s="6">
        <v>30</v>
      </c>
      <c r="J20" s="9">
        <f ca="1">IFERROR(SUMIF(Доходности!$D$71:$AT$71,9,INDIRECT("Доходности!D"&amp;(2+Summary!I20)&amp;":AW"&amp;(2+Summary!I20)))/COUNTIF(Доходности!$D$71:$AT$71,9)-IF($B$3="Обычные",0,INDIRECT("Доходности!C"&amp;(2+Summary!I20))),"")</f>
        <v>3.1533240086099583E-2</v>
      </c>
      <c r="K20" s="6">
        <v>30</v>
      </c>
      <c r="L20" s="9">
        <f t="shared" ca="1" si="2"/>
        <v>3.1533240086099583E-2</v>
      </c>
      <c r="M20" s="32"/>
      <c r="N20" s="32"/>
      <c r="O20" s="32"/>
      <c r="P20" s="32"/>
    </row>
    <row r="21" spans="2:16" x14ac:dyDescent="0.2">
      <c r="B21" s="32"/>
      <c r="C21" s="27"/>
      <c r="D21" s="31"/>
      <c r="E21" s="8">
        <v>60</v>
      </c>
      <c r="F21" s="9" t="str">
        <f ca="1">IFERROR(SUMIF(Доходности!$D$71:$AT$71,7,INDIRECT("Доходности!D"&amp;(2+Summary!E21)&amp;":AW"&amp;(2+Summary!E21)))/COUNTIF(Доходности!$D$71:$AT$71,7)-IF($B$3="Обычные",0,INDIRECT("Доходности!C"&amp;(2+Summary!E21))),"")</f>
        <v/>
      </c>
      <c r="G21" s="8">
        <v>60</v>
      </c>
      <c r="H21" s="9" t="str">
        <f ca="1">IFERROR(SUMIF(Доходности!$D$71:$AT$71,8,INDIRECT("Доходности!D"&amp;(2+Summary!G21)&amp;":AW"&amp;(2+Summary!G21)))/COUNTIF(Доходности!$D$71:$AT$71,8)-IF($B$3="Обычные",0,INDIRECT("Доходности!C"&amp;(2+Summary!G21))),"")</f>
        <v/>
      </c>
      <c r="I21" s="8">
        <v>60</v>
      </c>
      <c r="J21" s="9">
        <f ca="1">IFERROR(SUMIF(Доходности!$D$71:$AT$71,9,INDIRECT("Доходности!D"&amp;(2+Summary!I21)&amp;":AW"&amp;(2+Summary!I21)))/COUNTIF(Доходности!$D$71:$AT$71,9)-IF($B$3="Обычные",0,INDIRECT("Доходности!C"&amp;(2+Summary!I21))),"")</f>
        <v>6.9894170865686514E-2</v>
      </c>
      <c r="K21" s="8">
        <v>60</v>
      </c>
      <c r="L21" s="9">
        <f t="shared" ca="1" si="2"/>
        <v>6.9894170865686514E-2</v>
      </c>
      <c r="M21" s="32"/>
      <c r="N21" s="32"/>
      <c r="O21" s="32"/>
      <c r="P21" s="32"/>
    </row>
    <row r="22" spans="2:16" x14ac:dyDescent="0.2">
      <c r="B22" s="32"/>
      <c r="C22" s="13" t="s">
        <v>62</v>
      </c>
      <c r="D22" s="14"/>
      <c r="E22" s="4" t="s">
        <v>64</v>
      </c>
      <c r="F22" s="5">
        <f>F4+F10+F16</f>
        <v>15</v>
      </c>
      <c r="G22" s="4" t="s">
        <v>64</v>
      </c>
      <c r="H22" s="5">
        <f>H4+H10+H16</f>
        <v>4</v>
      </c>
      <c r="I22" s="4" t="s">
        <v>64</v>
      </c>
      <c r="J22" s="5">
        <f>J4+J10+J16</f>
        <v>24</v>
      </c>
      <c r="K22" s="4" t="s">
        <v>64</v>
      </c>
      <c r="L22" s="5">
        <f>F22+H22+J22</f>
        <v>43</v>
      </c>
      <c r="M22" s="32"/>
      <c r="N22" s="32"/>
      <c r="O22" s="32"/>
      <c r="P22" s="32"/>
    </row>
    <row r="23" spans="2:16" x14ac:dyDescent="0.2">
      <c r="B23" s="32"/>
      <c r="C23" s="15"/>
      <c r="D23" s="16"/>
      <c r="E23" s="6" t="s">
        <v>57</v>
      </c>
      <c r="F23" s="7"/>
      <c r="G23" s="6" t="s">
        <v>57</v>
      </c>
      <c r="H23" s="7"/>
      <c r="I23" s="6" t="s">
        <v>57</v>
      </c>
      <c r="J23" s="7"/>
      <c r="K23" s="6" t="s">
        <v>57</v>
      </c>
      <c r="L23" s="7"/>
      <c r="M23" s="32"/>
      <c r="N23" s="32"/>
      <c r="O23" s="32"/>
      <c r="P23" s="32"/>
    </row>
    <row r="24" spans="2:16" x14ac:dyDescent="0.2">
      <c r="B24" s="32"/>
      <c r="C24" s="15"/>
      <c r="D24" s="16"/>
      <c r="E24" s="6">
        <v>1</v>
      </c>
      <c r="F24" s="9">
        <f ca="1">(IF(F6="",0,F6)*$F$4+IF(F12="",0,F12)*$F$10+IF(F18="",0,F18)*$F$16)/$F$22</f>
        <v>-1.1524411010072394E-3</v>
      </c>
      <c r="G24" s="6">
        <v>1</v>
      </c>
      <c r="H24" s="9">
        <f ca="1">(IF(H6="",0,H6)*$H$4+IF(H12="",0,H12)*$H$10+IF(H18="",0,H18)*$H$16)/$H$22</f>
        <v>-1.0078922071315635E-2</v>
      </c>
      <c r="I24" s="6">
        <v>1</v>
      </c>
      <c r="J24" s="9">
        <f ca="1">(IF(J6="",0,J6)*$J$4+IF(J12="",0,J12)*$J$10+IF(J18="",0,J18)*$J$16)/$J$22</f>
        <v>-5.4406900952604434E-3</v>
      </c>
      <c r="K24" s="6">
        <v>1</v>
      </c>
      <c r="L24" s="9">
        <f ca="1">(IF(L6="",0,L6)*$L$4+IF(L12="",0,L12)*$L$10+IF(L18="",0,L18)*$L$16)/$L$22</f>
        <v>-4.3762527229446926E-3</v>
      </c>
      <c r="M24" s="32"/>
      <c r="N24" s="32"/>
      <c r="O24" s="32"/>
      <c r="P24" s="32"/>
    </row>
    <row r="25" spans="2:16" x14ac:dyDescent="0.2">
      <c r="B25" s="32"/>
      <c r="C25" s="15"/>
      <c r="D25" s="16"/>
      <c r="E25" s="6">
        <v>10</v>
      </c>
      <c r="F25" s="9">
        <f t="shared" ref="F25:F27" ca="1" si="3">(IF(F7="",0,F7)*$F$4+IF(F13="",0,F13)*$F$10+IF(F19="",0,F19)*$F$16)/$F$22</f>
        <v>-1.0347249899568109E-2</v>
      </c>
      <c r="G25" s="6">
        <v>10</v>
      </c>
      <c r="H25" s="9">
        <f ca="1">(IF(H7="",0,H7)*$H$4+IF(H13="",0,H13)*$H$10+IF(H19="",0,H19)*$H$16)/$H$22</f>
        <v>-2.349256542159317E-2</v>
      </c>
      <c r="I25" s="6">
        <v>10</v>
      </c>
      <c r="J25" s="9">
        <f ca="1">(IF(J7="",0,J7)*$J$4+IF(J13="",0,J13)*$J$10+IF(J19="",0,J19)*$J$16)/$J$22</f>
        <v>-1.9880237259972482E-3</v>
      </c>
      <c r="K25" s="6">
        <v>10</v>
      </c>
      <c r="L25" s="9">
        <f ca="1">(IF(L7="",0,L7)*$L$4+IF(L13="",0,L13)*$L$10+IF(L19="",0,L19)*$L$16)/$L$22</f>
        <v>-6.9044553396239126E-3</v>
      </c>
      <c r="M25" s="32"/>
      <c r="N25" s="32"/>
      <c r="O25" s="32"/>
      <c r="P25" s="32"/>
    </row>
    <row r="26" spans="2:16" x14ac:dyDescent="0.2">
      <c r="B26" s="32"/>
      <c r="C26" s="15"/>
      <c r="D26" s="16"/>
      <c r="E26" s="6">
        <v>30</v>
      </c>
      <c r="F26" s="9">
        <f t="shared" ca="1" si="3"/>
        <v>2.8234158755365391E-2</v>
      </c>
      <c r="G26" s="6">
        <v>30</v>
      </c>
      <c r="H26" s="9">
        <f ca="1">(IF(H8="",0,H8)*$H$4+IF(H14="",0,H14)*$H$10+IF(H20="",0,H20)*$H$16)/$H$22</f>
        <v>-1.8730870898623804E-3</v>
      </c>
      <c r="I26" s="6">
        <v>30</v>
      </c>
      <c r="J26" s="9">
        <f ca="1">(IF(J8="",0,J8)*$J$4+IF(J14="",0,J14)*$J$10+IF(J20="",0,J20)*$J$16)/$J$22</f>
        <v>2.9569729466827965E-2</v>
      </c>
      <c r="K26" s="6">
        <v>30</v>
      </c>
      <c r="L26" s="9">
        <f ca="1">(IF(L8="",0,L8)*$L$4+IF(L14="",0,L14)*$L$10+IF(L20="",0,L20)*$L$16)/$L$22</f>
        <v>2.6178919538951219E-2</v>
      </c>
      <c r="M26" s="32"/>
      <c r="N26" s="32"/>
      <c r="O26" s="32"/>
      <c r="P26" s="32"/>
    </row>
    <row r="27" spans="2:16" x14ac:dyDescent="0.2">
      <c r="B27" s="32"/>
      <c r="C27" s="17"/>
      <c r="D27" s="18"/>
      <c r="E27" s="8">
        <v>60</v>
      </c>
      <c r="F27" s="9">
        <f t="shared" ca="1" si="3"/>
        <v>3.7061324575359059E-2</v>
      </c>
      <c r="G27" s="8">
        <v>60</v>
      </c>
      <c r="H27" s="9">
        <f ca="1">(IF(H9="",0,H9)*$H$4+IF(H15="",0,H15)*$H$10+IF(H21="",0,H21)*$H$16)/$H$22</f>
        <v>0.10577923118655816</v>
      </c>
      <c r="I27" s="8">
        <v>60</v>
      </c>
      <c r="J27" s="9">
        <f ca="1">(IF(J9="",0,J9)*$J$4+IF(J15="",0,J15)*$J$10+IF(J21="",0,J21)*$J$16)/$J$22</f>
        <v>6.3873246726828495E-2</v>
      </c>
      <c r="K27" s="8">
        <v>60</v>
      </c>
      <c r="L27" s="10">
        <f ca="1">(IF(L9="",0,L9)*$L$4+IF(L15="",0,L15)*$L$10+IF(L21="",0,L21)*$L$16)/$L$22</f>
        <v>5.8418481740011692E-2</v>
      </c>
      <c r="M27" s="36"/>
      <c r="N27" s="32"/>
      <c r="O27" s="32"/>
      <c r="P27" s="32"/>
    </row>
    <row r="28" spans="2:16" x14ac:dyDescent="0.2">
      <c r="B28" s="32"/>
      <c r="C28" s="32"/>
      <c r="D28" s="32"/>
      <c r="E28" s="32"/>
      <c r="F28" s="34"/>
      <c r="G28" s="32"/>
      <c r="H28" s="34"/>
      <c r="I28" s="32"/>
      <c r="J28" s="34"/>
      <c r="K28" s="32"/>
      <c r="L28" s="32"/>
      <c r="M28" s="32"/>
      <c r="N28" s="32"/>
      <c r="O28" s="32"/>
      <c r="P28" s="32"/>
    </row>
    <row r="29" spans="2:16" x14ac:dyDescent="0.2">
      <c r="B29" s="32"/>
      <c r="C29" s="32"/>
      <c r="D29" s="32"/>
      <c r="E29" s="32"/>
      <c r="F29" s="35"/>
      <c r="G29" s="32"/>
      <c r="H29" s="32"/>
      <c r="I29" s="32"/>
      <c r="J29" s="32"/>
      <c r="K29" s="32"/>
      <c r="L29" s="32"/>
      <c r="M29" s="32"/>
      <c r="N29" s="32"/>
      <c r="O29" s="32"/>
      <c r="P29" s="32"/>
    </row>
    <row r="30" spans="2:16" x14ac:dyDescent="0.2"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</row>
    <row r="31" spans="2:16" x14ac:dyDescent="0.2"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</row>
    <row r="32" spans="2:16" x14ac:dyDescent="0.2"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</row>
    <row r="33" spans="2:16" x14ac:dyDescent="0.2"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</row>
    <row r="34" spans="2:16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</row>
    <row r="35" spans="2:16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</row>
    <row r="36" spans="2:16" x14ac:dyDescent="0.2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</row>
    <row r="37" spans="2:16" x14ac:dyDescent="0.2"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</row>
    <row r="38" spans="2:16" x14ac:dyDescent="0.2">
      <c r="B38" s="32"/>
    </row>
    <row r="39" spans="2:16" x14ac:dyDescent="0.2">
      <c r="B39" s="32"/>
    </row>
    <row r="40" spans="2:16" x14ac:dyDescent="0.2">
      <c r="B40" s="32"/>
    </row>
    <row r="41" spans="2:16" x14ac:dyDescent="0.2">
      <c r="B41" s="32"/>
    </row>
    <row r="42" spans="2:16" x14ac:dyDescent="0.2">
      <c r="B42" s="32"/>
    </row>
    <row r="43" spans="2:16" x14ac:dyDescent="0.2">
      <c r="B43" s="32"/>
    </row>
    <row r="44" spans="2:16" x14ac:dyDescent="0.2">
      <c r="B44" s="32"/>
    </row>
  </sheetData>
  <mergeCells count="11">
    <mergeCell ref="C22:D27"/>
    <mergeCell ref="C2:D3"/>
    <mergeCell ref="E2:J2"/>
    <mergeCell ref="K2:L3"/>
    <mergeCell ref="E3:F3"/>
    <mergeCell ref="G3:H3"/>
    <mergeCell ref="I3:J3"/>
    <mergeCell ref="C4:C21"/>
    <mergeCell ref="D4:D9"/>
    <mergeCell ref="D10:D15"/>
    <mergeCell ref="D16:D21"/>
  </mergeCells>
  <dataValidations count="2">
    <dataValidation type="list" allowBlank="1" showInputMessage="1" showErrorMessage="1" sqref="B2" xr:uid="{00000000-0002-0000-0000-000000000000}">
      <formula1>"CAPM,Fama-French"</formula1>
    </dataValidation>
    <dataValidation type="list" allowBlank="1" showInputMessage="1" showErrorMessage="1" sqref="B3" xr:uid="{00000000-0002-0000-0000-000001000000}">
      <formula1>"Обычные, Превышение над рынком"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X65"/>
  <sheetViews>
    <sheetView topLeftCell="A28" workbookViewId="0">
      <selection activeCell="A63" sqref="A63"/>
    </sheetView>
  </sheetViews>
  <sheetFormatPr baseColWidth="10" defaultColWidth="8.83203125" defaultRowHeight="15" x14ac:dyDescent="0.2"/>
  <cols>
    <col min="1" max="1" width="10.1640625" bestFit="1" customWidth="1"/>
    <col min="2" max="2" width="13.1640625" bestFit="1" customWidth="1"/>
  </cols>
  <sheetData>
    <row r="1" spans="1:50" x14ac:dyDescent="0.2">
      <c r="A1" s="1" t="s">
        <v>48</v>
      </c>
      <c r="B1" s="1" t="s">
        <v>66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39</v>
      </c>
      <c r="AQ1" s="1" t="s">
        <v>40</v>
      </c>
      <c r="AR1" s="1" t="s">
        <v>41</v>
      </c>
      <c r="AS1" s="1" t="s">
        <v>42</v>
      </c>
      <c r="AT1" s="1" t="s">
        <v>43</v>
      </c>
      <c r="AU1" s="1" t="s">
        <v>44</v>
      </c>
      <c r="AV1" s="1" t="s">
        <v>45</v>
      </c>
      <c r="AW1" s="1" t="s">
        <v>46</v>
      </c>
      <c r="AX1" s="1" t="s">
        <v>47</v>
      </c>
    </row>
    <row r="2" spans="1:50" x14ac:dyDescent="0.2">
      <c r="A2" s="1" t="s">
        <v>67</v>
      </c>
      <c r="B2">
        <v>1883.34</v>
      </c>
      <c r="C2">
        <v>150.13</v>
      </c>
      <c r="D2">
        <v>120.5</v>
      </c>
      <c r="E2">
        <v>2774</v>
      </c>
      <c r="F2">
        <v>8100</v>
      </c>
      <c r="G2">
        <v>634.29999999999995</v>
      </c>
      <c r="H2">
        <v>26.23</v>
      </c>
      <c r="I2">
        <v>4445</v>
      </c>
      <c r="J2">
        <v>360</v>
      </c>
      <c r="K2">
        <v>306</v>
      </c>
      <c r="L2">
        <v>9380.84</v>
      </c>
      <c r="M2">
        <v>252.25</v>
      </c>
      <c r="N2">
        <v>106.15</v>
      </c>
      <c r="O2">
        <v>3.9874999999999998</v>
      </c>
      <c r="P2">
        <v>109.19</v>
      </c>
      <c r="Q2">
        <v>85.81</v>
      </c>
      <c r="R2">
        <v>732.3</v>
      </c>
      <c r="S2">
        <v>6.5250000000000002E-2</v>
      </c>
      <c r="T2">
        <v>70.900000000000006</v>
      </c>
      <c r="U2">
        <v>2260</v>
      </c>
      <c r="V2">
        <v>12.85</v>
      </c>
      <c r="W2">
        <v>29.765000000000001</v>
      </c>
      <c r="X2">
        <v>304.10000000000002</v>
      </c>
      <c r="Y2">
        <v>0.79390000000000005</v>
      </c>
      <c r="Z2">
        <v>0.16270000000000001</v>
      </c>
      <c r="AA2">
        <v>192.85</v>
      </c>
      <c r="AB2">
        <v>883.5</v>
      </c>
      <c r="AC2">
        <v>0.76870000000000005</v>
      </c>
      <c r="AD2">
        <v>2.6</v>
      </c>
      <c r="AE2">
        <v>332</v>
      </c>
      <c r="AF2">
        <v>389.4</v>
      </c>
      <c r="AG2">
        <v>81</v>
      </c>
      <c r="AH2">
        <v>139.9</v>
      </c>
      <c r="AI2">
        <v>6.8550000000000004</v>
      </c>
      <c r="AJ2">
        <v>3012</v>
      </c>
      <c r="AK2">
        <v>2.3264999999999998</v>
      </c>
      <c r="AL2">
        <v>130</v>
      </c>
      <c r="AM2">
        <v>2625</v>
      </c>
      <c r="AN2">
        <v>14450</v>
      </c>
      <c r="AO2">
        <v>48.6</v>
      </c>
      <c r="AP2">
        <v>1229</v>
      </c>
      <c r="AQ2">
        <v>546</v>
      </c>
      <c r="AR2">
        <v>107.5</v>
      </c>
      <c r="AS2">
        <v>59</v>
      </c>
      <c r="AT2">
        <v>0.88</v>
      </c>
      <c r="AU2">
        <v>50.7</v>
      </c>
      <c r="AV2">
        <v>55.77</v>
      </c>
      <c r="AW2">
        <v>0.38900000000000001</v>
      </c>
      <c r="AX2">
        <v>743</v>
      </c>
    </row>
    <row r="3" spans="1:50" x14ac:dyDescent="0.2">
      <c r="A3" s="1" t="s">
        <v>69</v>
      </c>
      <c r="B3">
        <v>1861.27</v>
      </c>
      <c r="C3">
        <v>146</v>
      </c>
      <c r="D3">
        <v>118.15</v>
      </c>
      <c r="E3">
        <v>2760.5</v>
      </c>
      <c r="F3">
        <v>8058</v>
      </c>
      <c r="G3">
        <v>616.1</v>
      </c>
      <c r="H3">
        <v>25.795000000000002</v>
      </c>
      <c r="I3">
        <v>4428</v>
      </c>
      <c r="J3">
        <v>360.3</v>
      </c>
      <c r="K3">
        <v>312.14999999999998</v>
      </c>
      <c r="L3">
        <v>9533.9599999999991</v>
      </c>
      <c r="M3">
        <v>249.65</v>
      </c>
      <c r="N3">
        <v>107.09</v>
      </c>
      <c r="O3">
        <v>4.0750000000000002</v>
      </c>
      <c r="P3">
        <v>104.89</v>
      </c>
      <c r="Q3">
        <v>83.9</v>
      </c>
      <c r="R3">
        <v>722.6</v>
      </c>
      <c r="S3">
        <v>6.4500000000000002E-2</v>
      </c>
      <c r="T3">
        <v>70.400000000000006</v>
      </c>
      <c r="U3">
        <v>2200</v>
      </c>
      <c r="V3">
        <v>12.725</v>
      </c>
      <c r="W3">
        <v>29.795000000000002</v>
      </c>
      <c r="X3">
        <v>302.8</v>
      </c>
      <c r="Y3">
        <v>0.80799999999999994</v>
      </c>
      <c r="Z3">
        <v>0.16320000000000001</v>
      </c>
      <c r="AA3">
        <v>189</v>
      </c>
      <c r="AB3">
        <v>898</v>
      </c>
      <c r="AC3">
        <v>0.75849999999999995</v>
      </c>
      <c r="AD3">
        <v>2.637</v>
      </c>
      <c r="AE3">
        <v>342</v>
      </c>
      <c r="AF3">
        <v>390</v>
      </c>
      <c r="AG3">
        <v>81</v>
      </c>
      <c r="AH3">
        <v>137.35</v>
      </c>
      <c r="AI3">
        <v>6.8250000000000002</v>
      </c>
      <c r="AJ3">
        <v>2975</v>
      </c>
      <c r="AK3">
        <v>2.3559999999999999</v>
      </c>
      <c r="AL3">
        <v>128.80000000000001</v>
      </c>
      <c r="AM3">
        <v>2532</v>
      </c>
      <c r="AN3">
        <v>14450</v>
      </c>
      <c r="AO3">
        <v>48.5</v>
      </c>
      <c r="AP3">
        <v>1221</v>
      </c>
      <c r="AQ3">
        <v>539</v>
      </c>
      <c r="AR3">
        <v>106.3</v>
      </c>
      <c r="AS3">
        <v>58.55</v>
      </c>
      <c r="AT3">
        <v>0.871</v>
      </c>
      <c r="AU3">
        <v>50.65</v>
      </c>
      <c r="AV3">
        <v>57.68</v>
      </c>
      <c r="AW3">
        <v>0.39900000000000002</v>
      </c>
      <c r="AX3">
        <v>742</v>
      </c>
    </row>
    <row r="4" spans="1:50" x14ac:dyDescent="0.2">
      <c r="A4" s="1" t="s">
        <v>70</v>
      </c>
      <c r="B4">
        <v>1838.32</v>
      </c>
      <c r="C4">
        <v>143</v>
      </c>
      <c r="D4">
        <v>115.35</v>
      </c>
      <c r="E4">
        <v>2730</v>
      </c>
      <c r="F4">
        <v>8113</v>
      </c>
      <c r="G4">
        <v>622.20000000000005</v>
      </c>
      <c r="H4">
        <v>25.2</v>
      </c>
      <c r="I4">
        <v>4460</v>
      </c>
      <c r="J4">
        <v>365.65</v>
      </c>
      <c r="K4">
        <v>304.3</v>
      </c>
      <c r="L4">
        <v>9532.9599999999991</v>
      </c>
      <c r="M4">
        <v>245</v>
      </c>
      <c r="N4">
        <v>107.5</v>
      </c>
      <c r="O4">
        <v>3.8</v>
      </c>
      <c r="P4">
        <v>104.81</v>
      </c>
      <c r="Q4">
        <v>81</v>
      </c>
      <c r="R4">
        <v>689.5</v>
      </c>
      <c r="S4">
        <v>6.4000000000000001E-2</v>
      </c>
      <c r="T4">
        <v>70.3</v>
      </c>
      <c r="U4">
        <v>2169</v>
      </c>
      <c r="V4">
        <v>12.62</v>
      </c>
      <c r="W4">
        <v>29.4</v>
      </c>
      <c r="X4">
        <v>305</v>
      </c>
      <c r="Y4">
        <v>0.79799999999999993</v>
      </c>
      <c r="Z4">
        <v>0.16</v>
      </c>
      <c r="AA4">
        <v>190</v>
      </c>
      <c r="AB4">
        <v>887.5</v>
      </c>
      <c r="AC4">
        <v>0.73950000000000005</v>
      </c>
      <c r="AD4">
        <v>2.6280000000000001</v>
      </c>
      <c r="AE4">
        <v>353</v>
      </c>
      <c r="AF4">
        <v>390.4</v>
      </c>
      <c r="AG4">
        <v>79.5</v>
      </c>
      <c r="AH4">
        <v>130.30000000000001</v>
      </c>
      <c r="AI4">
        <v>6.8650000000000002</v>
      </c>
      <c r="AJ4">
        <v>2933</v>
      </c>
      <c r="AK4">
        <v>2.3029999999999999</v>
      </c>
      <c r="AL4">
        <v>128</v>
      </c>
      <c r="AM4">
        <v>2325</v>
      </c>
      <c r="AN4">
        <v>14360</v>
      </c>
      <c r="AO4">
        <v>49.3</v>
      </c>
      <c r="AP4">
        <v>1210</v>
      </c>
      <c r="AQ4">
        <v>548</v>
      </c>
      <c r="AR4">
        <v>106.9</v>
      </c>
      <c r="AS4">
        <v>57.1</v>
      </c>
      <c r="AT4">
        <v>0.8640000000000001</v>
      </c>
      <c r="AU4">
        <v>50.5</v>
      </c>
      <c r="AV4">
        <v>54.02</v>
      </c>
      <c r="AW4">
        <v>0.3795</v>
      </c>
      <c r="AX4">
        <v>744.5</v>
      </c>
    </row>
    <row r="5" spans="1:50" x14ac:dyDescent="0.2">
      <c r="A5" s="1" t="s">
        <v>71</v>
      </c>
      <c r="B5">
        <v>1817.82</v>
      </c>
      <c r="C5">
        <v>139</v>
      </c>
      <c r="D5">
        <v>115.49</v>
      </c>
      <c r="E5">
        <v>2712</v>
      </c>
      <c r="F5">
        <v>8011</v>
      </c>
      <c r="G5">
        <v>617.70000000000005</v>
      </c>
      <c r="H5">
        <v>24.81</v>
      </c>
      <c r="I5">
        <v>4400</v>
      </c>
      <c r="J5">
        <v>365</v>
      </c>
      <c r="K5">
        <v>301.60000000000002</v>
      </c>
      <c r="L5">
        <v>9394.76</v>
      </c>
      <c r="M5">
        <v>240.75</v>
      </c>
      <c r="N5">
        <v>102.73</v>
      </c>
      <c r="O5">
        <v>3.8450000000000002</v>
      </c>
      <c r="P5">
        <v>101.54</v>
      </c>
      <c r="Q5">
        <v>80.900000000000006</v>
      </c>
      <c r="R5">
        <v>697.2</v>
      </c>
      <c r="S5">
        <v>6.3899999999999998E-2</v>
      </c>
      <c r="T5">
        <v>69.31</v>
      </c>
      <c r="U5">
        <v>2203</v>
      </c>
      <c r="V5">
        <v>12.1</v>
      </c>
      <c r="W5">
        <v>28.82</v>
      </c>
      <c r="X5">
        <v>290.10000000000002</v>
      </c>
      <c r="Y5">
        <v>0.77969999999999995</v>
      </c>
      <c r="Z5">
        <v>0.15479999999999999</v>
      </c>
      <c r="AA5">
        <v>182.2</v>
      </c>
      <c r="AB5">
        <v>870</v>
      </c>
      <c r="AC5">
        <v>0.72450000000000003</v>
      </c>
      <c r="AD5">
        <v>2.5779999999999998</v>
      </c>
      <c r="AE5">
        <v>343</v>
      </c>
      <c r="AF5">
        <v>391.3</v>
      </c>
      <c r="AG5">
        <v>77.150000000000006</v>
      </c>
      <c r="AH5">
        <v>128.5</v>
      </c>
      <c r="AI5">
        <v>6.7149999999999999</v>
      </c>
      <c r="AJ5">
        <v>2917</v>
      </c>
      <c r="AK5">
        <v>2.3094999999999999</v>
      </c>
      <c r="AL5">
        <v>126.4</v>
      </c>
      <c r="AM5">
        <v>2400</v>
      </c>
      <c r="AN5">
        <v>14410</v>
      </c>
      <c r="AO5">
        <v>48.9</v>
      </c>
      <c r="AP5">
        <v>1240</v>
      </c>
      <c r="AQ5">
        <v>544</v>
      </c>
      <c r="AR5">
        <v>104</v>
      </c>
      <c r="AS5">
        <v>55.6</v>
      </c>
      <c r="AT5">
        <v>0.83299999999999996</v>
      </c>
      <c r="AU5">
        <v>50.05</v>
      </c>
      <c r="AV5">
        <v>54.5</v>
      </c>
      <c r="AW5">
        <v>0.37130000000000002</v>
      </c>
      <c r="AX5">
        <v>742.5</v>
      </c>
    </row>
    <row r="6" spans="1:50" x14ac:dyDescent="0.2">
      <c r="A6" s="1" t="s">
        <v>72</v>
      </c>
      <c r="B6">
        <v>1822.91</v>
      </c>
      <c r="C6">
        <v>141.63</v>
      </c>
      <c r="D6">
        <v>116.02</v>
      </c>
      <c r="E6">
        <v>2685</v>
      </c>
      <c r="F6">
        <v>8154</v>
      </c>
      <c r="G6">
        <v>616.9</v>
      </c>
      <c r="H6">
        <v>24.89</v>
      </c>
      <c r="I6">
        <v>4236</v>
      </c>
      <c r="J6">
        <v>350.1</v>
      </c>
      <c r="K6">
        <v>306.5</v>
      </c>
      <c r="L6">
        <v>9357.98</v>
      </c>
      <c r="M6">
        <v>237.5</v>
      </c>
      <c r="N6">
        <v>103.12</v>
      </c>
      <c r="O6">
        <v>3.6930000000000001</v>
      </c>
      <c r="P6">
        <v>102.95</v>
      </c>
      <c r="Q6">
        <v>83.12</v>
      </c>
      <c r="R6">
        <v>717</v>
      </c>
      <c r="S6">
        <v>6.3899999999999998E-2</v>
      </c>
      <c r="T6">
        <v>71.069999999999993</v>
      </c>
      <c r="U6">
        <v>2208</v>
      </c>
      <c r="V6">
        <v>12.49</v>
      </c>
      <c r="W6">
        <v>29.38</v>
      </c>
      <c r="X6">
        <v>291.8</v>
      </c>
      <c r="Y6">
        <v>0.79</v>
      </c>
      <c r="Z6">
        <v>0.156</v>
      </c>
      <c r="AA6">
        <v>174.65</v>
      </c>
      <c r="AB6">
        <v>883</v>
      </c>
      <c r="AC6">
        <v>0.748</v>
      </c>
      <c r="AD6">
        <v>2.5750000000000002</v>
      </c>
      <c r="AE6">
        <v>351.5</v>
      </c>
      <c r="AF6">
        <v>389.1</v>
      </c>
      <c r="AG6">
        <v>74.97</v>
      </c>
      <c r="AH6">
        <v>121.95</v>
      </c>
      <c r="AI6">
        <v>6.77</v>
      </c>
      <c r="AJ6">
        <v>2933</v>
      </c>
      <c r="AK6">
        <v>2.1595</v>
      </c>
      <c r="AL6">
        <v>127.3</v>
      </c>
      <c r="AM6">
        <v>2595</v>
      </c>
      <c r="AN6">
        <v>14440</v>
      </c>
      <c r="AO6">
        <v>48</v>
      </c>
      <c r="AP6">
        <v>1202</v>
      </c>
      <c r="AQ6">
        <v>550</v>
      </c>
      <c r="AR6">
        <v>103.3</v>
      </c>
      <c r="AS6">
        <v>58</v>
      </c>
      <c r="AT6">
        <v>0.82099999999999995</v>
      </c>
      <c r="AU6">
        <v>49.9</v>
      </c>
      <c r="AV6">
        <v>52.59</v>
      </c>
      <c r="AW6">
        <v>0.38150000000000001</v>
      </c>
      <c r="AX6">
        <v>742.5</v>
      </c>
    </row>
    <row r="7" spans="1:50" x14ac:dyDescent="0.2">
      <c r="A7" s="1" t="s">
        <v>73</v>
      </c>
      <c r="B7">
        <v>1849.78</v>
      </c>
      <c r="C7">
        <v>145</v>
      </c>
      <c r="D7">
        <v>117.33</v>
      </c>
      <c r="E7">
        <v>2779.5</v>
      </c>
      <c r="F7">
        <v>8250</v>
      </c>
      <c r="G7">
        <v>626.70000000000005</v>
      </c>
      <c r="H7">
        <v>24.85</v>
      </c>
      <c r="I7">
        <v>4102</v>
      </c>
      <c r="J7">
        <v>368.55</v>
      </c>
      <c r="K7">
        <v>311</v>
      </c>
      <c r="L7">
        <v>9484.25</v>
      </c>
      <c r="M7">
        <v>239.4</v>
      </c>
      <c r="N7">
        <v>106.9</v>
      </c>
      <c r="O7">
        <v>3.6004999999999998</v>
      </c>
      <c r="P7">
        <v>104.29</v>
      </c>
      <c r="Q7">
        <v>82.97</v>
      </c>
      <c r="R7">
        <v>684.2</v>
      </c>
      <c r="S7">
        <v>6.3219000000000011E-2</v>
      </c>
      <c r="T7">
        <v>70</v>
      </c>
      <c r="U7">
        <v>2245</v>
      </c>
      <c r="V7">
        <v>13.07</v>
      </c>
      <c r="W7">
        <v>29.31</v>
      </c>
      <c r="X7">
        <v>294.89999999999998</v>
      </c>
      <c r="Y7">
        <v>0.77490000000000003</v>
      </c>
      <c r="Z7">
        <v>0.15409999999999999</v>
      </c>
      <c r="AA7">
        <v>181.5</v>
      </c>
      <c r="AB7">
        <v>796</v>
      </c>
      <c r="AC7">
        <v>0.73960000000000004</v>
      </c>
      <c r="AD7">
        <v>2.5459999999999998</v>
      </c>
      <c r="AE7">
        <v>362</v>
      </c>
      <c r="AF7">
        <v>390.5</v>
      </c>
      <c r="AG7">
        <v>74.3</v>
      </c>
      <c r="AH7">
        <v>126.2</v>
      </c>
      <c r="AI7">
        <v>6.8</v>
      </c>
      <c r="AJ7">
        <v>2955</v>
      </c>
      <c r="AK7">
        <v>2.1665000000000001</v>
      </c>
      <c r="AL7">
        <v>127</v>
      </c>
      <c r="AM7">
        <v>2580</v>
      </c>
      <c r="AN7">
        <v>14510</v>
      </c>
      <c r="AO7">
        <v>48.5</v>
      </c>
      <c r="AP7">
        <v>1260</v>
      </c>
      <c r="AQ7">
        <v>553</v>
      </c>
      <c r="AR7">
        <v>104</v>
      </c>
      <c r="AS7">
        <v>57.9</v>
      </c>
      <c r="AT7">
        <v>0.82700000000000007</v>
      </c>
      <c r="AU7">
        <v>50.1</v>
      </c>
      <c r="AV7">
        <v>54.87</v>
      </c>
      <c r="AW7">
        <v>0.3785</v>
      </c>
      <c r="AX7">
        <v>745.5</v>
      </c>
    </row>
    <row r="8" spans="1:50" x14ac:dyDescent="0.2">
      <c r="A8" s="1" t="s">
        <v>74</v>
      </c>
      <c r="B8">
        <v>1857.96</v>
      </c>
      <c r="C8">
        <v>144.9</v>
      </c>
      <c r="D8">
        <v>117.44</v>
      </c>
      <c r="E8">
        <v>2769</v>
      </c>
      <c r="F8">
        <v>8311</v>
      </c>
      <c r="G8">
        <v>619.79999999999995</v>
      </c>
      <c r="H8">
        <v>25.785</v>
      </c>
      <c r="I8">
        <v>4228</v>
      </c>
      <c r="J8">
        <v>369</v>
      </c>
      <c r="K8">
        <v>316</v>
      </c>
      <c r="L8">
        <v>9557.82</v>
      </c>
      <c r="M8">
        <v>242.95</v>
      </c>
      <c r="N8">
        <v>105.05</v>
      </c>
      <c r="O8">
        <v>3.677</v>
      </c>
      <c r="P8">
        <v>104.81</v>
      </c>
      <c r="Q8">
        <v>83.1</v>
      </c>
      <c r="R8">
        <v>704</v>
      </c>
      <c r="S8">
        <v>6.3899999999999998E-2</v>
      </c>
      <c r="T8">
        <v>70</v>
      </c>
      <c r="U8">
        <v>2308</v>
      </c>
      <c r="V8">
        <v>13.03</v>
      </c>
      <c r="W8">
        <v>29.69</v>
      </c>
      <c r="X8">
        <v>292.10000000000002</v>
      </c>
      <c r="Y8">
        <v>0.7659999999999999</v>
      </c>
      <c r="Z8">
        <v>0.15479999999999999</v>
      </c>
      <c r="AA8">
        <v>181.4</v>
      </c>
      <c r="AB8">
        <v>785</v>
      </c>
      <c r="AC8">
        <v>0.76349999999999996</v>
      </c>
      <c r="AD8">
        <v>2.5390000000000001</v>
      </c>
      <c r="AE8">
        <v>364</v>
      </c>
      <c r="AF8">
        <v>389.6</v>
      </c>
      <c r="AG8">
        <v>75.48</v>
      </c>
      <c r="AH8">
        <v>130.65</v>
      </c>
      <c r="AI8">
        <v>6.77</v>
      </c>
      <c r="AJ8">
        <v>3029</v>
      </c>
      <c r="AK8">
        <v>2.1539999999999999</v>
      </c>
      <c r="AL8">
        <v>125</v>
      </c>
      <c r="AM8">
        <v>2553</v>
      </c>
      <c r="AN8">
        <v>14790</v>
      </c>
      <c r="AO8">
        <v>47.6</v>
      </c>
      <c r="AP8">
        <v>1266</v>
      </c>
      <c r="AQ8">
        <v>560</v>
      </c>
      <c r="AR8">
        <v>104.3</v>
      </c>
      <c r="AS8">
        <v>58.15</v>
      </c>
      <c r="AT8">
        <v>0.80099999999999993</v>
      </c>
      <c r="AU8">
        <v>50.25</v>
      </c>
      <c r="AV8">
        <v>55.33</v>
      </c>
      <c r="AW8">
        <v>0.38300000000000001</v>
      </c>
      <c r="AX8">
        <v>738</v>
      </c>
    </row>
    <row r="9" spans="1:50" x14ac:dyDescent="0.2">
      <c r="A9" s="1" t="s">
        <v>75</v>
      </c>
      <c r="B9">
        <v>1850.81</v>
      </c>
      <c r="C9">
        <v>143.49</v>
      </c>
      <c r="D9">
        <v>117.97</v>
      </c>
      <c r="E9">
        <v>2728.5</v>
      </c>
      <c r="F9">
        <v>8290</v>
      </c>
      <c r="G9">
        <v>611</v>
      </c>
      <c r="H9">
        <v>25.5</v>
      </c>
      <c r="I9">
        <v>4215</v>
      </c>
      <c r="J9">
        <v>376.4</v>
      </c>
      <c r="K9">
        <v>318.39999999999998</v>
      </c>
      <c r="L9">
        <v>9444.48</v>
      </c>
      <c r="M9">
        <v>240.35</v>
      </c>
      <c r="N9">
        <v>103.97</v>
      </c>
      <c r="O9">
        <v>3.7530000000000001</v>
      </c>
      <c r="P9">
        <v>105.55</v>
      </c>
      <c r="Q9">
        <v>81.64</v>
      </c>
      <c r="R9">
        <v>714.3</v>
      </c>
      <c r="S9">
        <v>6.3338000000000005E-2</v>
      </c>
      <c r="T9">
        <v>70</v>
      </c>
      <c r="U9">
        <v>2324</v>
      </c>
      <c r="V9">
        <v>12.49</v>
      </c>
      <c r="W9">
        <v>29.835000000000001</v>
      </c>
      <c r="X9">
        <v>291.39999999999998</v>
      </c>
      <c r="Y9">
        <v>0.75099999999999989</v>
      </c>
      <c r="Z9">
        <v>0.15865000000000001</v>
      </c>
      <c r="AA9">
        <v>191</v>
      </c>
      <c r="AB9">
        <v>802.5</v>
      </c>
      <c r="AC9">
        <v>0.77900000000000003</v>
      </c>
      <c r="AD9">
        <v>2.5390000000000001</v>
      </c>
      <c r="AE9">
        <v>358</v>
      </c>
      <c r="AF9">
        <v>389.9</v>
      </c>
      <c r="AG9">
        <v>71.95</v>
      </c>
      <c r="AH9">
        <v>129.6</v>
      </c>
      <c r="AI9">
        <v>6.82</v>
      </c>
      <c r="AJ9">
        <v>2995</v>
      </c>
      <c r="AK9">
        <v>2.1655000000000002</v>
      </c>
      <c r="AL9">
        <v>122</v>
      </c>
      <c r="AM9">
        <v>2600</v>
      </c>
      <c r="AN9">
        <v>14890</v>
      </c>
      <c r="AO9">
        <v>46.5</v>
      </c>
      <c r="AP9">
        <v>1268</v>
      </c>
      <c r="AQ9">
        <v>563</v>
      </c>
      <c r="AR9">
        <v>104.4</v>
      </c>
      <c r="AS9">
        <v>56.7</v>
      </c>
      <c r="AT9">
        <v>0.80299999999999994</v>
      </c>
      <c r="AU9">
        <v>50.3</v>
      </c>
      <c r="AV9">
        <v>54.46</v>
      </c>
      <c r="AW9">
        <v>0.3906</v>
      </c>
      <c r="AX9">
        <v>743</v>
      </c>
    </row>
    <row r="10" spans="1:50" x14ac:dyDescent="0.2">
      <c r="A10" s="1" t="s">
        <v>76</v>
      </c>
      <c r="B10">
        <v>1860.05</v>
      </c>
      <c r="C10">
        <v>144.25</v>
      </c>
      <c r="D10">
        <v>119.55</v>
      </c>
      <c r="E10">
        <v>2760.5</v>
      </c>
      <c r="F10">
        <v>7850</v>
      </c>
      <c r="G10">
        <v>624.1</v>
      </c>
      <c r="H10">
        <v>25.67</v>
      </c>
      <c r="I10">
        <v>4196</v>
      </c>
      <c r="J10">
        <v>373.1</v>
      </c>
      <c r="K10">
        <v>319</v>
      </c>
      <c r="L10">
        <v>9276.4500000000007</v>
      </c>
      <c r="M10">
        <v>242</v>
      </c>
      <c r="N10">
        <v>105.57</v>
      </c>
      <c r="O10">
        <v>3.8029999999999999</v>
      </c>
      <c r="P10">
        <v>107.22</v>
      </c>
      <c r="Q10">
        <v>83.1</v>
      </c>
      <c r="R10">
        <v>720</v>
      </c>
      <c r="S10">
        <v>6.3899999999999998E-2</v>
      </c>
      <c r="T10">
        <v>70.150000000000006</v>
      </c>
      <c r="U10">
        <v>2344</v>
      </c>
      <c r="V10">
        <v>13.4</v>
      </c>
      <c r="W10">
        <v>31.46</v>
      </c>
      <c r="X10">
        <v>299.3</v>
      </c>
      <c r="Y10">
        <v>0.7621</v>
      </c>
      <c r="Z10">
        <v>0.16400000000000001</v>
      </c>
      <c r="AA10">
        <v>194.3</v>
      </c>
      <c r="AB10">
        <v>804</v>
      </c>
      <c r="AC10">
        <v>0.78400000000000003</v>
      </c>
      <c r="AD10">
        <v>2.5</v>
      </c>
      <c r="AE10">
        <v>360</v>
      </c>
      <c r="AF10">
        <v>390.1</v>
      </c>
      <c r="AG10">
        <v>72.89</v>
      </c>
      <c r="AH10">
        <v>134.94999999999999</v>
      </c>
      <c r="AI10">
        <v>6.82</v>
      </c>
      <c r="AJ10">
        <v>2960</v>
      </c>
      <c r="AK10">
        <v>2.165</v>
      </c>
      <c r="AL10">
        <v>123</v>
      </c>
      <c r="AM10">
        <v>2480</v>
      </c>
      <c r="AN10">
        <v>14910</v>
      </c>
      <c r="AO10">
        <v>45.9</v>
      </c>
      <c r="AP10">
        <v>1269</v>
      </c>
      <c r="AQ10">
        <v>579</v>
      </c>
      <c r="AR10">
        <v>104</v>
      </c>
      <c r="AS10">
        <v>56</v>
      </c>
      <c r="AT10">
        <v>0.80200000000000005</v>
      </c>
      <c r="AU10">
        <v>50.35</v>
      </c>
      <c r="AV10">
        <v>57.4</v>
      </c>
      <c r="AW10">
        <v>0.38319999999999999</v>
      </c>
      <c r="AX10">
        <v>742.5</v>
      </c>
    </row>
    <row r="11" spans="1:50" x14ac:dyDescent="0.2">
      <c r="A11" s="1" t="s">
        <v>77</v>
      </c>
      <c r="B11">
        <v>1867.46</v>
      </c>
      <c r="C11">
        <v>144.1</v>
      </c>
      <c r="D11">
        <v>119.1</v>
      </c>
      <c r="E11">
        <v>2775</v>
      </c>
      <c r="F11">
        <v>8015</v>
      </c>
      <c r="G11">
        <v>625.9</v>
      </c>
      <c r="H11">
        <v>25.71</v>
      </c>
      <c r="I11">
        <v>4237</v>
      </c>
      <c r="J11">
        <v>371.85</v>
      </c>
      <c r="K11">
        <v>322</v>
      </c>
      <c r="L11">
        <v>9226.73</v>
      </c>
      <c r="M11">
        <v>244.3</v>
      </c>
      <c r="N11">
        <v>106.8</v>
      </c>
      <c r="O11">
        <v>3.8919999999999999</v>
      </c>
      <c r="P11">
        <v>107</v>
      </c>
      <c r="Q11">
        <v>84.36</v>
      </c>
      <c r="R11">
        <v>728</v>
      </c>
      <c r="S11">
        <v>6.4000000000000001E-2</v>
      </c>
      <c r="T11">
        <v>70.180000000000007</v>
      </c>
      <c r="U11">
        <v>2359</v>
      </c>
      <c r="V11">
        <v>14</v>
      </c>
      <c r="W11">
        <v>31.41</v>
      </c>
      <c r="X11">
        <v>305.89999999999998</v>
      </c>
      <c r="Y11">
        <v>0.77800000000000002</v>
      </c>
      <c r="Z11">
        <v>0.16489999999999999</v>
      </c>
      <c r="AA11">
        <v>191.35</v>
      </c>
      <c r="AB11">
        <v>806.5</v>
      </c>
      <c r="AC11">
        <v>0.78299999999999992</v>
      </c>
      <c r="AD11">
        <v>2.52</v>
      </c>
      <c r="AE11">
        <v>355.5</v>
      </c>
      <c r="AF11">
        <v>390.3</v>
      </c>
      <c r="AG11">
        <v>74.64</v>
      </c>
      <c r="AH11">
        <v>135.5</v>
      </c>
      <c r="AI11">
        <v>6.8</v>
      </c>
      <c r="AJ11">
        <v>3065</v>
      </c>
      <c r="AK11">
        <v>2.1949999999999998</v>
      </c>
      <c r="AL11">
        <v>128.30000000000001</v>
      </c>
      <c r="AM11">
        <v>2637</v>
      </c>
      <c r="AN11">
        <v>14890</v>
      </c>
      <c r="AO11">
        <v>46.8</v>
      </c>
      <c r="AP11">
        <v>1227</v>
      </c>
      <c r="AQ11">
        <v>585</v>
      </c>
      <c r="AR11">
        <v>107</v>
      </c>
      <c r="AS11">
        <v>57.4</v>
      </c>
      <c r="AT11">
        <v>0.80700000000000005</v>
      </c>
      <c r="AU11">
        <v>51</v>
      </c>
      <c r="AV11">
        <v>58.75</v>
      </c>
      <c r="AW11">
        <v>0.37740000000000001</v>
      </c>
      <c r="AX11">
        <v>742</v>
      </c>
    </row>
    <row r="12" spans="1:50" x14ac:dyDescent="0.2">
      <c r="A12" s="1" t="s">
        <v>78</v>
      </c>
      <c r="B12">
        <v>1860.39</v>
      </c>
      <c r="C12">
        <v>144.49</v>
      </c>
      <c r="D12">
        <v>118.67</v>
      </c>
      <c r="E12">
        <v>2767</v>
      </c>
      <c r="F12">
        <v>7999</v>
      </c>
      <c r="G12">
        <v>621.9</v>
      </c>
      <c r="H12">
        <v>25.114999999999998</v>
      </c>
      <c r="I12">
        <v>4165</v>
      </c>
      <c r="J12">
        <v>370</v>
      </c>
      <c r="K12">
        <v>321</v>
      </c>
      <c r="L12">
        <v>9247.61</v>
      </c>
      <c r="M12">
        <v>239.05</v>
      </c>
      <c r="N12">
        <v>106.9</v>
      </c>
      <c r="O12">
        <v>3.91</v>
      </c>
      <c r="P12">
        <v>110.65</v>
      </c>
      <c r="Q12">
        <v>84.68</v>
      </c>
      <c r="R12">
        <v>733.5</v>
      </c>
      <c r="S12">
        <v>6.3488000000000003E-2</v>
      </c>
      <c r="T12">
        <v>70.05</v>
      </c>
      <c r="U12">
        <v>2324</v>
      </c>
      <c r="V12">
        <v>13</v>
      </c>
      <c r="W12">
        <v>32.08</v>
      </c>
      <c r="X12">
        <v>302.5</v>
      </c>
      <c r="Y12">
        <v>0.77359999999999995</v>
      </c>
      <c r="Z12">
        <v>0.1633</v>
      </c>
      <c r="AA12">
        <v>186.75</v>
      </c>
      <c r="AB12">
        <v>814.5</v>
      </c>
      <c r="AC12">
        <v>0.79190000000000005</v>
      </c>
      <c r="AD12">
        <v>2.524</v>
      </c>
      <c r="AE12">
        <v>340.5</v>
      </c>
      <c r="AF12">
        <v>391</v>
      </c>
      <c r="AG12">
        <v>76.17</v>
      </c>
      <c r="AH12">
        <v>132.69999999999999</v>
      </c>
      <c r="AI12">
        <v>6.85</v>
      </c>
      <c r="AJ12">
        <v>3068</v>
      </c>
      <c r="AK12">
        <v>2.2530000000000001</v>
      </c>
      <c r="AL12">
        <v>124.05</v>
      </c>
      <c r="AM12">
        <v>2542</v>
      </c>
      <c r="AN12">
        <v>14930</v>
      </c>
      <c r="AO12">
        <v>46.5</v>
      </c>
      <c r="AP12">
        <v>1236</v>
      </c>
      <c r="AQ12">
        <v>589</v>
      </c>
      <c r="AR12">
        <v>107</v>
      </c>
      <c r="AS12">
        <v>58.2</v>
      </c>
      <c r="AT12">
        <v>0.81</v>
      </c>
      <c r="AU12">
        <v>50.8</v>
      </c>
      <c r="AV12">
        <v>57.71</v>
      </c>
      <c r="AW12">
        <v>0.39400000000000002</v>
      </c>
      <c r="AX12">
        <v>741</v>
      </c>
    </row>
    <row r="13" spans="1:50" x14ac:dyDescent="0.2">
      <c r="A13" s="1" t="s">
        <v>79</v>
      </c>
      <c r="B13">
        <v>1878.94</v>
      </c>
      <c r="C13">
        <v>147.1</v>
      </c>
      <c r="D13">
        <v>119.35</v>
      </c>
      <c r="E13">
        <v>2800</v>
      </c>
      <c r="F13">
        <v>8126</v>
      </c>
      <c r="G13">
        <v>634.79999999999995</v>
      </c>
      <c r="H13">
        <v>25.76</v>
      </c>
      <c r="I13">
        <v>4200</v>
      </c>
      <c r="J13">
        <v>372.25</v>
      </c>
      <c r="K13">
        <v>327.3</v>
      </c>
      <c r="L13">
        <v>9449.4500000000007</v>
      </c>
      <c r="M13">
        <v>232</v>
      </c>
      <c r="N13">
        <v>106.52</v>
      </c>
      <c r="O13">
        <v>3.8995000000000002</v>
      </c>
      <c r="P13">
        <v>111.98</v>
      </c>
      <c r="Q13">
        <v>85.77</v>
      </c>
      <c r="R13">
        <v>766.3</v>
      </c>
      <c r="S13">
        <v>6.3380999999999993E-2</v>
      </c>
      <c r="T13">
        <v>71.5</v>
      </c>
      <c r="U13">
        <v>2290</v>
      </c>
      <c r="V13">
        <v>12.17</v>
      </c>
      <c r="W13">
        <v>32.46</v>
      </c>
      <c r="X13">
        <v>301.89999999999998</v>
      </c>
      <c r="Y13">
        <v>0.78249999999999997</v>
      </c>
      <c r="Z13">
        <v>0.16650000000000001</v>
      </c>
      <c r="AA13">
        <v>189.5</v>
      </c>
      <c r="AB13">
        <v>824</v>
      </c>
      <c r="AC13">
        <v>0.81379999999999997</v>
      </c>
      <c r="AD13">
        <v>2.5129999999999999</v>
      </c>
      <c r="AE13">
        <v>350</v>
      </c>
      <c r="AF13">
        <v>390.9</v>
      </c>
      <c r="AG13">
        <v>77.66</v>
      </c>
      <c r="AH13">
        <v>136</v>
      </c>
      <c r="AI13">
        <v>6.9749999999999996</v>
      </c>
      <c r="AJ13">
        <v>3081</v>
      </c>
      <c r="AK13">
        <v>2.2425000000000002</v>
      </c>
      <c r="AL13">
        <v>126</v>
      </c>
      <c r="AM13">
        <v>2487</v>
      </c>
      <c r="AN13">
        <v>14890</v>
      </c>
      <c r="AO13">
        <v>46</v>
      </c>
      <c r="AP13">
        <v>1250</v>
      </c>
      <c r="AQ13">
        <v>588</v>
      </c>
      <c r="AR13">
        <v>107</v>
      </c>
      <c r="AS13">
        <v>57.5</v>
      </c>
      <c r="AT13">
        <v>0.81200000000000006</v>
      </c>
      <c r="AU13">
        <v>50.4</v>
      </c>
      <c r="AV13">
        <v>60.5</v>
      </c>
      <c r="AW13">
        <v>0.42049999999999998</v>
      </c>
      <c r="AX13">
        <v>740</v>
      </c>
    </row>
    <row r="14" spans="1:50" x14ac:dyDescent="0.2">
      <c r="A14" s="1" t="s">
        <v>80</v>
      </c>
      <c r="B14">
        <v>1891.98</v>
      </c>
      <c r="C14">
        <v>145.5</v>
      </c>
      <c r="D14">
        <v>119.7</v>
      </c>
      <c r="E14">
        <v>2874.5</v>
      </c>
      <c r="F14">
        <v>8175</v>
      </c>
      <c r="G14">
        <v>635.6</v>
      </c>
      <c r="H14">
        <v>25.965</v>
      </c>
      <c r="I14">
        <v>4203</v>
      </c>
      <c r="J14">
        <v>380.9</v>
      </c>
      <c r="K14">
        <v>332.4</v>
      </c>
      <c r="L14">
        <v>9416.64</v>
      </c>
      <c r="M14">
        <v>235.05</v>
      </c>
      <c r="N14">
        <v>108.6</v>
      </c>
      <c r="O14">
        <v>3.9155000000000002</v>
      </c>
      <c r="P14">
        <v>113.84</v>
      </c>
      <c r="Q14">
        <v>87.7</v>
      </c>
      <c r="R14">
        <v>783.9</v>
      </c>
      <c r="S14">
        <v>6.3799999999999996E-2</v>
      </c>
      <c r="T14">
        <v>72</v>
      </c>
      <c r="U14">
        <v>2305</v>
      </c>
      <c r="V14">
        <v>12.105</v>
      </c>
      <c r="W14">
        <v>33.299999999999997</v>
      </c>
      <c r="X14">
        <v>300.8</v>
      </c>
      <c r="Y14">
        <v>0.78510000000000002</v>
      </c>
      <c r="Z14">
        <v>0.1673</v>
      </c>
      <c r="AA14">
        <v>190.05</v>
      </c>
      <c r="AB14">
        <v>817</v>
      </c>
      <c r="AC14">
        <v>0.82</v>
      </c>
      <c r="AD14">
        <v>2.5179999999999998</v>
      </c>
      <c r="AE14">
        <v>350</v>
      </c>
      <c r="AF14">
        <v>391.2</v>
      </c>
      <c r="AG14">
        <v>76.760000000000005</v>
      </c>
      <c r="AH14">
        <v>137.9</v>
      </c>
      <c r="AI14">
        <v>6.97</v>
      </c>
      <c r="AJ14">
        <v>3117</v>
      </c>
      <c r="AK14">
        <v>2.2574999999999998</v>
      </c>
      <c r="AL14">
        <v>125.05</v>
      </c>
      <c r="AM14">
        <v>2425</v>
      </c>
      <c r="AN14">
        <v>14840</v>
      </c>
      <c r="AO14">
        <v>46.1</v>
      </c>
      <c r="AP14">
        <v>1302</v>
      </c>
      <c r="AQ14">
        <v>587</v>
      </c>
      <c r="AR14">
        <v>107.6</v>
      </c>
      <c r="AS14">
        <v>56.35</v>
      </c>
      <c r="AT14">
        <v>0.8</v>
      </c>
      <c r="AU14">
        <v>50.95</v>
      </c>
      <c r="AV14">
        <v>60.75</v>
      </c>
      <c r="AW14">
        <v>0.42299999999999999</v>
      </c>
      <c r="AX14">
        <v>742</v>
      </c>
    </row>
    <row r="15" spans="1:50" x14ac:dyDescent="0.2">
      <c r="A15" s="1" t="s">
        <v>81</v>
      </c>
      <c r="B15">
        <v>1881.04</v>
      </c>
      <c r="C15">
        <v>143.80000000000001</v>
      </c>
      <c r="D15">
        <v>119.16</v>
      </c>
      <c r="E15">
        <v>2873</v>
      </c>
      <c r="F15">
        <v>8180</v>
      </c>
      <c r="G15">
        <v>641.70000000000005</v>
      </c>
      <c r="H15">
        <v>25.78</v>
      </c>
      <c r="I15">
        <v>4030</v>
      </c>
      <c r="J15">
        <v>378.85</v>
      </c>
      <c r="K15">
        <v>333</v>
      </c>
      <c r="L15">
        <v>9050.75</v>
      </c>
      <c r="M15">
        <v>234</v>
      </c>
      <c r="N15">
        <v>106.51</v>
      </c>
      <c r="O15">
        <v>3.8660000000000001</v>
      </c>
      <c r="P15">
        <v>116</v>
      </c>
      <c r="Q15">
        <v>87.55</v>
      </c>
      <c r="R15">
        <v>774</v>
      </c>
      <c r="S15">
        <v>6.3899999999999998E-2</v>
      </c>
      <c r="T15">
        <v>70.8</v>
      </c>
      <c r="U15">
        <v>2278</v>
      </c>
      <c r="V15">
        <v>12.03</v>
      </c>
      <c r="W15">
        <v>33.505000000000003</v>
      </c>
      <c r="X15">
        <v>296.10000000000002</v>
      </c>
      <c r="Y15">
        <v>0.78849999999999998</v>
      </c>
      <c r="Z15">
        <v>0.16969999999999999</v>
      </c>
      <c r="AA15">
        <v>193</v>
      </c>
      <c r="AB15">
        <v>820.5</v>
      </c>
      <c r="AC15">
        <v>0.80420000000000003</v>
      </c>
      <c r="AD15">
        <v>2.5179999999999998</v>
      </c>
      <c r="AE15">
        <v>347.5</v>
      </c>
      <c r="AF15">
        <v>391.4</v>
      </c>
      <c r="AG15">
        <v>76.099999999999994</v>
      </c>
      <c r="AH15">
        <v>138.35</v>
      </c>
      <c r="AI15">
        <v>7.0049999999999999</v>
      </c>
      <c r="AJ15">
        <v>3125</v>
      </c>
      <c r="AK15">
        <v>2.2174999999999998</v>
      </c>
      <c r="AL15">
        <v>125</v>
      </c>
      <c r="AM15">
        <v>2490</v>
      </c>
      <c r="AN15">
        <v>14920</v>
      </c>
      <c r="AO15">
        <v>45.9</v>
      </c>
      <c r="AP15">
        <v>1335</v>
      </c>
      <c r="AQ15">
        <v>590</v>
      </c>
      <c r="AR15">
        <v>107.4</v>
      </c>
      <c r="AS15">
        <v>56.05</v>
      </c>
      <c r="AT15">
        <v>0.79900000000000004</v>
      </c>
      <c r="AU15">
        <v>51.05</v>
      </c>
      <c r="AV15">
        <v>60.9</v>
      </c>
      <c r="AW15">
        <v>0.41889999999999999</v>
      </c>
      <c r="AX15">
        <v>745</v>
      </c>
    </row>
    <row r="16" spans="1:50" x14ac:dyDescent="0.2">
      <c r="A16" s="1" t="s">
        <v>82</v>
      </c>
      <c r="B16">
        <v>1879.5</v>
      </c>
      <c r="C16">
        <v>145.59</v>
      </c>
      <c r="D16">
        <v>118.49</v>
      </c>
      <c r="E16">
        <v>2872.5</v>
      </c>
      <c r="F16">
        <v>8068</v>
      </c>
      <c r="G16">
        <v>645.5</v>
      </c>
      <c r="H16">
        <v>25.67</v>
      </c>
      <c r="I16">
        <v>3971.08</v>
      </c>
      <c r="J16">
        <v>375.6</v>
      </c>
      <c r="K16">
        <v>323</v>
      </c>
      <c r="L16">
        <v>9127.31</v>
      </c>
      <c r="M16">
        <v>234.5</v>
      </c>
      <c r="N16">
        <v>104.33</v>
      </c>
      <c r="O16">
        <v>3.8330000000000002</v>
      </c>
      <c r="P16">
        <v>115.65</v>
      </c>
      <c r="Q16">
        <v>86.55</v>
      </c>
      <c r="R16">
        <v>776</v>
      </c>
      <c r="S16">
        <v>6.4000000000000001E-2</v>
      </c>
      <c r="T16">
        <v>71.37</v>
      </c>
      <c r="U16">
        <v>2301</v>
      </c>
      <c r="V16">
        <v>12.13</v>
      </c>
      <c r="W16">
        <v>33.35</v>
      </c>
      <c r="X16">
        <v>296.89999999999998</v>
      </c>
      <c r="Y16">
        <v>0.79620000000000002</v>
      </c>
      <c r="Z16">
        <v>0.1714</v>
      </c>
      <c r="AA16">
        <v>195.3</v>
      </c>
      <c r="AB16">
        <v>820</v>
      </c>
      <c r="AC16">
        <v>0.79700000000000004</v>
      </c>
      <c r="AD16">
        <v>2.5070000000000001</v>
      </c>
      <c r="AE16">
        <v>346.5</v>
      </c>
      <c r="AF16">
        <v>392.4</v>
      </c>
      <c r="AG16">
        <v>76.400000000000006</v>
      </c>
      <c r="AH16">
        <v>138.30000000000001</v>
      </c>
      <c r="AI16">
        <v>7.04</v>
      </c>
      <c r="AJ16">
        <v>3135</v>
      </c>
      <c r="AK16">
        <v>2.2360000000000002</v>
      </c>
      <c r="AL16">
        <v>124.45</v>
      </c>
      <c r="AM16">
        <v>2468</v>
      </c>
      <c r="AN16">
        <v>14940</v>
      </c>
      <c r="AO16">
        <v>44.8</v>
      </c>
      <c r="AP16">
        <v>1341</v>
      </c>
      <c r="AQ16">
        <v>587</v>
      </c>
      <c r="AR16">
        <v>107.1</v>
      </c>
      <c r="AS16">
        <v>57.4</v>
      </c>
      <c r="AT16">
        <v>0.79099999999999993</v>
      </c>
      <c r="AU16">
        <v>51.65</v>
      </c>
      <c r="AV16">
        <v>60.55</v>
      </c>
      <c r="AW16">
        <v>0.4249</v>
      </c>
      <c r="AX16">
        <v>742.5</v>
      </c>
    </row>
    <row r="17" spans="1:50" x14ac:dyDescent="0.2">
      <c r="A17" s="1" t="s">
        <v>83</v>
      </c>
      <c r="B17">
        <v>1902.59</v>
      </c>
      <c r="C17">
        <v>147.5</v>
      </c>
      <c r="D17">
        <v>119.86</v>
      </c>
      <c r="E17">
        <v>2920</v>
      </c>
      <c r="F17">
        <v>8246</v>
      </c>
      <c r="G17">
        <v>658.9</v>
      </c>
      <c r="H17">
        <v>26.18</v>
      </c>
      <c r="I17">
        <v>3955</v>
      </c>
      <c r="J17">
        <v>389.15</v>
      </c>
      <c r="K17">
        <v>329.4</v>
      </c>
      <c r="L17">
        <v>9062.68</v>
      </c>
      <c r="M17">
        <v>237</v>
      </c>
      <c r="N17">
        <v>105.75</v>
      </c>
      <c r="O17">
        <v>3.8</v>
      </c>
      <c r="P17">
        <v>117.23</v>
      </c>
      <c r="Q17">
        <v>88.66</v>
      </c>
      <c r="R17">
        <v>793</v>
      </c>
      <c r="S17">
        <v>6.4299999999999996E-2</v>
      </c>
      <c r="T17">
        <v>71.5</v>
      </c>
      <c r="U17">
        <v>2275</v>
      </c>
      <c r="V17">
        <v>12.4</v>
      </c>
      <c r="W17">
        <v>33.505000000000003</v>
      </c>
      <c r="X17">
        <v>303.5</v>
      </c>
      <c r="Y17">
        <v>0.80640000000000001</v>
      </c>
      <c r="Z17">
        <v>0.17369999999999999</v>
      </c>
      <c r="AA17">
        <v>197.8</v>
      </c>
      <c r="AB17">
        <v>820</v>
      </c>
      <c r="AC17">
        <v>0.79200000000000004</v>
      </c>
      <c r="AD17">
        <v>2.4249999999999998</v>
      </c>
      <c r="AE17">
        <v>348.5</v>
      </c>
      <c r="AF17">
        <v>393.9</v>
      </c>
      <c r="AG17">
        <v>75.94</v>
      </c>
      <c r="AH17">
        <v>140.19999999999999</v>
      </c>
      <c r="AI17">
        <v>7.03</v>
      </c>
      <c r="AJ17">
        <v>3149</v>
      </c>
      <c r="AK17">
        <v>2.25</v>
      </c>
      <c r="AL17">
        <v>125.25</v>
      </c>
      <c r="AM17">
        <v>2453</v>
      </c>
      <c r="AN17">
        <v>15320</v>
      </c>
      <c r="AO17">
        <v>44.7</v>
      </c>
      <c r="AP17">
        <v>1335</v>
      </c>
      <c r="AQ17">
        <v>560</v>
      </c>
      <c r="AR17">
        <v>108.9</v>
      </c>
      <c r="AS17">
        <v>57.35</v>
      </c>
      <c r="AT17">
        <v>0.79599999999999993</v>
      </c>
      <c r="AU17">
        <v>51</v>
      </c>
      <c r="AV17">
        <v>61</v>
      </c>
      <c r="AW17">
        <v>0.43819999999999998</v>
      </c>
      <c r="AX17">
        <v>742.5</v>
      </c>
    </row>
    <row r="18" spans="1:50" x14ac:dyDescent="0.2">
      <c r="A18" s="1" t="s">
        <v>84</v>
      </c>
      <c r="B18">
        <v>1917.4</v>
      </c>
      <c r="C18">
        <v>149.38999999999999</v>
      </c>
      <c r="D18">
        <v>122.73</v>
      </c>
      <c r="E18">
        <v>2933</v>
      </c>
      <c r="F18">
        <v>8197</v>
      </c>
      <c r="G18">
        <v>657.7</v>
      </c>
      <c r="H18">
        <v>26.55</v>
      </c>
      <c r="I18">
        <v>3923.78</v>
      </c>
      <c r="J18">
        <v>383.4</v>
      </c>
      <c r="K18">
        <v>332.4</v>
      </c>
      <c r="L18">
        <v>9052.74</v>
      </c>
      <c r="M18">
        <v>239.5</v>
      </c>
      <c r="N18">
        <v>106</v>
      </c>
      <c r="O18">
        <v>3.81</v>
      </c>
      <c r="P18">
        <v>118.31</v>
      </c>
      <c r="Q18">
        <v>89.33</v>
      </c>
      <c r="R18">
        <v>804</v>
      </c>
      <c r="S18">
        <v>6.4399999999999999E-2</v>
      </c>
      <c r="T18">
        <v>71.78</v>
      </c>
      <c r="U18">
        <v>2315</v>
      </c>
      <c r="V18">
        <v>12.78</v>
      </c>
      <c r="W18">
        <v>33.42</v>
      </c>
      <c r="X18">
        <v>308</v>
      </c>
      <c r="Y18">
        <v>0.81400000000000006</v>
      </c>
      <c r="Z18">
        <v>0.17699999999999999</v>
      </c>
      <c r="AA18">
        <v>198.8</v>
      </c>
      <c r="AB18">
        <v>834</v>
      </c>
      <c r="AC18">
        <v>0.81099999999999994</v>
      </c>
      <c r="AD18">
        <v>2.4319999999999999</v>
      </c>
      <c r="AE18">
        <v>352</v>
      </c>
      <c r="AF18">
        <v>392.7</v>
      </c>
      <c r="AG18">
        <v>74.8</v>
      </c>
      <c r="AH18">
        <v>143.65</v>
      </c>
      <c r="AI18">
        <v>7.07</v>
      </c>
      <c r="AJ18">
        <v>3164</v>
      </c>
      <c r="AK18">
        <v>2.29</v>
      </c>
      <c r="AL18">
        <v>125</v>
      </c>
      <c r="AM18">
        <v>2455</v>
      </c>
      <c r="AN18">
        <v>15480</v>
      </c>
      <c r="AO18">
        <v>44.4</v>
      </c>
      <c r="AP18">
        <v>1339</v>
      </c>
      <c r="AQ18">
        <v>559</v>
      </c>
      <c r="AR18">
        <v>109.5</v>
      </c>
      <c r="AS18">
        <v>59.35</v>
      </c>
      <c r="AT18">
        <v>0.80099999999999993</v>
      </c>
      <c r="AU18">
        <v>51.35</v>
      </c>
      <c r="AV18">
        <v>64.260000000000005</v>
      </c>
      <c r="AW18">
        <v>0.43509999999999999</v>
      </c>
      <c r="AX18">
        <v>746</v>
      </c>
    </row>
    <row r="19" spans="1:50" x14ac:dyDescent="0.2">
      <c r="A19" s="1" t="s">
        <v>85</v>
      </c>
      <c r="B19">
        <v>1921.38</v>
      </c>
      <c r="C19">
        <v>148.96</v>
      </c>
      <c r="D19">
        <v>122.7</v>
      </c>
      <c r="E19">
        <v>2951.5</v>
      </c>
      <c r="F19">
        <v>8288</v>
      </c>
      <c r="G19">
        <v>651.70000000000005</v>
      </c>
      <c r="H19">
        <v>26.704999999999998</v>
      </c>
      <c r="I19">
        <v>3907.65</v>
      </c>
      <c r="J19">
        <v>388.5</v>
      </c>
      <c r="K19">
        <v>327.2</v>
      </c>
      <c r="L19">
        <v>9112.39</v>
      </c>
      <c r="M19">
        <v>237.55</v>
      </c>
      <c r="N19">
        <v>107.6</v>
      </c>
      <c r="O19">
        <v>3.7955000000000001</v>
      </c>
      <c r="P19">
        <v>120.23</v>
      </c>
      <c r="Q19">
        <v>90.11</v>
      </c>
      <c r="R19">
        <v>815.7</v>
      </c>
      <c r="S19">
        <v>6.4000000000000001E-2</v>
      </c>
      <c r="T19">
        <v>71.88</v>
      </c>
      <c r="U19">
        <v>2327</v>
      </c>
      <c r="V19">
        <v>12.62</v>
      </c>
      <c r="W19">
        <v>35</v>
      </c>
      <c r="X19">
        <v>302.39999999999998</v>
      </c>
      <c r="Y19">
        <v>0.81189999999999996</v>
      </c>
      <c r="Z19">
        <v>0.17599999999999999</v>
      </c>
      <c r="AA19">
        <v>204.25</v>
      </c>
      <c r="AB19">
        <v>832.5</v>
      </c>
      <c r="AC19">
        <v>0.81099999999999994</v>
      </c>
      <c r="AD19">
        <v>2.42</v>
      </c>
      <c r="AE19">
        <v>358</v>
      </c>
      <c r="AF19">
        <v>394.3</v>
      </c>
      <c r="AG19">
        <v>75</v>
      </c>
      <c r="AH19">
        <v>148.30000000000001</v>
      </c>
      <c r="AI19">
        <v>7</v>
      </c>
      <c r="AJ19">
        <v>3196</v>
      </c>
      <c r="AK19">
        <v>2.3195000000000001</v>
      </c>
      <c r="AL19">
        <v>124.9</v>
      </c>
      <c r="AM19">
        <v>2458</v>
      </c>
      <c r="AN19">
        <v>15380</v>
      </c>
      <c r="AO19">
        <v>44.8</v>
      </c>
      <c r="AP19">
        <v>1326</v>
      </c>
      <c r="AQ19">
        <v>558</v>
      </c>
      <c r="AR19">
        <v>109</v>
      </c>
      <c r="AS19">
        <v>59.5</v>
      </c>
      <c r="AT19">
        <v>0.79099999999999993</v>
      </c>
      <c r="AU19">
        <v>51.25</v>
      </c>
      <c r="AV19">
        <v>64.8</v>
      </c>
      <c r="AW19">
        <v>0.45810000000000001</v>
      </c>
      <c r="AX19">
        <v>747</v>
      </c>
    </row>
    <row r="20" spans="1:50" x14ac:dyDescent="0.2">
      <c r="A20" s="1" t="s">
        <v>86</v>
      </c>
      <c r="B20">
        <v>1923.22</v>
      </c>
      <c r="C20">
        <v>150.35</v>
      </c>
      <c r="D20">
        <v>122.68</v>
      </c>
      <c r="E20">
        <v>2985</v>
      </c>
      <c r="F20">
        <v>8343</v>
      </c>
      <c r="G20">
        <v>646.5</v>
      </c>
      <c r="H20">
        <v>26.734999999999999</v>
      </c>
      <c r="I20">
        <v>3939.95</v>
      </c>
      <c r="J20">
        <v>370.95</v>
      </c>
      <c r="K20">
        <v>324.5</v>
      </c>
      <c r="L20">
        <v>9147.19</v>
      </c>
      <c r="M20">
        <v>237.55</v>
      </c>
      <c r="N20">
        <v>109</v>
      </c>
      <c r="O20">
        <v>3.7585000000000002</v>
      </c>
      <c r="P20">
        <v>121</v>
      </c>
      <c r="Q20">
        <v>90.6</v>
      </c>
      <c r="R20">
        <v>805.2</v>
      </c>
      <c r="S20">
        <v>6.3869000000000009E-2</v>
      </c>
      <c r="T20">
        <v>67.52</v>
      </c>
      <c r="U20">
        <v>2355</v>
      </c>
      <c r="V20">
        <v>12.494999999999999</v>
      </c>
      <c r="W20">
        <v>34.97</v>
      </c>
      <c r="X20">
        <v>300</v>
      </c>
      <c r="Y20">
        <v>0.82450000000000001</v>
      </c>
      <c r="Z20">
        <v>0.1744</v>
      </c>
      <c r="AA20">
        <v>215.25</v>
      </c>
      <c r="AB20">
        <v>845</v>
      </c>
      <c r="AC20">
        <v>0.80200000000000005</v>
      </c>
      <c r="AD20">
        <v>2.4279999999999999</v>
      </c>
      <c r="AE20">
        <v>353.5</v>
      </c>
      <c r="AF20">
        <v>394.2</v>
      </c>
      <c r="AG20">
        <v>74.790000000000006</v>
      </c>
      <c r="AH20">
        <v>145.35</v>
      </c>
      <c r="AI20">
        <v>7.03</v>
      </c>
      <c r="AJ20">
        <v>3227</v>
      </c>
      <c r="AK20">
        <v>2.3275000000000001</v>
      </c>
      <c r="AL20">
        <v>125</v>
      </c>
      <c r="AM20">
        <v>2445</v>
      </c>
      <c r="AN20">
        <v>15420</v>
      </c>
      <c r="AO20">
        <v>45.3</v>
      </c>
      <c r="AP20">
        <v>1301</v>
      </c>
      <c r="AQ20">
        <v>560</v>
      </c>
      <c r="AR20">
        <v>109</v>
      </c>
      <c r="AS20">
        <v>59.55</v>
      </c>
      <c r="AT20">
        <v>0.79799999999999993</v>
      </c>
      <c r="AU20">
        <v>50.6</v>
      </c>
      <c r="AV20">
        <v>64.45</v>
      </c>
      <c r="AW20">
        <v>0.45519999999999999</v>
      </c>
      <c r="AX20">
        <v>743</v>
      </c>
    </row>
    <row r="21" spans="1:50" x14ac:dyDescent="0.2">
      <c r="A21" s="1" t="s">
        <v>87</v>
      </c>
      <c r="B21">
        <v>1912.48</v>
      </c>
      <c r="C21">
        <v>152.16</v>
      </c>
      <c r="D21">
        <v>123</v>
      </c>
      <c r="E21">
        <v>2856</v>
      </c>
      <c r="F21">
        <v>8373</v>
      </c>
      <c r="G21">
        <v>641</v>
      </c>
      <c r="H21">
        <v>26.4</v>
      </c>
      <c r="I21">
        <v>3995</v>
      </c>
      <c r="J21">
        <v>369.1</v>
      </c>
      <c r="K21">
        <v>317.8</v>
      </c>
      <c r="L21">
        <v>9259.5400000000009</v>
      </c>
      <c r="M21">
        <v>224.05</v>
      </c>
      <c r="N21">
        <v>108.9</v>
      </c>
      <c r="O21">
        <v>3.75</v>
      </c>
      <c r="P21">
        <v>120.52</v>
      </c>
      <c r="Q21">
        <v>93.4</v>
      </c>
      <c r="R21">
        <v>800.6</v>
      </c>
      <c r="S21">
        <v>6.3680999999999988E-2</v>
      </c>
      <c r="T21">
        <v>67.260000000000005</v>
      </c>
      <c r="U21">
        <v>2379</v>
      </c>
      <c r="V21">
        <v>12.4</v>
      </c>
      <c r="W21">
        <v>34.65</v>
      </c>
      <c r="X21">
        <v>295.2</v>
      </c>
      <c r="Y21">
        <v>0.78400000000000003</v>
      </c>
      <c r="Z21">
        <v>0.1754</v>
      </c>
      <c r="AA21">
        <v>213</v>
      </c>
      <c r="AB21">
        <v>869</v>
      </c>
      <c r="AC21">
        <v>0.80279999999999996</v>
      </c>
      <c r="AD21">
        <v>2.4</v>
      </c>
      <c r="AE21">
        <v>353.5</v>
      </c>
      <c r="AF21">
        <v>397.8</v>
      </c>
      <c r="AG21">
        <v>74.959999999999994</v>
      </c>
      <c r="AH21">
        <v>142.05000000000001</v>
      </c>
      <c r="AI21">
        <v>7.02</v>
      </c>
      <c r="AJ21">
        <v>3250</v>
      </c>
      <c r="AK21">
        <v>2.3140000000000001</v>
      </c>
      <c r="AL21">
        <v>125</v>
      </c>
      <c r="AM21">
        <v>2475</v>
      </c>
      <c r="AN21">
        <v>15500</v>
      </c>
      <c r="AO21">
        <v>45.7</v>
      </c>
      <c r="AP21">
        <v>1288</v>
      </c>
      <c r="AQ21">
        <v>550</v>
      </c>
      <c r="AR21">
        <v>109.5</v>
      </c>
      <c r="AS21">
        <v>59.9</v>
      </c>
      <c r="AT21">
        <v>0.81900000000000006</v>
      </c>
      <c r="AU21">
        <v>50.5</v>
      </c>
      <c r="AV21">
        <v>64.12</v>
      </c>
      <c r="AW21">
        <v>0.44700000000000001</v>
      </c>
      <c r="AX21">
        <v>745</v>
      </c>
    </row>
    <row r="22" spans="1:50" x14ac:dyDescent="0.2">
      <c r="A22" s="1" t="s">
        <v>88</v>
      </c>
      <c r="B22">
        <v>1925.74</v>
      </c>
      <c r="C22">
        <v>155</v>
      </c>
      <c r="D22">
        <v>124.25</v>
      </c>
      <c r="E22">
        <v>2859</v>
      </c>
      <c r="F22">
        <v>8515</v>
      </c>
      <c r="G22">
        <v>638.6</v>
      </c>
      <c r="H22">
        <v>26.22</v>
      </c>
      <c r="I22">
        <v>3994.97</v>
      </c>
      <c r="J22">
        <v>365.5</v>
      </c>
      <c r="K22">
        <v>320.5</v>
      </c>
      <c r="L22">
        <v>9306.27</v>
      </c>
      <c r="M22">
        <v>225.6</v>
      </c>
      <c r="N22">
        <v>111.64</v>
      </c>
      <c r="O22">
        <v>3.76</v>
      </c>
      <c r="P22">
        <v>120.6</v>
      </c>
      <c r="Q22">
        <v>93.6</v>
      </c>
      <c r="R22">
        <v>801.5</v>
      </c>
      <c r="S22">
        <v>6.3799999999999996E-2</v>
      </c>
      <c r="T22">
        <v>66.400000000000006</v>
      </c>
      <c r="U22">
        <v>2382</v>
      </c>
      <c r="V22">
        <v>12.484999999999999</v>
      </c>
      <c r="W22">
        <v>34.75</v>
      </c>
      <c r="X22">
        <v>295</v>
      </c>
      <c r="Y22">
        <v>0.80200000000000005</v>
      </c>
      <c r="Z22">
        <v>0.17929999999999999</v>
      </c>
      <c r="AA22">
        <v>217.5</v>
      </c>
      <c r="AB22">
        <v>865</v>
      </c>
      <c r="AC22">
        <v>0.87</v>
      </c>
      <c r="AD22">
        <v>2.4079999999999999</v>
      </c>
      <c r="AE22">
        <v>360</v>
      </c>
      <c r="AF22">
        <v>392</v>
      </c>
      <c r="AG22">
        <v>75.209999999999994</v>
      </c>
      <c r="AH22">
        <v>144.1</v>
      </c>
      <c r="AI22">
        <v>7.05</v>
      </c>
      <c r="AJ22">
        <v>3176</v>
      </c>
      <c r="AK22">
        <v>2.3534999999999999</v>
      </c>
      <c r="AL22">
        <v>125</v>
      </c>
      <c r="AM22">
        <v>2488</v>
      </c>
      <c r="AN22">
        <v>15500</v>
      </c>
      <c r="AO22">
        <v>45.9</v>
      </c>
      <c r="AP22">
        <v>1310</v>
      </c>
      <c r="AQ22">
        <v>537</v>
      </c>
      <c r="AR22">
        <v>112</v>
      </c>
      <c r="AS22">
        <v>60.1</v>
      </c>
      <c r="AT22">
        <v>0.83</v>
      </c>
      <c r="AU22">
        <v>51.5</v>
      </c>
      <c r="AV22">
        <v>67.31</v>
      </c>
      <c r="AW22">
        <v>0.46899999999999997</v>
      </c>
      <c r="AX22">
        <v>745.5</v>
      </c>
    </row>
    <row r="23" spans="1:50" x14ac:dyDescent="0.2">
      <c r="A23" s="1" t="s">
        <v>89</v>
      </c>
      <c r="B23">
        <v>1937.64</v>
      </c>
      <c r="C23">
        <v>156.91</v>
      </c>
      <c r="D23">
        <v>124.78</v>
      </c>
      <c r="E23">
        <v>2875</v>
      </c>
      <c r="F23">
        <v>8591</v>
      </c>
      <c r="G23">
        <v>638.5</v>
      </c>
      <c r="H23">
        <v>26.4</v>
      </c>
      <c r="I23">
        <v>4047.97</v>
      </c>
      <c r="J23">
        <v>367.05</v>
      </c>
      <c r="K23">
        <v>319.60000000000002</v>
      </c>
      <c r="L23">
        <v>9316.2199999999993</v>
      </c>
      <c r="M23">
        <v>227.95</v>
      </c>
      <c r="N23">
        <v>111.27</v>
      </c>
      <c r="O23">
        <v>3.71</v>
      </c>
      <c r="P23">
        <v>122.87</v>
      </c>
      <c r="Q23">
        <v>93.96</v>
      </c>
      <c r="R23">
        <v>823</v>
      </c>
      <c r="S23">
        <v>6.3869000000000009E-2</v>
      </c>
      <c r="T23">
        <v>65.63</v>
      </c>
      <c r="U23">
        <v>2366</v>
      </c>
      <c r="V23">
        <v>12.52</v>
      </c>
      <c r="W23">
        <v>35.35</v>
      </c>
      <c r="X23">
        <v>292.39999999999998</v>
      </c>
      <c r="Y23">
        <v>0.81140000000000001</v>
      </c>
      <c r="Z23">
        <v>0.18035000000000001</v>
      </c>
      <c r="AA23">
        <v>217.2</v>
      </c>
      <c r="AB23">
        <v>848.5</v>
      </c>
      <c r="AC23">
        <v>0.85219999999999996</v>
      </c>
      <c r="AD23">
        <v>2.4140000000000001</v>
      </c>
      <c r="AE23">
        <v>365</v>
      </c>
      <c r="AF23">
        <v>395.2</v>
      </c>
      <c r="AG23">
        <v>73.95</v>
      </c>
      <c r="AH23">
        <v>146.30000000000001</v>
      </c>
      <c r="AI23">
        <v>7.07</v>
      </c>
      <c r="AJ23">
        <v>3212</v>
      </c>
      <c r="AK23">
        <v>2.4075000000000002</v>
      </c>
      <c r="AL23">
        <v>127.7</v>
      </c>
      <c r="AM23">
        <v>2500</v>
      </c>
      <c r="AN23">
        <v>15490</v>
      </c>
      <c r="AO23">
        <v>46</v>
      </c>
      <c r="AP23">
        <v>1307</v>
      </c>
      <c r="AQ23">
        <v>537</v>
      </c>
      <c r="AR23">
        <v>113</v>
      </c>
      <c r="AS23">
        <v>60.3</v>
      </c>
      <c r="AT23">
        <v>0.81499999999999995</v>
      </c>
      <c r="AU23">
        <v>51.45</v>
      </c>
      <c r="AV23">
        <v>68.44</v>
      </c>
      <c r="AW23">
        <v>0.47599999999999998</v>
      </c>
      <c r="AX23">
        <v>746</v>
      </c>
    </row>
    <row r="24" spans="1:50" x14ac:dyDescent="0.2">
      <c r="A24" s="1" t="s">
        <v>90</v>
      </c>
      <c r="B24">
        <v>1954.39</v>
      </c>
      <c r="C24">
        <v>160.85</v>
      </c>
      <c r="D24">
        <v>124.87</v>
      </c>
      <c r="E24">
        <v>2914.5</v>
      </c>
      <c r="F24">
        <v>8600</v>
      </c>
      <c r="G24">
        <v>639.29999999999995</v>
      </c>
      <c r="H24">
        <v>26.754999999999999</v>
      </c>
      <c r="I24">
        <v>4031.12</v>
      </c>
      <c r="J24">
        <v>374</v>
      </c>
      <c r="K24">
        <v>320.55</v>
      </c>
      <c r="L24">
        <v>9286.39</v>
      </c>
      <c r="M24">
        <v>229.95</v>
      </c>
      <c r="N24">
        <v>114.65</v>
      </c>
      <c r="O24">
        <v>3.8245</v>
      </c>
      <c r="P24">
        <v>123.88</v>
      </c>
      <c r="Q24">
        <v>94.1</v>
      </c>
      <c r="R24">
        <v>843.9</v>
      </c>
      <c r="S24">
        <v>6.4000000000000001E-2</v>
      </c>
      <c r="T24">
        <v>66.2</v>
      </c>
      <c r="U24">
        <v>2363</v>
      </c>
      <c r="V24">
        <v>12.055</v>
      </c>
      <c r="W24">
        <v>36.01</v>
      </c>
      <c r="X24">
        <v>294</v>
      </c>
      <c r="Y24">
        <v>0.80200000000000005</v>
      </c>
      <c r="Z24">
        <v>0.18</v>
      </c>
      <c r="AA24">
        <v>225</v>
      </c>
      <c r="AB24">
        <v>857.5</v>
      </c>
      <c r="AC24">
        <v>0.87080000000000002</v>
      </c>
      <c r="AD24">
        <v>2.431</v>
      </c>
      <c r="AE24">
        <v>363</v>
      </c>
      <c r="AF24">
        <v>398.5</v>
      </c>
      <c r="AG24">
        <v>73.14</v>
      </c>
      <c r="AH24">
        <v>148.6</v>
      </c>
      <c r="AI24">
        <v>7.1150000000000002</v>
      </c>
      <c r="AJ24">
        <v>3280</v>
      </c>
      <c r="AK24">
        <v>2.5249999999999999</v>
      </c>
      <c r="AL24">
        <v>128.85</v>
      </c>
      <c r="AM24">
        <v>2512</v>
      </c>
      <c r="AN24">
        <v>15500</v>
      </c>
      <c r="AO24">
        <v>46</v>
      </c>
      <c r="AP24">
        <v>1245</v>
      </c>
      <c r="AQ24">
        <v>549</v>
      </c>
      <c r="AR24">
        <v>113</v>
      </c>
      <c r="AS24">
        <v>61.5</v>
      </c>
      <c r="AT24">
        <v>0.82799999999999996</v>
      </c>
      <c r="AU24">
        <v>51.4</v>
      </c>
      <c r="AV24">
        <v>68.73</v>
      </c>
      <c r="AW24">
        <v>0.47899999999999998</v>
      </c>
      <c r="AX24">
        <v>746</v>
      </c>
    </row>
    <row r="25" spans="1:50" x14ac:dyDescent="0.2">
      <c r="A25" s="1" t="s">
        <v>91</v>
      </c>
      <c r="B25">
        <v>1959.91</v>
      </c>
      <c r="C25">
        <v>159.94</v>
      </c>
      <c r="D25">
        <v>125.55</v>
      </c>
      <c r="E25">
        <v>2908.5</v>
      </c>
      <c r="F25">
        <v>8496</v>
      </c>
      <c r="G25">
        <v>633.5</v>
      </c>
      <c r="H25">
        <v>27.05</v>
      </c>
      <c r="I25">
        <v>4059</v>
      </c>
      <c r="J25">
        <v>377.8</v>
      </c>
      <c r="K25">
        <v>318</v>
      </c>
      <c r="L25">
        <v>9490.2099999999991</v>
      </c>
      <c r="M25">
        <v>233.45</v>
      </c>
      <c r="N25">
        <v>114.13</v>
      </c>
      <c r="O25">
        <v>3.8</v>
      </c>
      <c r="P25">
        <v>123.87</v>
      </c>
      <c r="Q25">
        <v>95.84</v>
      </c>
      <c r="R25">
        <v>834.4</v>
      </c>
      <c r="S25">
        <v>6.3713000000000006E-2</v>
      </c>
      <c r="T25">
        <v>66.13</v>
      </c>
      <c r="U25">
        <v>2361</v>
      </c>
      <c r="V25">
        <v>12</v>
      </c>
      <c r="W25">
        <v>35.5</v>
      </c>
      <c r="X25">
        <v>292</v>
      </c>
      <c r="Y25">
        <v>0.79210000000000003</v>
      </c>
      <c r="Z25">
        <v>0.18095</v>
      </c>
      <c r="AA25">
        <v>211.5</v>
      </c>
      <c r="AB25">
        <v>861.5</v>
      </c>
      <c r="AC25">
        <v>0.89380000000000004</v>
      </c>
      <c r="AD25">
        <v>2.4430000000000001</v>
      </c>
      <c r="AE25">
        <v>362</v>
      </c>
      <c r="AF25">
        <v>403</v>
      </c>
      <c r="AG25">
        <v>76.3</v>
      </c>
      <c r="AH25">
        <v>147.94999999999999</v>
      </c>
      <c r="AI25">
        <v>7.1749999999999998</v>
      </c>
      <c r="AJ25">
        <v>3240</v>
      </c>
      <c r="AK25">
        <v>2.5365000000000002</v>
      </c>
      <c r="AL25">
        <v>131.80000000000001</v>
      </c>
      <c r="AM25">
        <v>2435</v>
      </c>
      <c r="AN25">
        <v>15490</v>
      </c>
      <c r="AO25">
        <v>45.9</v>
      </c>
      <c r="AP25">
        <v>1220</v>
      </c>
      <c r="AQ25">
        <v>550</v>
      </c>
      <c r="AR25">
        <v>114</v>
      </c>
      <c r="AS25">
        <v>61.65</v>
      </c>
      <c r="AT25">
        <v>0.83499999999999996</v>
      </c>
      <c r="AU25">
        <v>51.55</v>
      </c>
      <c r="AV25">
        <v>69.260000000000005</v>
      </c>
      <c r="AW25">
        <v>0.47799999999999998</v>
      </c>
      <c r="AX25">
        <v>738.5</v>
      </c>
    </row>
    <row r="26" spans="1:50" x14ac:dyDescent="0.2">
      <c r="A26" s="1" t="s">
        <v>92</v>
      </c>
      <c r="B26">
        <v>1960.69</v>
      </c>
      <c r="C26">
        <v>161.4</v>
      </c>
      <c r="D26">
        <v>125</v>
      </c>
      <c r="E26">
        <v>2923</v>
      </c>
      <c r="F26">
        <v>8480</v>
      </c>
      <c r="G26">
        <v>625.20000000000005</v>
      </c>
      <c r="H26">
        <v>26.67</v>
      </c>
      <c r="I26">
        <v>3925.81</v>
      </c>
      <c r="J26">
        <v>378</v>
      </c>
      <c r="K26">
        <v>318</v>
      </c>
      <c r="L26">
        <v>9664.2099999999991</v>
      </c>
      <c r="M26">
        <v>236.4</v>
      </c>
      <c r="N26">
        <v>111.38</v>
      </c>
      <c r="O26">
        <v>3.8195000000000001</v>
      </c>
      <c r="P26">
        <v>124.19</v>
      </c>
      <c r="Q26">
        <v>96.1</v>
      </c>
      <c r="R26">
        <v>835</v>
      </c>
      <c r="S26">
        <v>6.3799999999999996E-2</v>
      </c>
      <c r="T26">
        <v>66.22</v>
      </c>
      <c r="U26">
        <v>2341</v>
      </c>
      <c r="V26">
        <v>11.91</v>
      </c>
      <c r="W26">
        <v>34.35</v>
      </c>
      <c r="X26">
        <v>298.39999999999998</v>
      </c>
      <c r="Y26">
        <v>0.78439999999999999</v>
      </c>
      <c r="Z26">
        <v>0.18</v>
      </c>
      <c r="AA26">
        <v>212.8</v>
      </c>
      <c r="AB26">
        <v>861</v>
      </c>
      <c r="AC26">
        <v>0.86900000000000011</v>
      </c>
      <c r="AD26">
        <v>2.4409999999999998</v>
      </c>
      <c r="AE26">
        <v>363</v>
      </c>
      <c r="AF26">
        <v>402</v>
      </c>
      <c r="AG26">
        <v>77.55</v>
      </c>
      <c r="AH26">
        <v>141.5</v>
      </c>
      <c r="AI26">
        <v>7.17</v>
      </c>
      <c r="AJ26">
        <v>3240</v>
      </c>
      <c r="AK26">
        <v>2.5295000000000001</v>
      </c>
      <c r="AL26">
        <v>132.19999999999999</v>
      </c>
      <c r="AM26">
        <v>2485</v>
      </c>
      <c r="AN26">
        <v>15670</v>
      </c>
      <c r="AO26">
        <v>46.8</v>
      </c>
      <c r="AP26">
        <v>1216</v>
      </c>
      <c r="AQ26">
        <v>544</v>
      </c>
      <c r="AR26">
        <v>115</v>
      </c>
      <c r="AS26">
        <v>61.35</v>
      </c>
      <c r="AT26">
        <v>0.84499999999999997</v>
      </c>
      <c r="AU26">
        <v>53.55</v>
      </c>
      <c r="AV26">
        <v>68.5</v>
      </c>
      <c r="AW26">
        <v>0.45900000000000002</v>
      </c>
      <c r="AX26">
        <v>738</v>
      </c>
    </row>
    <row r="27" spans="1:50" x14ac:dyDescent="0.2">
      <c r="A27" s="1" t="s">
        <v>93</v>
      </c>
      <c r="B27">
        <v>1959.11</v>
      </c>
      <c r="C27">
        <v>161.97999999999999</v>
      </c>
      <c r="D27">
        <v>125.14</v>
      </c>
      <c r="E27">
        <v>2880</v>
      </c>
      <c r="F27">
        <v>8593</v>
      </c>
      <c r="G27">
        <v>625</v>
      </c>
      <c r="H27">
        <v>26.85</v>
      </c>
      <c r="I27">
        <v>3940.86</v>
      </c>
      <c r="J27">
        <v>377.3</v>
      </c>
      <c r="K27">
        <v>315.89999999999998</v>
      </c>
      <c r="L27">
        <v>9562.7900000000009</v>
      </c>
      <c r="M27">
        <v>234.8</v>
      </c>
      <c r="N27">
        <v>112</v>
      </c>
      <c r="O27">
        <v>3.851</v>
      </c>
      <c r="P27">
        <v>124</v>
      </c>
      <c r="Q27">
        <v>96.8</v>
      </c>
      <c r="R27">
        <v>835</v>
      </c>
      <c r="S27">
        <v>6.3869000000000009E-2</v>
      </c>
      <c r="T27">
        <v>67.12</v>
      </c>
      <c r="U27">
        <v>2334</v>
      </c>
      <c r="V27">
        <v>11.61</v>
      </c>
      <c r="W27">
        <v>36.03</v>
      </c>
      <c r="X27">
        <v>299.89999999999998</v>
      </c>
      <c r="Y27">
        <v>0.78869999999999996</v>
      </c>
      <c r="Z27">
        <v>0.17685000000000001</v>
      </c>
      <c r="AA27">
        <v>209.2</v>
      </c>
      <c r="AB27">
        <v>859.5</v>
      </c>
      <c r="AC27">
        <v>0.84530000000000005</v>
      </c>
      <c r="AD27">
        <v>2.44</v>
      </c>
      <c r="AE27">
        <v>369</v>
      </c>
      <c r="AF27">
        <v>409.9</v>
      </c>
      <c r="AG27">
        <v>77.650000000000006</v>
      </c>
      <c r="AH27">
        <v>143.35</v>
      </c>
      <c r="AI27">
        <v>7.0549999999999997</v>
      </c>
      <c r="AJ27">
        <v>3224</v>
      </c>
      <c r="AK27">
        <v>2.4849999999999999</v>
      </c>
      <c r="AL27">
        <v>131.5</v>
      </c>
      <c r="AM27">
        <v>2443</v>
      </c>
      <c r="AN27">
        <v>15770</v>
      </c>
      <c r="AO27">
        <v>48.1</v>
      </c>
      <c r="AP27">
        <v>1220</v>
      </c>
      <c r="AQ27">
        <v>535</v>
      </c>
      <c r="AR27">
        <v>105.5</v>
      </c>
      <c r="AS27">
        <v>60.4</v>
      </c>
      <c r="AT27">
        <v>0.84</v>
      </c>
      <c r="AU27">
        <v>54</v>
      </c>
      <c r="AV27">
        <v>69.989999999999995</v>
      </c>
      <c r="AW27">
        <v>0.46689999999999998</v>
      </c>
      <c r="AX27">
        <v>740.5</v>
      </c>
    </row>
    <row r="28" spans="1:50" x14ac:dyDescent="0.2">
      <c r="A28" s="1" t="s">
        <v>94</v>
      </c>
      <c r="B28">
        <v>1947.71</v>
      </c>
      <c r="C28">
        <v>161.69999999999999</v>
      </c>
      <c r="D28">
        <v>124.49</v>
      </c>
      <c r="E28">
        <v>2840</v>
      </c>
      <c r="F28">
        <v>8574</v>
      </c>
      <c r="G28">
        <v>617</v>
      </c>
      <c r="H28">
        <v>26.41</v>
      </c>
      <c r="I28">
        <v>3935</v>
      </c>
      <c r="J28">
        <v>371.75</v>
      </c>
      <c r="K28">
        <v>315.10000000000002</v>
      </c>
      <c r="L28">
        <v>9544.9</v>
      </c>
      <c r="M28">
        <v>232.8</v>
      </c>
      <c r="N28">
        <v>111</v>
      </c>
      <c r="O28">
        <v>3.8174999999999999</v>
      </c>
      <c r="P28">
        <v>126.27</v>
      </c>
      <c r="Q28">
        <v>96</v>
      </c>
      <c r="R28">
        <v>836.3</v>
      </c>
      <c r="S28">
        <v>6.3500000000000001E-2</v>
      </c>
      <c r="T28">
        <v>66.75</v>
      </c>
      <c r="U28">
        <v>2352</v>
      </c>
      <c r="V28">
        <v>11.404999999999999</v>
      </c>
      <c r="W28">
        <v>35.545000000000002</v>
      </c>
      <c r="X28">
        <v>295.39999999999998</v>
      </c>
      <c r="Y28">
        <v>0.78900000000000003</v>
      </c>
      <c r="Z28">
        <v>0.16875000000000001</v>
      </c>
      <c r="AA28">
        <v>208.7</v>
      </c>
      <c r="AB28">
        <v>861</v>
      </c>
      <c r="AC28">
        <v>0.8538</v>
      </c>
      <c r="AD28">
        <v>2.4550000000000001</v>
      </c>
      <c r="AE28">
        <v>367</v>
      </c>
      <c r="AF28">
        <v>415.4</v>
      </c>
      <c r="AG28">
        <v>77.760000000000005</v>
      </c>
      <c r="AH28">
        <v>145.1</v>
      </c>
      <c r="AI28">
        <v>7.11</v>
      </c>
      <c r="AJ28">
        <v>3320</v>
      </c>
      <c r="AK28">
        <v>2.5354999999999999</v>
      </c>
      <c r="AL28">
        <v>131.55000000000001</v>
      </c>
      <c r="AM28">
        <v>2442</v>
      </c>
      <c r="AN28">
        <v>15790</v>
      </c>
      <c r="AO28">
        <v>48.2</v>
      </c>
      <c r="AP28">
        <v>1215</v>
      </c>
      <c r="AQ28">
        <v>536</v>
      </c>
      <c r="AR28">
        <v>105.9</v>
      </c>
      <c r="AS28">
        <v>59.85</v>
      </c>
      <c r="AT28">
        <v>0.82900000000000007</v>
      </c>
      <c r="AU28">
        <v>53.3</v>
      </c>
      <c r="AV28">
        <v>70.900000000000006</v>
      </c>
      <c r="AW28">
        <v>0.47199999999999998</v>
      </c>
      <c r="AX28">
        <v>737</v>
      </c>
    </row>
    <row r="29" spans="1:50" x14ac:dyDescent="0.2">
      <c r="A29" s="1" t="s">
        <v>95</v>
      </c>
      <c r="B29">
        <v>1951.89</v>
      </c>
      <c r="C29">
        <v>164.34</v>
      </c>
      <c r="D29">
        <v>120.11</v>
      </c>
      <c r="E29">
        <v>2896</v>
      </c>
      <c r="F29">
        <v>8693</v>
      </c>
      <c r="G29">
        <v>624.79999999999995</v>
      </c>
      <c r="H29">
        <v>26.93</v>
      </c>
      <c r="I29">
        <v>3931.5</v>
      </c>
      <c r="J29">
        <v>386.5</v>
      </c>
      <c r="K29">
        <v>318.5</v>
      </c>
      <c r="L29">
        <v>9475.2999999999993</v>
      </c>
      <c r="M29">
        <v>231</v>
      </c>
      <c r="N29">
        <v>113.87</v>
      </c>
      <c r="O29">
        <v>3.8210000000000002</v>
      </c>
      <c r="P29">
        <v>126.75</v>
      </c>
      <c r="Q29">
        <v>89.34</v>
      </c>
      <c r="R29">
        <v>860</v>
      </c>
      <c r="S29">
        <v>6.4100000000000004E-2</v>
      </c>
      <c r="T29">
        <v>66.89</v>
      </c>
      <c r="U29">
        <v>2356</v>
      </c>
      <c r="V29">
        <v>11.3</v>
      </c>
      <c r="W29">
        <v>35.880000000000003</v>
      </c>
      <c r="X29">
        <v>297.2</v>
      </c>
      <c r="Y29">
        <v>0.80099999999999993</v>
      </c>
      <c r="Z29">
        <v>0.17244999999999999</v>
      </c>
      <c r="AA29">
        <v>212.7</v>
      </c>
      <c r="AB29">
        <v>828</v>
      </c>
      <c r="AC29">
        <v>0.86309999999999998</v>
      </c>
      <c r="AD29">
        <v>2.472</v>
      </c>
      <c r="AE29">
        <v>367.5</v>
      </c>
      <c r="AF29">
        <v>410</v>
      </c>
      <c r="AG29">
        <v>79.2</v>
      </c>
      <c r="AH29">
        <v>145.1</v>
      </c>
      <c r="AI29">
        <v>7.1150000000000002</v>
      </c>
      <c r="AJ29">
        <v>3270</v>
      </c>
      <c r="AK29">
        <v>2.5394999999999999</v>
      </c>
      <c r="AL29">
        <v>131.5</v>
      </c>
      <c r="AM29">
        <v>2428</v>
      </c>
      <c r="AN29">
        <v>15780</v>
      </c>
      <c r="AO29">
        <v>47.9</v>
      </c>
      <c r="AP29">
        <v>1248</v>
      </c>
      <c r="AQ29">
        <v>549</v>
      </c>
      <c r="AR29">
        <v>108.1</v>
      </c>
      <c r="AS29">
        <v>61</v>
      </c>
      <c r="AT29">
        <v>0.82700000000000007</v>
      </c>
      <c r="AU29">
        <v>53.2</v>
      </c>
      <c r="AV29">
        <v>71.5</v>
      </c>
      <c r="AW29">
        <v>0.47399999999999998</v>
      </c>
      <c r="AX29">
        <v>737.5</v>
      </c>
    </row>
    <row r="30" spans="1:50" x14ac:dyDescent="0.2">
      <c r="A30" s="1" t="s">
        <v>96</v>
      </c>
      <c r="B30">
        <v>1946.51</v>
      </c>
      <c r="C30">
        <v>163.93</v>
      </c>
      <c r="D30">
        <v>120.6</v>
      </c>
      <c r="E30">
        <v>2896</v>
      </c>
      <c r="F30">
        <v>8410</v>
      </c>
      <c r="G30">
        <v>627.6</v>
      </c>
      <c r="H30">
        <v>26.7</v>
      </c>
      <c r="I30">
        <v>3900</v>
      </c>
      <c r="J30">
        <v>386.7</v>
      </c>
      <c r="K30">
        <v>317.85000000000002</v>
      </c>
      <c r="L30">
        <v>9449.4500000000007</v>
      </c>
      <c r="M30">
        <v>233.25</v>
      </c>
      <c r="N30">
        <v>112.2</v>
      </c>
      <c r="O30">
        <v>3.7505000000000002</v>
      </c>
      <c r="P30">
        <v>123.85</v>
      </c>
      <c r="Q30">
        <v>87.6</v>
      </c>
      <c r="R30">
        <v>848</v>
      </c>
      <c r="S30">
        <v>6.4899999999999999E-2</v>
      </c>
      <c r="T30">
        <v>67.09</v>
      </c>
      <c r="U30">
        <v>2374</v>
      </c>
      <c r="V30">
        <v>11.11</v>
      </c>
      <c r="W30">
        <v>35.1</v>
      </c>
      <c r="X30">
        <v>295.89999999999998</v>
      </c>
      <c r="Y30">
        <v>0.80700000000000005</v>
      </c>
      <c r="Z30">
        <v>0.17100000000000001</v>
      </c>
      <c r="AA30">
        <v>214.7</v>
      </c>
      <c r="AB30">
        <v>797</v>
      </c>
      <c r="AC30">
        <v>0.85070000000000001</v>
      </c>
      <c r="AD30">
        <v>2.4460000000000002</v>
      </c>
      <c r="AE30">
        <v>362.5</v>
      </c>
      <c r="AF30">
        <v>410.4</v>
      </c>
      <c r="AG30">
        <v>78.599999999999994</v>
      </c>
      <c r="AH30">
        <v>145.1</v>
      </c>
      <c r="AI30">
        <v>7.11</v>
      </c>
      <c r="AJ30">
        <v>3298</v>
      </c>
      <c r="AK30">
        <v>2.5405000000000002</v>
      </c>
      <c r="AL30">
        <v>131.55000000000001</v>
      </c>
      <c r="AM30">
        <v>2488</v>
      </c>
      <c r="AN30">
        <v>16220</v>
      </c>
      <c r="AO30">
        <v>50</v>
      </c>
      <c r="AP30">
        <v>1258</v>
      </c>
      <c r="AQ30">
        <v>573</v>
      </c>
      <c r="AR30">
        <v>107.8</v>
      </c>
      <c r="AS30">
        <v>60.05</v>
      </c>
      <c r="AT30">
        <v>0.83200000000000007</v>
      </c>
      <c r="AU30">
        <v>52.55</v>
      </c>
      <c r="AV30">
        <v>71.72</v>
      </c>
      <c r="AW30">
        <v>0.47410000000000002</v>
      </c>
      <c r="AX30">
        <v>742.5</v>
      </c>
    </row>
    <row r="31" spans="1:50" x14ac:dyDescent="0.2">
      <c r="A31" s="1" t="s">
        <v>97</v>
      </c>
      <c r="B31">
        <v>1925.13</v>
      </c>
      <c r="C31">
        <v>162.1</v>
      </c>
      <c r="D31">
        <v>118.95</v>
      </c>
      <c r="E31">
        <v>2842</v>
      </c>
      <c r="F31">
        <v>8388</v>
      </c>
      <c r="G31">
        <v>617.1</v>
      </c>
      <c r="H31">
        <v>26.465</v>
      </c>
      <c r="I31">
        <v>3883.99</v>
      </c>
      <c r="J31">
        <v>385.1</v>
      </c>
      <c r="K31">
        <v>317.39999999999998</v>
      </c>
      <c r="L31">
        <v>9351.02</v>
      </c>
      <c r="M31">
        <v>230.55</v>
      </c>
      <c r="N31">
        <v>109.9</v>
      </c>
      <c r="O31">
        <v>3.802</v>
      </c>
      <c r="P31">
        <v>124.02</v>
      </c>
      <c r="Q31">
        <v>85.86</v>
      </c>
      <c r="R31">
        <v>820</v>
      </c>
      <c r="S31">
        <v>6.3730999999999996E-2</v>
      </c>
      <c r="T31">
        <v>66.209999999999994</v>
      </c>
      <c r="U31">
        <v>2390</v>
      </c>
      <c r="V31">
        <v>11.22</v>
      </c>
      <c r="W31">
        <v>34.47</v>
      </c>
      <c r="X31">
        <v>294.5</v>
      </c>
      <c r="Y31">
        <v>0.80400000000000005</v>
      </c>
      <c r="Z31">
        <v>0.16844999999999999</v>
      </c>
      <c r="AA31">
        <v>208.5</v>
      </c>
      <c r="AB31">
        <v>789.5</v>
      </c>
      <c r="AC31">
        <v>0.83730000000000004</v>
      </c>
      <c r="AD31">
        <v>2.456</v>
      </c>
      <c r="AE31">
        <v>358</v>
      </c>
      <c r="AF31">
        <v>417.5</v>
      </c>
      <c r="AG31">
        <v>78</v>
      </c>
      <c r="AH31">
        <v>144.94999999999999</v>
      </c>
      <c r="AI31">
        <v>7.3</v>
      </c>
      <c r="AJ31">
        <v>3259</v>
      </c>
      <c r="AK31">
        <v>2.5310000000000001</v>
      </c>
      <c r="AL31">
        <v>131.44999999999999</v>
      </c>
      <c r="AM31">
        <v>2438</v>
      </c>
      <c r="AN31">
        <v>16150</v>
      </c>
      <c r="AO31">
        <v>48.9</v>
      </c>
      <c r="AP31">
        <v>1248</v>
      </c>
      <c r="AQ31">
        <v>569</v>
      </c>
      <c r="AR31">
        <v>107.2</v>
      </c>
      <c r="AS31">
        <v>59.05</v>
      </c>
      <c r="AT31">
        <v>0.84200000000000008</v>
      </c>
      <c r="AU31">
        <v>51.45</v>
      </c>
      <c r="AV31">
        <v>70.47</v>
      </c>
      <c r="AW31">
        <v>0.46929999999999999</v>
      </c>
      <c r="AX31">
        <v>742.5</v>
      </c>
    </row>
    <row r="32" spans="1:50" x14ac:dyDescent="0.2">
      <c r="A32" s="1" t="s">
        <v>98</v>
      </c>
      <c r="B32">
        <v>1931.75</v>
      </c>
      <c r="C32">
        <v>161.33000000000001</v>
      </c>
      <c r="D32">
        <v>119.17</v>
      </c>
      <c r="E32">
        <v>2826.5</v>
      </c>
      <c r="F32">
        <v>8585</v>
      </c>
      <c r="G32">
        <v>624.29999999999995</v>
      </c>
      <c r="H32">
        <v>26.92</v>
      </c>
      <c r="I32">
        <v>3929.97</v>
      </c>
      <c r="J32">
        <v>386.75</v>
      </c>
      <c r="K32">
        <v>313.3</v>
      </c>
      <c r="L32">
        <v>9542.91</v>
      </c>
      <c r="M32">
        <v>234.6</v>
      </c>
      <c r="N32">
        <v>110</v>
      </c>
      <c r="O32">
        <v>3.835</v>
      </c>
      <c r="P32">
        <v>124.65</v>
      </c>
      <c r="Q32">
        <v>85.3</v>
      </c>
      <c r="R32">
        <v>837.1</v>
      </c>
      <c r="S32">
        <v>6.3500000000000001E-2</v>
      </c>
      <c r="T32">
        <v>66.16</v>
      </c>
      <c r="U32">
        <v>2410</v>
      </c>
      <c r="V32">
        <v>11.13</v>
      </c>
      <c r="W32">
        <v>33.909999999999997</v>
      </c>
      <c r="X32">
        <v>294</v>
      </c>
      <c r="Y32">
        <v>0.80149999999999999</v>
      </c>
      <c r="Z32">
        <v>0.16669999999999999</v>
      </c>
      <c r="AA32">
        <v>204.6</v>
      </c>
      <c r="AB32">
        <v>778</v>
      </c>
      <c r="AC32">
        <v>0.83150000000000002</v>
      </c>
      <c r="AD32">
        <v>2.456</v>
      </c>
      <c r="AE32">
        <v>350</v>
      </c>
      <c r="AF32">
        <v>427</v>
      </c>
      <c r="AG32">
        <v>78</v>
      </c>
      <c r="AH32">
        <v>144.19999999999999</v>
      </c>
      <c r="AI32">
        <v>7.3</v>
      </c>
      <c r="AJ32">
        <v>3259</v>
      </c>
      <c r="AK32">
        <v>2.52</v>
      </c>
      <c r="AL32">
        <v>131.5</v>
      </c>
      <c r="AM32">
        <v>2469</v>
      </c>
      <c r="AN32">
        <v>16200</v>
      </c>
      <c r="AO32">
        <v>49.3</v>
      </c>
      <c r="AP32">
        <v>1233</v>
      </c>
      <c r="AQ32">
        <v>573</v>
      </c>
      <c r="AR32">
        <v>108.1</v>
      </c>
      <c r="AS32">
        <v>57.95</v>
      </c>
      <c r="AT32">
        <v>0.83299999999999996</v>
      </c>
      <c r="AU32">
        <v>51.95</v>
      </c>
      <c r="AV32">
        <v>70.16</v>
      </c>
      <c r="AW32">
        <v>0.47499999999999998</v>
      </c>
      <c r="AX32">
        <v>718.5</v>
      </c>
    </row>
    <row r="33" spans="1:50" x14ac:dyDescent="0.2">
      <c r="A33" s="1" t="s">
        <v>99</v>
      </c>
      <c r="B33">
        <v>1923.73</v>
      </c>
      <c r="C33">
        <v>160.22</v>
      </c>
      <c r="D33">
        <v>118.4</v>
      </c>
      <c r="E33">
        <v>2835</v>
      </c>
      <c r="F33">
        <v>8675</v>
      </c>
      <c r="G33">
        <v>614</v>
      </c>
      <c r="H33">
        <v>26.49</v>
      </c>
      <c r="I33">
        <v>3906</v>
      </c>
      <c r="J33">
        <v>380.2</v>
      </c>
      <c r="K33">
        <v>314.14999999999998</v>
      </c>
      <c r="L33">
        <v>9485.24</v>
      </c>
      <c r="M33">
        <v>236.4</v>
      </c>
      <c r="N33">
        <v>109.93</v>
      </c>
      <c r="O33">
        <v>3.7450000000000001</v>
      </c>
      <c r="P33">
        <v>123.26</v>
      </c>
      <c r="Q33">
        <v>84.3</v>
      </c>
      <c r="R33">
        <v>840.7</v>
      </c>
      <c r="S33">
        <v>6.3500000000000001E-2</v>
      </c>
      <c r="T33">
        <v>66.03</v>
      </c>
      <c r="U33">
        <v>2397</v>
      </c>
      <c r="V33">
        <v>11.01</v>
      </c>
      <c r="W33">
        <v>34.18</v>
      </c>
      <c r="X33">
        <v>281.2</v>
      </c>
      <c r="Y33">
        <v>0.78959999999999997</v>
      </c>
      <c r="Z33">
        <v>0.16714999999999999</v>
      </c>
      <c r="AA33">
        <v>204.55</v>
      </c>
      <c r="AB33">
        <v>782</v>
      </c>
      <c r="AC33">
        <v>0.85009999999999997</v>
      </c>
      <c r="AD33">
        <v>2.423</v>
      </c>
      <c r="AE33">
        <v>347.5</v>
      </c>
      <c r="AF33">
        <v>431.2</v>
      </c>
      <c r="AG33">
        <v>78.099999999999994</v>
      </c>
      <c r="AH33">
        <v>143.44999999999999</v>
      </c>
      <c r="AI33">
        <v>7.35</v>
      </c>
      <c r="AJ33">
        <v>3240</v>
      </c>
      <c r="AK33">
        <v>2.5299999999999998</v>
      </c>
      <c r="AL33">
        <v>129.55000000000001</v>
      </c>
      <c r="AM33">
        <v>2361</v>
      </c>
      <c r="AN33">
        <v>16490</v>
      </c>
      <c r="AO33">
        <v>48</v>
      </c>
      <c r="AP33">
        <v>1230</v>
      </c>
      <c r="AQ33">
        <v>553</v>
      </c>
      <c r="AR33">
        <v>108.4</v>
      </c>
      <c r="AS33">
        <v>58.6</v>
      </c>
      <c r="AT33">
        <v>0.85299999999999998</v>
      </c>
      <c r="AU33">
        <v>50.9</v>
      </c>
      <c r="AV33">
        <v>69.599999999999994</v>
      </c>
      <c r="AW33">
        <v>0.4793</v>
      </c>
      <c r="AX33">
        <v>716</v>
      </c>
    </row>
    <row r="34" spans="1:50" x14ac:dyDescent="0.2">
      <c r="A34" s="1" t="s">
        <v>100</v>
      </c>
      <c r="B34">
        <v>1933.1</v>
      </c>
      <c r="C34">
        <v>161.55000000000001</v>
      </c>
      <c r="D34">
        <v>119</v>
      </c>
      <c r="E34">
        <v>2833</v>
      </c>
      <c r="F34">
        <v>8646</v>
      </c>
      <c r="G34">
        <v>612.5</v>
      </c>
      <c r="H34">
        <v>26.42</v>
      </c>
      <c r="I34">
        <v>3896</v>
      </c>
      <c r="J34">
        <v>389.8</v>
      </c>
      <c r="K34">
        <v>310</v>
      </c>
      <c r="L34">
        <v>9694.0300000000007</v>
      </c>
      <c r="M34">
        <v>237.25</v>
      </c>
      <c r="N34">
        <v>109.89</v>
      </c>
      <c r="O34">
        <v>3.8140000000000001</v>
      </c>
      <c r="P34">
        <v>127</v>
      </c>
      <c r="Q34">
        <v>85.78</v>
      </c>
      <c r="R34">
        <v>842</v>
      </c>
      <c r="S34">
        <v>6.3600000000000004E-2</v>
      </c>
      <c r="T34">
        <v>65.930000000000007</v>
      </c>
      <c r="U34">
        <v>2405</v>
      </c>
      <c r="V34">
        <v>11.005000000000001</v>
      </c>
      <c r="W34">
        <v>34.33</v>
      </c>
      <c r="X34">
        <v>287.8</v>
      </c>
      <c r="Y34">
        <v>0.79710000000000003</v>
      </c>
      <c r="Z34">
        <v>0.16725000000000001</v>
      </c>
      <c r="AA34">
        <v>208</v>
      </c>
      <c r="AB34">
        <v>765</v>
      </c>
      <c r="AC34">
        <v>0.87219999999999998</v>
      </c>
      <c r="AD34">
        <v>2.4300000000000002</v>
      </c>
      <c r="AE34">
        <v>352</v>
      </c>
      <c r="AF34">
        <v>431.7</v>
      </c>
      <c r="AG34">
        <v>76.599999999999994</v>
      </c>
      <c r="AH34">
        <v>143.69999999999999</v>
      </c>
      <c r="AI34">
        <v>7.53</v>
      </c>
      <c r="AJ34">
        <v>3274</v>
      </c>
      <c r="AK34">
        <v>2.6535000000000002</v>
      </c>
      <c r="AL34">
        <v>128.85</v>
      </c>
      <c r="AM34">
        <v>2324</v>
      </c>
      <c r="AN34">
        <v>16250</v>
      </c>
      <c r="AO34">
        <v>50.5</v>
      </c>
      <c r="AP34">
        <v>1247</v>
      </c>
      <c r="AQ34">
        <v>538</v>
      </c>
      <c r="AR34">
        <v>109</v>
      </c>
      <c r="AS34">
        <v>57.1</v>
      </c>
      <c r="AT34">
        <v>0.878</v>
      </c>
      <c r="AU34">
        <v>51.4</v>
      </c>
      <c r="AV34">
        <v>73.599999999999994</v>
      </c>
      <c r="AW34">
        <v>0.50700000000000001</v>
      </c>
      <c r="AX34">
        <v>686</v>
      </c>
    </row>
    <row r="35" spans="1:50" x14ac:dyDescent="0.2">
      <c r="A35" s="1" t="s">
        <v>101</v>
      </c>
      <c r="B35">
        <v>1945.12</v>
      </c>
      <c r="C35">
        <v>166</v>
      </c>
      <c r="D35">
        <v>118.68</v>
      </c>
      <c r="E35">
        <v>2851.5</v>
      </c>
      <c r="F35">
        <v>8865</v>
      </c>
      <c r="G35">
        <v>615.9</v>
      </c>
      <c r="H35">
        <v>26.3</v>
      </c>
      <c r="I35">
        <v>3903.06</v>
      </c>
      <c r="J35">
        <v>388.1</v>
      </c>
      <c r="K35">
        <v>310</v>
      </c>
      <c r="L35">
        <v>9740.77</v>
      </c>
      <c r="M35">
        <v>237.8</v>
      </c>
      <c r="N35">
        <v>109.71</v>
      </c>
      <c r="O35">
        <v>3.8180000000000001</v>
      </c>
      <c r="P35">
        <v>125.3</v>
      </c>
      <c r="Q35">
        <v>85.9</v>
      </c>
      <c r="R35">
        <v>841</v>
      </c>
      <c r="S35">
        <v>6.3412999999999997E-2</v>
      </c>
      <c r="T35">
        <v>66.45</v>
      </c>
      <c r="U35">
        <v>2389</v>
      </c>
      <c r="V35">
        <v>11.16</v>
      </c>
      <c r="W35">
        <v>33.92</v>
      </c>
      <c r="X35">
        <v>290.5</v>
      </c>
      <c r="Y35">
        <v>0.79569999999999996</v>
      </c>
      <c r="Z35">
        <v>0.17194999999999999</v>
      </c>
      <c r="AA35">
        <v>207.75</v>
      </c>
      <c r="AB35">
        <v>758.5</v>
      </c>
      <c r="AC35">
        <v>0.86599999999999999</v>
      </c>
      <c r="AD35">
        <v>2.452</v>
      </c>
      <c r="AE35">
        <v>350</v>
      </c>
      <c r="AF35">
        <v>407.1</v>
      </c>
      <c r="AG35">
        <v>76.36</v>
      </c>
      <c r="AH35">
        <v>144.44999999999999</v>
      </c>
      <c r="AI35">
        <v>7.62</v>
      </c>
      <c r="AJ35">
        <v>3273</v>
      </c>
      <c r="AK35">
        <v>2.6415000000000002</v>
      </c>
      <c r="AL35">
        <v>129.9</v>
      </c>
      <c r="AM35">
        <v>2326</v>
      </c>
      <c r="AN35">
        <v>16090</v>
      </c>
      <c r="AO35">
        <v>50.5</v>
      </c>
      <c r="AP35">
        <v>1249</v>
      </c>
      <c r="AQ35">
        <v>537</v>
      </c>
      <c r="AR35">
        <v>109</v>
      </c>
      <c r="AS35">
        <v>56.65</v>
      </c>
      <c r="AT35">
        <v>0.87</v>
      </c>
      <c r="AU35">
        <v>52</v>
      </c>
      <c r="AV35">
        <v>74.37</v>
      </c>
      <c r="AW35">
        <v>0.505</v>
      </c>
      <c r="AX35">
        <v>668.5</v>
      </c>
    </row>
    <row r="36" spans="1:50" x14ac:dyDescent="0.2">
      <c r="A36" s="1" t="s">
        <v>102</v>
      </c>
      <c r="B36">
        <v>1916.75</v>
      </c>
      <c r="C36">
        <v>165.4</v>
      </c>
      <c r="D36">
        <v>116.9</v>
      </c>
      <c r="E36">
        <v>2794</v>
      </c>
      <c r="F36">
        <v>8831</v>
      </c>
      <c r="G36">
        <v>604.9</v>
      </c>
      <c r="H36">
        <v>26.15</v>
      </c>
      <c r="I36">
        <v>3888</v>
      </c>
      <c r="J36">
        <v>379</v>
      </c>
      <c r="K36">
        <v>305.89999999999998</v>
      </c>
      <c r="L36">
        <v>9624.44</v>
      </c>
      <c r="M36">
        <v>236.95</v>
      </c>
      <c r="N36">
        <v>108.9</v>
      </c>
      <c r="O36">
        <v>3.73</v>
      </c>
      <c r="P36">
        <v>123.57</v>
      </c>
      <c r="Q36">
        <v>82.99</v>
      </c>
      <c r="R36">
        <v>820.5</v>
      </c>
      <c r="S36">
        <v>6.0900000000000003E-2</v>
      </c>
      <c r="T36">
        <v>66.099999999999994</v>
      </c>
      <c r="U36">
        <v>2358</v>
      </c>
      <c r="V36">
        <v>11.105</v>
      </c>
      <c r="W36">
        <v>33.630000000000003</v>
      </c>
      <c r="X36">
        <v>287.2</v>
      </c>
      <c r="Y36">
        <v>0.78559999999999997</v>
      </c>
      <c r="Z36">
        <v>0.17</v>
      </c>
      <c r="AA36">
        <v>203.35</v>
      </c>
      <c r="AB36">
        <v>728.5</v>
      </c>
      <c r="AC36">
        <v>0.84499999999999997</v>
      </c>
      <c r="AD36">
        <v>2.4300000000000002</v>
      </c>
      <c r="AE36">
        <v>356</v>
      </c>
      <c r="AF36">
        <v>407.5</v>
      </c>
      <c r="AG36">
        <v>78.5</v>
      </c>
      <c r="AH36">
        <v>137.69999999999999</v>
      </c>
      <c r="AI36">
        <v>7.54</v>
      </c>
      <c r="AJ36">
        <v>3220</v>
      </c>
      <c r="AK36">
        <v>2.597</v>
      </c>
      <c r="AL36">
        <v>129.94999999999999</v>
      </c>
      <c r="AM36">
        <v>2313</v>
      </c>
      <c r="AN36">
        <v>16090</v>
      </c>
      <c r="AO36">
        <v>49.8</v>
      </c>
      <c r="AP36">
        <v>1245</v>
      </c>
      <c r="AQ36">
        <v>544</v>
      </c>
      <c r="AR36">
        <v>107.9</v>
      </c>
      <c r="AS36">
        <v>55.85</v>
      </c>
      <c r="AT36">
        <v>0.86099999999999999</v>
      </c>
      <c r="AU36">
        <v>51.75</v>
      </c>
      <c r="AV36">
        <v>73.98</v>
      </c>
      <c r="AW36">
        <v>0.47520000000000001</v>
      </c>
      <c r="AX36">
        <v>642</v>
      </c>
    </row>
    <row r="37" spans="1:50" x14ac:dyDescent="0.2">
      <c r="A37" s="1" t="s">
        <v>103</v>
      </c>
      <c r="B37">
        <v>1919.53</v>
      </c>
      <c r="C37">
        <v>164.53</v>
      </c>
      <c r="D37">
        <v>116.1</v>
      </c>
      <c r="E37">
        <v>2797.5</v>
      </c>
      <c r="F37">
        <v>8930</v>
      </c>
      <c r="G37">
        <v>607.70000000000005</v>
      </c>
      <c r="H37">
        <v>26.62</v>
      </c>
      <c r="I37">
        <v>3909.75</v>
      </c>
      <c r="J37">
        <v>390.1</v>
      </c>
      <c r="K37">
        <v>311.3</v>
      </c>
      <c r="L37">
        <v>9470.33</v>
      </c>
      <c r="M37">
        <v>236.2</v>
      </c>
      <c r="N37">
        <v>107.05</v>
      </c>
      <c r="O37">
        <v>3.78</v>
      </c>
      <c r="P37">
        <v>125</v>
      </c>
      <c r="Q37">
        <v>83.65</v>
      </c>
      <c r="R37">
        <v>833.7</v>
      </c>
      <c r="S37">
        <v>5.9687999999999998E-2</v>
      </c>
      <c r="T37">
        <v>65.150000000000006</v>
      </c>
      <c r="U37">
        <v>2385</v>
      </c>
      <c r="V37">
        <v>12</v>
      </c>
      <c r="W37">
        <v>33.799999999999997</v>
      </c>
      <c r="X37">
        <v>292.39999999999998</v>
      </c>
      <c r="Y37">
        <v>0.76659999999999995</v>
      </c>
      <c r="Z37">
        <v>0.16700000000000001</v>
      </c>
      <c r="AA37">
        <v>201.7</v>
      </c>
      <c r="AB37">
        <v>725</v>
      </c>
      <c r="AC37">
        <v>0.86439999999999995</v>
      </c>
      <c r="AD37">
        <v>2.4489999999999998</v>
      </c>
      <c r="AE37">
        <v>362</v>
      </c>
      <c r="AF37">
        <v>407.1</v>
      </c>
      <c r="AG37">
        <v>77.900000000000006</v>
      </c>
      <c r="AH37">
        <v>143.35</v>
      </c>
      <c r="AI37">
        <v>7.6150000000000002</v>
      </c>
      <c r="AJ37">
        <v>3325</v>
      </c>
      <c r="AK37">
        <v>2.6105</v>
      </c>
      <c r="AL37">
        <v>130.4</v>
      </c>
      <c r="AM37">
        <v>2265</v>
      </c>
      <c r="AN37">
        <v>16250</v>
      </c>
      <c r="AO37">
        <v>50.2</v>
      </c>
      <c r="AP37">
        <v>1245</v>
      </c>
      <c r="AQ37">
        <v>525</v>
      </c>
      <c r="AR37">
        <v>107.9</v>
      </c>
      <c r="AS37">
        <v>55.5</v>
      </c>
      <c r="AT37">
        <v>0.85499999999999998</v>
      </c>
      <c r="AU37">
        <v>51.65</v>
      </c>
      <c r="AV37">
        <v>73.58</v>
      </c>
      <c r="AW37">
        <v>0.49099999999999999</v>
      </c>
      <c r="AX37">
        <v>624</v>
      </c>
    </row>
    <row r="38" spans="1:50" x14ac:dyDescent="0.2">
      <c r="A38" s="1" t="s">
        <v>104</v>
      </c>
      <c r="B38">
        <v>1940.14</v>
      </c>
      <c r="C38">
        <v>166.31</v>
      </c>
      <c r="D38">
        <v>117.99</v>
      </c>
      <c r="E38">
        <v>2864.5</v>
      </c>
      <c r="F38">
        <v>9055</v>
      </c>
      <c r="G38">
        <v>613.1</v>
      </c>
      <c r="H38">
        <v>27.57</v>
      </c>
      <c r="I38">
        <v>3918</v>
      </c>
      <c r="J38">
        <v>389.8</v>
      </c>
      <c r="K38">
        <v>316.10000000000002</v>
      </c>
      <c r="L38">
        <v>9318.2000000000007</v>
      </c>
      <c r="M38">
        <v>236.7</v>
      </c>
      <c r="N38">
        <v>109.2</v>
      </c>
      <c r="O38">
        <v>3.73</v>
      </c>
      <c r="P38">
        <v>125.93</v>
      </c>
      <c r="Q38">
        <v>84.98</v>
      </c>
      <c r="R38">
        <v>841.5</v>
      </c>
      <c r="S38">
        <v>6.0049999999999999E-2</v>
      </c>
      <c r="T38">
        <v>65.430000000000007</v>
      </c>
      <c r="U38">
        <v>2350</v>
      </c>
      <c r="V38">
        <v>11.9</v>
      </c>
      <c r="W38">
        <v>34.35</v>
      </c>
      <c r="X38">
        <v>291.5</v>
      </c>
      <c r="Y38">
        <v>0.76</v>
      </c>
      <c r="Z38">
        <v>0.16800000000000001</v>
      </c>
      <c r="AA38">
        <v>206.4</v>
      </c>
      <c r="AB38">
        <v>733</v>
      </c>
      <c r="AC38">
        <v>0.875</v>
      </c>
      <c r="AD38">
        <v>2.4700000000000002</v>
      </c>
      <c r="AE38">
        <v>359</v>
      </c>
      <c r="AF38">
        <v>409</v>
      </c>
      <c r="AG38">
        <v>78.650000000000006</v>
      </c>
      <c r="AH38">
        <v>142.80000000000001</v>
      </c>
      <c r="AI38">
        <v>7.5649999999999986</v>
      </c>
      <c r="AJ38">
        <v>3319</v>
      </c>
      <c r="AK38">
        <v>2.6475</v>
      </c>
      <c r="AL38">
        <v>131</v>
      </c>
      <c r="AM38">
        <v>2308</v>
      </c>
      <c r="AN38">
        <v>16150</v>
      </c>
      <c r="AO38">
        <v>50.8</v>
      </c>
      <c r="AP38">
        <v>1245</v>
      </c>
      <c r="AQ38">
        <v>526</v>
      </c>
      <c r="AR38">
        <v>108.7</v>
      </c>
      <c r="AS38">
        <v>55.5</v>
      </c>
      <c r="AT38">
        <v>0.86</v>
      </c>
      <c r="AU38">
        <v>51.85</v>
      </c>
      <c r="AV38">
        <v>74</v>
      </c>
      <c r="AW38">
        <v>0.48630000000000001</v>
      </c>
      <c r="AX38">
        <v>618</v>
      </c>
    </row>
    <row r="39" spans="1:50" x14ac:dyDescent="0.2">
      <c r="A39" s="1" t="s">
        <v>105</v>
      </c>
      <c r="B39">
        <v>1965.48</v>
      </c>
      <c r="C39">
        <v>169.9</v>
      </c>
      <c r="D39">
        <v>119.09</v>
      </c>
      <c r="E39">
        <v>2938</v>
      </c>
      <c r="F39">
        <v>9142</v>
      </c>
      <c r="G39">
        <v>621.4</v>
      </c>
      <c r="H39">
        <v>27.56</v>
      </c>
      <c r="I39">
        <v>3942</v>
      </c>
      <c r="J39">
        <v>392</v>
      </c>
      <c r="K39">
        <v>322</v>
      </c>
      <c r="L39">
        <v>9415.64</v>
      </c>
      <c r="M39">
        <v>240.1</v>
      </c>
      <c r="N39">
        <v>110.73</v>
      </c>
      <c r="O39">
        <v>3.8450000000000002</v>
      </c>
      <c r="P39">
        <v>128</v>
      </c>
      <c r="Q39">
        <v>85</v>
      </c>
      <c r="R39">
        <v>852</v>
      </c>
      <c r="S39">
        <v>6.1712999999999997E-2</v>
      </c>
      <c r="T39">
        <v>65.61</v>
      </c>
      <c r="U39">
        <v>2395</v>
      </c>
      <c r="V39">
        <v>12.065</v>
      </c>
      <c r="W39">
        <v>34.454999999999998</v>
      </c>
      <c r="X39">
        <v>295</v>
      </c>
      <c r="Y39">
        <v>0.76770000000000005</v>
      </c>
      <c r="Z39">
        <v>0.16819999999999999</v>
      </c>
      <c r="AA39">
        <v>205.55</v>
      </c>
      <c r="AB39">
        <v>738.5</v>
      </c>
      <c r="AC39">
        <v>0.871</v>
      </c>
      <c r="AD39">
        <v>2.4249999999999998</v>
      </c>
      <c r="AE39">
        <v>361</v>
      </c>
      <c r="AF39">
        <v>406.9</v>
      </c>
      <c r="AG39">
        <v>78.73</v>
      </c>
      <c r="AH39">
        <v>143.75</v>
      </c>
      <c r="AI39">
        <v>7.5250000000000004</v>
      </c>
      <c r="AJ39">
        <v>3313</v>
      </c>
      <c r="AK39">
        <v>2.6145</v>
      </c>
      <c r="AL39">
        <v>131.80000000000001</v>
      </c>
      <c r="AM39">
        <v>2262</v>
      </c>
      <c r="AN39">
        <v>16180</v>
      </c>
      <c r="AO39">
        <v>50.9</v>
      </c>
      <c r="AP39">
        <v>1245</v>
      </c>
      <c r="AQ39">
        <v>529</v>
      </c>
      <c r="AR39">
        <v>109.1</v>
      </c>
      <c r="AS39">
        <v>56.9</v>
      </c>
      <c r="AT39">
        <v>0.85799999999999998</v>
      </c>
      <c r="AU39">
        <v>52.5</v>
      </c>
      <c r="AV39">
        <v>74.91</v>
      </c>
      <c r="AW39">
        <v>0.49270000000000003</v>
      </c>
      <c r="AX39">
        <v>623.5</v>
      </c>
    </row>
    <row r="40" spans="1:50" x14ac:dyDescent="0.2">
      <c r="A40" s="1" t="s">
        <v>106</v>
      </c>
      <c r="B40">
        <v>1965.29</v>
      </c>
      <c r="C40">
        <v>170</v>
      </c>
      <c r="D40">
        <v>119.58</v>
      </c>
      <c r="E40">
        <v>2930</v>
      </c>
      <c r="F40">
        <v>9095</v>
      </c>
      <c r="G40">
        <v>617.9</v>
      </c>
      <c r="H40">
        <v>27.62</v>
      </c>
      <c r="I40">
        <v>3921</v>
      </c>
      <c r="J40">
        <v>392.6</v>
      </c>
      <c r="K40">
        <v>317</v>
      </c>
      <c r="L40">
        <v>9373.8799999999992</v>
      </c>
      <c r="M40">
        <v>243.3</v>
      </c>
      <c r="N40">
        <v>109.42</v>
      </c>
      <c r="O40">
        <v>3.8250000000000002</v>
      </c>
      <c r="P40">
        <v>129.30000000000001</v>
      </c>
      <c r="Q40">
        <v>84.01</v>
      </c>
      <c r="R40">
        <v>847.3</v>
      </c>
      <c r="S40">
        <v>6.1863000000000001E-2</v>
      </c>
      <c r="T40">
        <v>66.3</v>
      </c>
      <c r="U40">
        <v>2384</v>
      </c>
      <c r="V40">
        <v>12.03</v>
      </c>
      <c r="W40">
        <v>34.369999999999997</v>
      </c>
      <c r="X40">
        <v>294.3</v>
      </c>
      <c r="Y40">
        <v>0.76739999999999997</v>
      </c>
      <c r="Z40">
        <v>0.16894999999999999</v>
      </c>
      <c r="AA40">
        <v>204.3</v>
      </c>
      <c r="AB40">
        <v>760</v>
      </c>
      <c r="AC40">
        <v>0.87400000000000011</v>
      </c>
      <c r="AD40">
        <v>2.431</v>
      </c>
      <c r="AE40">
        <v>361</v>
      </c>
      <c r="AF40">
        <v>405.2</v>
      </c>
      <c r="AG40">
        <v>79.14</v>
      </c>
      <c r="AH40">
        <v>144.1</v>
      </c>
      <c r="AI40">
        <v>7.51</v>
      </c>
      <c r="AJ40">
        <v>3306</v>
      </c>
      <c r="AK40">
        <v>2.6234999999999999</v>
      </c>
      <c r="AL40">
        <v>130.80000000000001</v>
      </c>
      <c r="AM40">
        <v>2260</v>
      </c>
      <c r="AN40">
        <v>16190</v>
      </c>
      <c r="AO40">
        <v>51.4</v>
      </c>
      <c r="AP40">
        <v>1250</v>
      </c>
      <c r="AQ40">
        <v>524</v>
      </c>
      <c r="AR40">
        <v>110.8</v>
      </c>
      <c r="AS40">
        <v>57.1</v>
      </c>
      <c r="AT40">
        <v>0.85699999999999998</v>
      </c>
      <c r="AU40">
        <v>52.1</v>
      </c>
      <c r="AV40">
        <v>75.400000000000006</v>
      </c>
      <c r="AW40">
        <v>0.495</v>
      </c>
      <c r="AX40">
        <v>606</v>
      </c>
    </row>
    <row r="41" spans="1:50" x14ac:dyDescent="0.2">
      <c r="A41" s="1" t="s">
        <v>107</v>
      </c>
      <c r="B41">
        <v>1953.49</v>
      </c>
      <c r="C41">
        <v>169.73</v>
      </c>
      <c r="D41">
        <v>119.45</v>
      </c>
      <c r="E41">
        <v>2903</v>
      </c>
      <c r="F41">
        <v>9099</v>
      </c>
      <c r="G41">
        <v>609</v>
      </c>
      <c r="H41">
        <v>27.07</v>
      </c>
      <c r="I41">
        <v>3954</v>
      </c>
      <c r="J41">
        <v>382.95</v>
      </c>
      <c r="K41">
        <v>316</v>
      </c>
      <c r="L41">
        <v>9267.5</v>
      </c>
      <c r="M41">
        <v>241.05</v>
      </c>
      <c r="N41">
        <v>109.21</v>
      </c>
      <c r="O41">
        <v>3.8374999999999999</v>
      </c>
      <c r="P41">
        <v>128.75</v>
      </c>
      <c r="Q41">
        <v>83.25</v>
      </c>
      <c r="R41">
        <v>845.3</v>
      </c>
      <c r="S41">
        <v>6.0819000000000012E-2</v>
      </c>
      <c r="T41">
        <v>66.2</v>
      </c>
      <c r="U41">
        <v>2377</v>
      </c>
      <c r="V41">
        <v>11.835000000000001</v>
      </c>
      <c r="W41">
        <v>35.35</v>
      </c>
      <c r="X41">
        <v>293</v>
      </c>
      <c r="Y41">
        <v>0.76649999999999996</v>
      </c>
      <c r="Z41">
        <v>0.17</v>
      </c>
      <c r="AA41">
        <v>205.45</v>
      </c>
      <c r="AB41">
        <v>753</v>
      </c>
      <c r="AC41">
        <v>0.88029999999999997</v>
      </c>
      <c r="AD41">
        <v>2.4119999999999999</v>
      </c>
      <c r="AE41">
        <v>360</v>
      </c>
      <c r="AF41">
        <v>406.2</v>
      </c>
      <c r="AG41">
        <v>79</v>
      </c>
      <c r="AH41">
        <v>145.69999999999999</v>
      </c>
      <c r="AI41">
        <v>7.39</v>
      </c>
      <c r="AJ41">
        <v>3305</v>
      </c>
      <c r="AK41">
        <v>2.6440000000000001</v>
      </c>
      <c r="AL41">
        <v>131.30000000000001</v>
      </c>
      <c r="AM41">
        <v>2220</v>
      </c>
      <c r="AN41">
        <v>16140</v>
      </c>
      <c r="AO41">
        <v>50.8</v>
      </c>
      <c r="AP41">
        <v>1250</v>
      </c>
      <c r="AQ41">
        <v>526</v>
      </c>
      <c r="AR41">
        <v>112.6</v>
      </c>
      <c r="AS41">
        <v>58.3</v>
      </c>
      <c r="AT41">
        <v>0.85299999999999998</v>
      </c>
      <c r="AU41">
        <v>53.35</v>
      </c>
      <c r="AV41">
        <v>74.92</v>
      </c>
      <c r="AW41">
        <v>0.495</v>
      </c>
      <c r="AX41">
        <v>598.5</v>
      </c>
    </row>
    <row r="42" spans="1:50" x14ac:dyDescent="0.2">
      <c r="A42" s="1" t="s">
        <v>108</v>
      </c>
      <c r="B42">
        <v>1970.37</v>
      </c>
      <c r="C42">
        <v>172.79</v>
      </c>
      <c r="D42">
        <v>119.5</v>
      </c>
      <c r="E42">
        <v>2917.5</v>
      </c>
      <c r="F42">
        <v>9270</v>
      </c>
      <c r="G42">
        <v>614.1</v>
      </c>
      <c r="H42">
        <v>27.2</v>
      </c>
      <c r="I42">
        <v>3956</v>
      </c>
      <c r="J42">
        <v>387</v>
      </c>
      <c r="K42">
        <v>316.25</v>
      </c>
      <c r="L42">
        <v>9347.0400000000009</v>
      </c>
      <c r="M42">
        <v>241.6</v>
      </c>
      <c r="N42">
        <v>110.75</v>
      </c>
      <c r="O42">
        <v>3.879</v>
      </c>
      <c r="P42">
        <v>133.49</v>
      </c>
      <c r="Q42">
        <v>82.05</v>
      </c>
      <c r="R42">
        <v>853.2</v>
      </c>
      <c r="S42">
        <v>6.2113000000000002E-2</v>
      </c>
      <c r="T42">
        <v>66.02</v>
      </c>
      <c r="U42">
        <v>2380</v>
      </c>
      <c r="V42">
        <v>11.6</v>
      </c>
      <c r="W42">
        <v>36</v>
      </c>
      <c r="X42">
        <v>290</v>
      </c>
      <c r="Y42">
        <v>0.76990000000000003</v>
      </c>
      <c r="Z42">
        <v>0.1701</v>
      </c>
      <c r="AA42">
        <v>205.4</v>
      </c>
      <c r="AB42">
        <v>770</v>
      </c>
      <c r="AC42">
        <v>0.87909999999999999</v>
      </c>
      <c r="AD42">
        <v>2.4550000000000001</v>
      </c>
      <c r="AE42">
        <v>360</v>
      </c>
      <c r="AF42">
        <v>405.4</v>
      </c>
      <c r="AG42">
        <v>78.95</v>
      </c>
      <c r="AH42">
        <v>150.5</v>
      </c>
      <c r="AI42">
        <v>7.32</v>
      </c>
      <c r="AJ42">
        <v>3311</v>
      </c>
      <c r="AK42">
        <v>2.65</v>
      </c>
      <c r="AL42">
        <v>131.19999999999999</v>
      </c>
      <c r="AM42">
        <v>2197</v>
      </c>
      <c r="AN42">
        <v>15940</v>
      </c>
      <c r="AO42">
        <v>51</v>
      </c>
      <c r="AP42">
        <v>1251</v>
      </c>
      <c r="AQ42">
        <v>530</v>
      </c>
      <c r="AR42">
        <v>113</v>
      </c>
      <c r="AS42">
        <v>57.5</v>
      </c>
      <c r="AT42">
        <v>0.85499999999999998</v>
      </c>
      <c r="AU42">
        <v>53.95</v>
      </c>
      <c r="AV42">
        <v>75.86</v>
      </c>
      <c r="AW42">
        <v>0.495</v>
      </c>
      <c r="AX42">
        <v>598.5</v>
      </c>
    </row>
    <row r="43" spans="1:50" x14ac:dyDescent="0.2">
      <c r="A43" s="1" t="s">
        <v>109</v>
      </c>
      <c r="B43">
        <v>1989.61</v>
      </c>
      <c r="C43">
        <v>175.75</v>
      </c>
      <c r="D43">
        <v>119.67</v>
      </c>
      <c r="E43">
        <v>2974</v>
      </c>
      <c r="F43">
        <v>9200</v>
      </c>
      <c r="G43">
        <v>624.70000000000005</v>
      </c>
      <c r="H43">
        <v>27.5</v>
      </c>
      <c r="I43">
        <v>3951</v>
      </c>
      <c r="J43">
        <v>401</v>
      </c>
      <c r="K43">
        <v>315</v>
      </c>
      <c r="L43">
        <v>9442.49</v>
      </c>
      <c r="M43">
        <v>243.55</v>
      </c>
      <c r="N43">
        <v>114.95</v>
      </c>
      <c r="O43">
        <v>3.8889999999999998</v>
      </c>
      <c r="P43">
        <v>133.38999999999999</v>
      </c>
      <c r="Q43">
        <v>82.39</v>
      </c>
      <c r="R43">
        <v>861.7</v>
      </c>
      <c r="S43">
        <v>6.2063E-2</v>
      </c>
      <c r="T43">
        <v>65.16</v>
      </c>
      <c r="U43">
        <v>2410</v>
      </c>
      <c r="V43">
        <v>11.4</v>
      </c>
      <c r="W43">
        <v>36.76</v>
      </c>
      <c r="X43">
        <v>292</v>
      </c>
      <c r="Y43">
        <v>0.77310000000000001</v>
      </c>
      <c r="Z43">
        <v>0.17399999999999999</v>
      </c>
      <c r="AA43">
        <v>210.05</v>
      </c>
      <c r="AB43">
        <v>781</v>
      </c>
      <c r="AC43">
        <v>0.9103</v>
      </c>
      <c r="AD43">
        <v>2.34</v>
      </c>
      <c r="AE43">
        <v>359</v>
      </c>
      <c r="AF43">
        <v>405.3</v>
      </c>
      <c r="AG43">
        <v>77.099999999999994</v>
      </c>
      <c r="AH43">
        <v>154.6</v>
      </c>
      <c r="AI43">
        <v>7.39</v>
      </c>
      <c r="AJ43">
        <v>3312</v>
      </c>
      <c r="AK43">
        <v>2.6190000000000002</v>
      </c>
      <c r="AL43">
        <v>131.6</v>
      </c>
      <c r="AM43">
        <v>2155</v>
      </c>
      <c r="AN43">
        <v>16050</v>
      </c>
      <c r="AO43">
        <v>50</v>
      </c>
      <c r="AP43">
        <v>1253</v>
      </c>
      <c r="AQ43">
        <v>537</v>
      </c>
      <c r="AR43">
        <v>114.4</v>
      </c>
      <c r="AS43">
        <v>56</v>
      </c>
      <c r="AT43">
        <v>0.8590000000000001</v>
      </c>
      <c r="AU43">
        <v>54.05</v>
      </c>
      <c r="AV43">
        <v>78.400000000000006</v>
      </c>
      <c r="AW43">
        <v>0.48670000000000002</v>
      </c>
      <c r="AX43">
        <v>610</v>
      </c>
    </row>
    <row r="44" spans="1:50" x14ac:dyDescent="0.2">
      <c r="A44" s="1" t="s">
        <v>110</v>
      </c>
      <c r="B44">
        <v>1975.91</v>
      </c>
      <c r="C44">
        <v>173.4</v>
      </c>
      <c r="D44">
        <v>118.68</v>
      </c>
      <c r="E44">
        <v>2939</v>
      </c>
      <c r="F44">
        <v>9269</v>
      </c>
      <c r="G44">
        <v>615</v>
      </c>
      <c r="H44">
        <v>27.16</v>
      </c>
      <c r="I44">
        <v>4029</v>
      </c>
      <c r="J44">
        <v>389.9</v>
      </c>
      <c r="K44">
        <v>309.25</v>
      </c>
      <c r="L44">
        <v>9353</v>
      </c>
      <c r="M44">
        <v>242</v>
      </c>
      <c r="N44">
        <v>115</v>
      </c>
      <c r="O44">
        <v>3.7915000000000001</v>
      </c>
      <c r="P44">
        <v>134.6</v>
      </c>
      <c r="Q44">
        <v>83.32</v>
      </c>
      <c r="R44">
        <v>857.6</v>
      </c>
      <c r="S44">
        <v>6.1988000000000001E-2</v>
      </c>
      <c r="T44">
        <v>64.95</v>
      </c>
      <c r="U44">
        <v>2420</v>
      </c>
      <c r="V44">
        <v>11.48</v>
      </c>
      <c r="W44">
        <v>37.06</v>
      </c>
      <c r="X44">
        <v>290.60000000000002</v>
      </c>
      <c r="Y44">
        <v>0.80120000000000002</v>
      </c>
      <c r="Z44">
        <v>0.17194999999999999</v>
      </c>
      <c r="AA44">
        <v>208.9</v>
      </c>
      <c r="AB44">
        <v>780</v>
      </c>
      <c r="AC44">
        <v>0.89300000000000002</v>
      </c>
      <c r="AD44">
        <v>2.27</v>
      </c>
      <c r="AE44">
        <v>355</v>
      </c>
      <c r="AF44">
        <v>405</v>
      </c>
      <c r="AG44">
        <v>77.48</v>
      </c>
      <c r="AH44">
        <v>155.69999999999999</v>
      </c>
      <c r="AI44">
        <v>7.2350000000000003</v>
      </c>
      <c r="AJ44">
        <v>3296</v>
      </c>
      <c r="AK44">
        <v>2.71</v>
      </c>
      <c r="AL44">
        <v>130.85</v>
      </c>
      <c r="AM44">
        <v>2140</v>
      </c>
      <c r="AN44">
        <v>15960</v>
      </c>
      <c r="AO44">
        <v>50.9</v>
      </c>
      <c r="AP44">
        <v>1248</v>
      </c>
      <c r="AQ44">
        <v>532</v>
      </c>
      <c r="AR44">
        <v>114.5</v>
      </c>
      <c r="AS44">
        <v>56.65</v>
      </c>
      <c r="AT44">
        <v>0.85400000000000009</v>
      </c>
      <c r="AU44">
        <v>52.5</v>
      </c>
      <c r="AV44">
        <v>78.12</v>
      </c>
      <c r="AW44">
        <v>0.4945</v>
      </c>
      <c r="AX44">
        <v>610</v>
      </c>
    </row>
    <row r="45" spans="1:50" x14ac:dyDescent="0.2">
      <c r="A45" s="1" t="s">
        <v>111</v>
      </c>
      <c r="B45">
        <v>1960.23</v>
      </c>
      <c r="C45">
        <v>172.2</v>
      </c>
      <c r="D45">
        <v>118.05</v>
      </c>
      <c r="E45">
        <v>2901.5</v>
      </c>
      <c r="F45">
        <v>9180</v>
      </c>
      <c r="G45">
        <v>614</v>
      </c>
      <c r="H45">
        <v>27.05</v>
      </c>
      <c r="I45">
        <v>4203</v>
      </c>
      <c r="J45">
        <v>388.15</v>
      </c>
      <c r="K45">
        <v>305</v>
      </c>
      <c r="L45">
        <v>9279.43</v>
      </c>
      <c r="M45">
        <v>240.6</v>
      </c>
      <c r="N45">
        <v>112.51</v>
      </c>
      <c r="O45">
        <v>3.7605</v>
      </c>
      <c r="P45">
        <v>133.72</v>
      </c>
      <c r="Q45">
        <v>81.86</v>
      </c>
      <c r="R45">
        <v>850.2</v>
      </c>
      <c r="S45">
        <v>6.0680999999999992E-2</v>
      </c>
      <c r="T45">
        <v>64.92</v>
      </c>
      <c r="U45">
        <v>2422</v>
      </c>
      <c r="V45">
        <v>11.4</v>
      </c>
      <c r="W45">
        <v>36.115000000000002</v>
      </c>
      <c r="X45">
        <v>290</v>
      </c>
      <c r="Y45">
        <v>0.79549999999999998</v>
      </c>
      <c r="Z45">
        <v>0.16844999999999999</v>
      </c>
      <c r="AA45">
        <v>205.85</v>
      </c>
      <c r="AB45">
        <v>770.5</v>
      </c>
      <c r="AC45">
        <v>0.871</v>
      </c>
      <c r="AD45">
        <v>2.29</v>
      </c>
      <c r="AE45">
        <v>353.5</v>
      </c>
      <c r="AF45">
        <v>406</v>
      </c>
      <c r="AG45">
        <v>78.459999999999994</v>
      </c>
      <c r="AH45">
        <v>150.30000000000001</v>
      </c>
      <c r="AI45">
        <v>7.31</v>
      </c>
      <c r="AJ45">
        <v>3281</v>
      </c>
      <c r="AK45">
        <v>2.7254999999999998</v>
      </c>
      <c r="AL45">
        <v>131.1</v>
      </c>
      <c r="AM45">
        <v>2128</v>
      </c>
      <c r="AN45">
        <v>15720</v>
      </c>
      <c r="AO45">
        <v>51.3</v>
      </c>
      <c r="AP45">
        <v>1267</v>
      </c>
      <c r="AQ45">
        <v>527</v>
      </c>
      <c r="AR45">
        <v>114.5</v>
      </c>
      <c r="AS45">
        <v>55.95</v>
      </c>
      <c r="AT45">
        <v>0.85199999999999998</v>
      </c>
      <c r="AU45">
        <v>53.85</v>
      </c>
      <c r="AV45">
        <v>79.42</v>
      </c>
      <c r="AW45">
        <v>0.48370000000000002</v>
      </c>
      <c r="AX45">
        <v>588</v>
      </c>
    </row>
    <row r="46" spans="1:50" x14ac:dyDescent="0.2">
      <c r="A46" s="1" t="s">
        <v>112</v>
      </c>
      <c r="B46">
        <v>1944.83</v>
      </c>
      <c r="C46">
        <v>172.05</v>
      </c>
      <c r="D46">
        <v>116.93</v>
      </c>
      <c r="E46">
        <v>2860</v>
      </c>
      <c r="F46">
        <v>9000</v>
      </c>
      <c r="G46">
        <v>613.5</v>
      </c>
      <c r="H46">
        <v>26.324999999999999</v>
      </c>
      <c r="I46">
        <v>4300</v>
      </c>
      <c r="J46">
        <v>379.45</v>
      </c>
      <c r="K46">
        <v>303.95</v>
      </c>
      <c r="L46">
        <v>9304.2900000000009</v>
      </c>
      <c r="M46">
        <v>241.3</v>
      </c>
      <c r="N46">
        <v>111.92</v>
      </c>
      <c r="O46">
        <v>3.7959999999999998</v>
      </c>
      <c r="P46">
        <v>133.30000000000001</v>
      </c>
      <c r="Q46">
        <v>80.2</v>
      </c>
      <c r="R46">
        <v>828</v>
      </c>
      <c r="S46">
        <v>0.06</v>
      </c>
      <c r="T46">
        <v>63.93</v>
      </c>
      <c r="U46">
        <v>2424</v>
      </c>
      <c r="V46">
        <v>11.56</v>
      </c>
      <c r="W46">
        <v>36.145000000000003</v>
      </c>
      <c r="X46">
        <v>293.5</v>
      </c>
      <c r="Y46">
        <v>0.81499999999999995</v>
      </c>
      <c r="Z46">
        <v>0.16980000000000001</v>
      </c>
      <c r="AA46">
        <v>202.9</v>
      </c>
      <c r="AB46">
        <v>777.5</v>
      </c>
      <c r="AC46">
        <v>0.89</v>
      </c>
      <c r="AD46">
        <v>2.2999999999999998</v>
      </c>
      <c r="AE46">
        <v>353</v>
      </c>
      <c r="AF46">
        <v>405.1</v>
      </c>
      <c r="AG46">
        <v>76.87</v>
      </c>
      <c r="AH46">
        <v>146.80000000000001</v>
      </c>
      <c r="AI46">
        <v>7.3</v>
      </c>
      <c r="AJ46">
        <v>3271</v>
      </c>
      <c r="AK46">
        <v>2.6985000000000001</v>
      </c>
      <c r="AL46">
        <v>131.5</v>
      </c>
      <c r="AM46">
        <v>2112</v>
      </c>
      <c r="AN46">
        <v>15650</v>
      </c>
      <c r="AO46">
        <v>50.8</v>
      </c>
      <c r="AP46">
        <v>1254</v>
      </c>
      <c r="AQ46">
        <v>526</v>
      </c>
      <c r="AR46">
        <v>113.9</v>
      </c>
      <c r="AS46">
        <v>56.15</v>
      </c>
      <c r="AT46">
        <v>0.84699999999999998</v>
      </c>
      <c r="AU46">
        <v>52.8</v>
      </c>
      <c r="AV46">
        <v>78.87</v>
      </c>
      <c r="AW46">
        <v>0.47520000000000001</v>
      </c>
      <c r="AX46">
        <v>600</v>
      </c>
    </row>
    <row r="47" spans="1:50" x14ac:dyDescent="0.2">
      <c r="A47" s="1" t="s">
        <v>113</v>
      </c>
      <c r="B47">
        <v>1951.75</v>
      </c>
      <c r="C47">
        <v>172.51</v>
      </c>
      <c r="D47">
        <v>117.4</v>
      </c>
      <c r="E47">
        <v>2883.5</v>
      </c>
      <c r="F47">
        <v>9050</v>
      </c>
      <c r="G47">
        <v>604.5</v>
      </c>
      <c r="H47">
        <v>26.215</v>
      </c>
      <c r="I47">
        <v>4310</v>
      </c>
      <c r="J47">
        <v>377</v>
      </c>
      <c r="K47">
        <v>305</v>
      </c>
      <c r="L47">
        <v>9316.2199999999993</v>
      </c>
      <c r="M47">
        <v>243.85</v>
      </c>
      <c r="N47">
        <v>114.25</v>
      </c>
      <c r="O47">
        <v>3.86</v>
      </c>
      <c r="P47">
        <v>131.69999999999999</v>
      </c>
      <c r="Q47">
        <v>80.569999999999993</v>
      </c>
      <c r="R47">
        <v>838.8</v>
      </c>
      <c r="S47">
        <v>6.0499999999999998E-2</v>
      </c>
      <c r="T47">
        <v>64.25</v>
      </c>
      <c r="U47">
        <v>2429</v>
      </c>
      <c r="V47">
        <v>11.82</v>
      </c>
      <c r="W47">
        <v>36.56</v>
      </c>
      <c r="X47">
        <v>294.8</v>
      </c>
      <c r="Y47">
        <v>0.83389999999999997</v>
      </c>
      <c r="Z47">
        <v>0.1694</v>
      </c>
      <c r="AA47">
        <v>205.25</v>
      </c>
      <c r="AB47">
        <v>788.5</v>
      </c>
      <c r="AC47">
        <v>0.90349999999999997</v>
      </c>
      <c r="AD47">
        <v>2.3260000000000001</v>
      </c>
      <c r="AE47">
        <v>355.5</v>
      </c>
      <c r="AF47">
        <v>406.8</v>
      </c>
      <c r="AG47">
        <v>77.680000000000007</v>
      </c>
      <c r="AH47">
        <v>148.94999999999999</v>
      </c>
      <c r="AI47">
        <v>7.2850000000000001</v>
      </c>
      <c r="AJ47">
        <v>3306</v>
      </c>
      <c r="AK47">
        <v>2.7519999999999998</v>
      </c>
      <c r="AL47">
        <v>132.80000000000001</v>
      </c>
      <c r="AM47">
        <v>2150</v>
      </c>
      <c r="AN47">
        <v>15750</v>
      </c>
      <c r="AO47">
        <v>51.5</v>
      </c>
      <c r="AP47">
        <v>1259</v>
      </c>
      <c r="AQ47">
        <v>523</v>
      </c>
      <c r="AR47">
        <v>120.2</v>
      </c>
      <c r="AS47">
        <v>56.5</v>
      </c>
      <c r="AT47">
        <v>0.86099999999999999</v>
      </c>
      <c r="AU47">
        <v>52.3</v>
      </c>
      <c r="AV47">
        <v>79.680000000000007</v>
      </c>
      <c r="AW47">
        <v>0.47989999999999999</v>
      </c>
      <c r="AX47">
        <v>591.5</v>
      </c>
    </row>
    <row r="48" spans="1:50" x14ac:dyDescent="0.2">
      <c r="A48" s="1" t="s">
        <v>114</v>
      </c>
      <c r="B48">
        <v>1950.28</v>
      </c>
      <c r="C48">
        <v>172.33</v>
      </c>
      <c r="D48">
        <v>117.59</v>
      </c>
      <c r="E48">
        <v>2874</v>
      </c>
      <c r="F48">
        <v>8919</v>
      </c>
      <c r="G48">
        <v>603.9</v>
      </c>
      <c r="H48">
        <v>26.535</v>
      </c>
      <c r="I48">
        <v>4312</v>
      </c>
      <c r="J48">
        <v>377.35</v>
      </c>
      <c r="K48">
        <v>304.89999999999998</v>
      </c>
      <c r="L48">
        <v>9306.27</v>
      </c>
      <c r="M48">
        <v>243.8</v>
      </c>
      <c r="N48">
        <v>114.56</v>
      </c>
      <c r="O48">
        <v>3.8485</v>
      </c>
      <c r="P48">
        <v>129.91999999999999</v>
      </c>
      <c r="Q48">
        <v>80.349999999999994</v>
      </c>
      <c r="R48">
        <v>840.3</v>
      </c>
      <c r="S48">
        <v>6.1018999999999997E-2</v>
      </c>
      <c r="T48">
        <v>64.8</v>
      </c>
      <c r="U48">
        <v>2417</v>
      </c>
      <c r="V48">
        <v>11.77</v>
      </c>
      <c r="W48">
        <v>36.14</v>
      </c>
      <c r="X48">
        <v>293.89999999999998</v>
      </c>
      <c r="Y48">
        <v>0.83220000000000005</v>
      </c>
      <c r="Z48">
        <v>0.1716</v>
      </c>
      <c r="AA48">
        <v>206.85</v>
      </c>
      <c r="AB48">
        <v>790</v>
      </c>
      <c r="AC48">
        <v>0.92859999999999998</v>
      </c>
      <c r="AD48">
        <v>2.3130000000000002</v>
      </c>
      <c r="AE48">
        <v>353</v>
      </c>
      <c r="AF48">
        <v>407.9</v>
      </c>
      <c r="AG48">
        <v>77.31</v>
      </c>
      <c r="AH48">
        <v>152.19999999999999</v>
      </c>
      <c r="AI48">
        <v>7.19</v>
      </c>
      <c r="AJ48">
        <v>3330</v>
      </c>
      <c r="AK48">
        <v>2.758</v>
      </c>
      <c r="AL48">
        <v>135.85</v>
      </c>
      <c r="AM48">
        <v>2121</v>
      </c>
      <c r="AN48">
        <v>15800</v>
      </c>
      <c r="AO48">
        <v>51.1</v>
      </c>
      <c r="AP48">
        <v>1265</v>
      </c>
      <c r="AQ48">
        <v>523</v>
      </c>
      <c r="AR48">
        <v>132.9</v>
      </c>
      <c r="AS48">
        <v>56</v>
      </c>
      <c r="AT48">
        <v>0.877</v>
      </c>
      <c r="AU48">
        <v>52.3</v>
      </c>
      <c r="AV48">
        <v>79.72</v>
      </c>
      <c r="AW48">
        <v>0.48699999999999999</v>
      </c>
      <c r="AX48">
        <v>582.5</v>
      </c>
    </row>
    <row r="49" spans="1:50" x14ac:dyDescent="0.2">
      <c r="A49" s="1" t="s">
        <v>115</v>
      </c>
      <c r="B49">
        <v>1942.88</v>
      </c>
      <c r="C49">
        <v>173.05</v>
      </c>
      <c r="D49">
        <v>116.75</v>
      </c>
      <c r="E49">
        <v>2846.5</v>
      </c>
      <c r="F49">
        <v>8725</v>
      </c>
      <c r="G49">
        <v>599</v>
      </c>
      <c r="H49">
        <v>26.315000000000001</v>
      </c>
      <c r="I49">
        <v>4310</v>
      </c>
      <c r="J49">
        <v>379.25</v>
      </c>
      <c r="K49">
        <v>302.05</v>
      </c>
      <c r="L49">
        <v>9415.64</v>
      </c>
      <c r="M49">
        <v>243.8</v>
      </c>
      <c r="N49">
        <v>114</v>
      </c>
      <c r="O49">
        <v>3.8614999999999999</v>
      </c>
      <c r="P49">
        <v>131.47</v>
      </c>
      <c r="Q49">
        <v>79.510000000000005</v>
      </c>
      <c r="R49">
        <v>844.4</v>
      </c>
      <c r="S49">
        <v>6.0369000000000013E-2</v>
      </c>
      <c r="T49">
        <v>65.28</v>
      </c>
      <c r="U49">
        <v>2397</v>
      </c>
      <c r="V49">
        <v>11.705</v>
      </c>
      <c r="W49">
        <v>36.770000000000003</v>
      </c>
      <c r="X49">
        <v>292.2</v>
      </c>
      <c r="Y49">
        <v>0.82509999999999994</v>
      </c>
      <c r="Z49">
        <v>0.17280000000000001</v>
      </c>
      <c r="AA49">
        <v>209.7</v>
      </c>
      <c r="AB49">
        <v>790.5</v>
      </c>
      <c r="AC49">
        <v>0.92120000000000002</v>
      </c>
      <c r="AD49">
        <v>2.2949999999999999</v>
      </c>
      <c r="AE49">
        <v>356</v>
      </c>
      <c r="AF49">
        <v>405.5</v>
      </c>
      <c r="AG49">
        <v>76.09</v>
      </c>
      <c r="AH49">
        <v>151.1</v>
      </c>
      <c r="AI49">
        <v>7.0549999999999997</v>
      </c>
      <c r="AJ49">
        <v>3329</v>
      </c>
      <c r="AK49">
        <v>2.7404999999999999</v>
      </c>
      <c r="AL49">
        <v>135.30000000000001</v>
      </c>
      <c r="AM49">
        <v>2116</v>
      </c>
      <c r="AN49">
        <v>15760</v>
      </c>
      <c r="AO49">
        <v>51.1</v>
      </c>
      <c r="AP49">
        <v>1285</v>
      </c>
      <c r="AQ49">
        <v>525</v>
      </c>
      <c r="AR49">
        <v>127.9</v>
      </c>
      <c r="AS49">
        <v>56.25</v>
      </c>
      <c r="AT49">
        <v>0.872</v>
      </c>
      <c r="AU49">
        <v>53.2</v>
      </c>
      <c r="AV49">
        <v>79.760000000000005</v>
      </c>
      <c r="AW49">
        <v>0.49790000000000001</v>
      </c>
      <c r="AX49">
        <v>586</v>
      </c>
    </row>
    <row r="50" spans="1:50" x14ac:dyDescent="0.2">
      <c r="A50" s="1" t="s">
        <v>116</v>
      </c>
      <c r="B50">
        <v>1941.52</v>
      </c>
      <c r="C50">
        <v>172.72</v>
      </c>
      <c r="D50">
        <v>116.22</v>
      </c>
      <c r="E50">
        <v>2841</v>
      </c>
      <c r="F50">
        <v>8768</v>
      </c>
      <c r="G50">
        <v>595.6</v>
      </c>
      <c r="H50">
        <v>26.59</v>
      </c>
      <c r="I50">
        <v>4343</v>
      </c>
      <c r="J50">
        <v>381.5</v>
      </c>
      <c r="K50">
        <v>301.75</v>
      </c>
      <c r="L50">
        <v>9392.77</v>
      </c>
      <c r="M50">
        <v>243.25</v>
      </c>
      <c r="N50">
        <v>111.7</v>
      </c>
      <c r="O50">
        <v>3.8290000000000002</v>
      </c>
      <c r="P50">
        <v>128.81</v>
      </c>
      <c r="Q50">
        <v>80.2</v>
      </c>
      <c r="R50">
        <v>852.5</v>
      </c>
      <c r="S50">
        <v>0.06</v>
      </c>
      <c r="T50">
        <v>65.599999999999994</v>
      </c>
      <c r="U50">
        <v>2395</v>
      </c>
      <c r="V50">
        <v>11.53</v>
      </c>
      <c r="W50">
        <v>36.729999999999997</v>
      </c>
      <c r="X50">
        <v>294.60000000000002</v>
      </c>
      <c r="Y50">
        <v>0.83709999999999996</v>
      </c>
      <c r="Z50">
        <v>0.17144999999999999</v>
      </c>
      <c r="AA50">
        <v>210.95</v>
      </c>
      <c r="AB50">
        <v>807</v>
      </c>
      <c r="AC50">
        <v>0.92320000000000002</v>
      </c>
      <c r="AD50">
        <v>2.2770000000000001</v>
      </c>
      <c r="AE50">
        <v>360.5</v>
      </c>
      <c r="AF50">
        <v>405.1</v>
      </c>
      <c r="AG50">
        <v>77.14</v>
      </c>
      <c r="AH50">
        <v>151.05000000000001</v>
      </c>
      <c r="AI50">
        <v>7.19</v>
      </c>
      <c r="AJ50">
        <v>3514</v>
      </c>
      <c r="AK50">
        <v>2.7509999999999999</v>
      </c>
      <c r="AL50">
        <v>136.85</v>
      </c>
      <c r="AM50">
        <v>2216</v>
      </c>
      <c r="AN50">
        <v>15650</v>
      </c>
      <c r="AO50">
        <v>51.7</v>
      </c>
      <c r="AP50">
        <v>1278</v>
      </c>
      <c r="AQ50">
        <v>527</v>
      </c>
      <c r="AR50">
        <v>128.5</v>
      </c>
      <c r="AS50">
        <v>56.25</v>
      </c>
      <c r="AT50">
        <v>0.89</v>
      </c>
      <c r="AU50">
        <v>54.1</v>
      </c>
      <c r="AV50">
        <v>79.22</v>
      </c>
      <c r="AW50">
        <v>0.501</v>
      </c>
      <c r="AX50">
        <v>582.5</v>
      </c>
    </row>
    <row r="51" spans="1:50" x14ac:dyDescent="0.2">
      <c r="A51" s="1" t="s">
        <v>117</v>
      </c>
      <c r="B51">
        <v>1930.71</v>
      </c>
      <c r="C51">
        <v>169.5</v>
      </c>
      <c r="D51">
        <v>116</v>
      </c>
      <c r="E51">
        <v>2829</v>
      </c>
      <c r="F51">
        <v>8899</v>
      </c>
      <c r="G51">
        <v>596.70000000000005</v>
      </c>
      <c r="H51">
        <v>26.39</v>
      </c>
      <c r="I51">
        <v>4330</v>
      </c>
      <c r="J51">
        <v>380.95</v>
      </c>
      <c r="K51">
        <v>300.05</v>
      </c>
      <c r="L51">
        <v>9281.42</v>
      </c>
      <c r="M51">
        <v>244</v>
      </c>
      <c r="N51">
        <v>109.4</v>
      </c>
      <c r="O51">
        <v>3.8450000000000002</v>
      </c>
      <c r="P51">
        <v>127.49</v>
      </c>
      <c r="Q51">
        <v>79.819999999999993</v>
      </c>
      <c r="R51">
        <v>850</v>
      </c>
      <c r="S51">
        <v>5.9450000000000003E-2</v>
      </c>
      <c r="T51">
        <v>65.94</v>
      </c>
      <c r="U51">
        <v>2403</v>
      </c>
      <c r="V51">
        <v>11.55</v>
      </c>
      <c r="W51">
        <v>36.795000000000002</v>
      </c>
      <c r="X51">
        <v>294.89999999999998</v>
      </c>
      <c r="Y51">
        <v>0.82240000000000002</v>
      </c>
      <c r="Z51">
        <v>0.16905000000000001</v>
      </c>
      <c r="AA51">
        <v>212.65</v>
      </c>
      <c r="AB51">
        <v>816</v>
      </c>
      <c r="AC51">
        <v>0.9294</v>
      </c>
      <c r="AD51">
        <v>2.2639999999999998</v>
      </c>
      <c r="AE51">
        <v>354.5</v>
      </c>
      <c r="AF51">
        <v>405.3</v>
      </c>
      <c r="AG51">
        <v>71.989999999999995</v>
      </c>
      <c r="AH51">
        <v>151</v>
      </c>
      <c r="AI51">
        <v>7.17</v>
      </c>
      <c r="AJ51">
        <v>3561</v>
      </c>
      <c r="AK51">
        <v>2.8094999999999999</v>
      </c>
      <c r="AL51">
        <v>138.6</v>
      </c>
      <c r="AM51">
        <v>2175</v>
      </c>
      <c r="AN51">
        <v>15680</v>
      </c>
      <c r="AO51">
        <v>51.1</v>
      </c>
      <c r="AP51">
        <v>1269</v>
      </c>
      <c r="AQ51">
        <v>526</v>
      </c>
      <c r="AR51">
        <v>128.9</v>
      </c>
      <c r="AS51">
        <v>56.05</v>
      </c>
      <c r="AT51">
        <v>0.88</v>
      </c>
      <c r="AU51">
        <v>53.05</v>
      </c>
      <c r="AV51">
        <v>78.75</v>
      </c>
      <c r="AW51">
        <v>0.50009999999999999</v>
      </c>
      <c r="AX51">
        <v>582.5</v>
      </c>
    </row>
    <row r="52" spans="1:50" x14ac:dyDescent="0.2">
      <c r="A52" s="1" t="s">
        <v>118</v>
      </c>
      <c r="B52">
        <v>1937.66</v>
      </c>
      <c r="C52">
        <v>169.9</v>
      </c>
      <c r="D52">
        <v>115.92</v>
      </c>
      <c r="E52">
        <v>2854.5</v>
      </c>
      <c r="F52">
        <v>9005</v>
      </c>
      <c r="G52">
        <v>605.20000000000005</v>
      </c>
      <c r="H52">
        <v>26.34</v>
      </c>
      <c r="I52">
        <v>4300</v>
      </c>
      <c r="J52">
        <v>375.5</v>
      </c>
      <c r="K52">
        <v>301.10000000000002</v>
      </c>
      <c r="L52">
        <v>9437.52</v>
      </c>
      <c r="M52">
        <v>244.95</v>
      </c>
      <c r="N52">
        <v>108.09</v>
      </c>
      <c r="O52">
        <v>3.8485</v>
      </c>
      <c r="P52">
        <v>126.5</v>
      </c>
      <c r="Q52">
        <v>78.3</v>
      </c>
      <c r="R52">
        <v>857.6</v>
      </c>
      <c r="S52">
        <v>5.9249999999999997E-2</v>
      </c>
      <c r="T52">
        <v>65.819999999999993</v>
      </c>
      <c r="U52">
        <v>2440</v>
      </c>
      <c r="V52">
        <v>11.69</v>
      </c>
      <c r="W52">
        <v>37.43</v>
      </c>
      <c r="X52">
        <v>295.5</v>
      </c>
      <c r="Y52">
        <v>0.82809999999999995</v>
      </c>
      <c r="Z52">
        <v>0.1706</v>
      </c>
      <c r="AA52">
        <v>213.05</v>
      </c>
      <c r="AB52">
        <v>812</v>
      </c>
      <c r="AC52">
        <v>0.95799999999999996</v>
      </c>
      <c r="AD52">
        <v>2.2679999999999998</v>
      </c>
      <c r="AE52">
        <v>354</v>
      </c>
      <c r="AF52">
        <v>405.1</v>
      </c>
      <c r="AG52">
        <v>70.040000000000006</v>
      </c>
      <c r="AH52">
        <v>152.5</v>
      </c>
      <c r="AI52">
        <v>7.13</v>
      </c>
      <c r="AJ52">
        <v>3530</v>
      </c>
      <c r="AK52">
        <v>2.9079999999999999</v>
      </c>
      <c r="AL52">
        <v>143.44999999999999</v>
      </c>
      <c r="AM52">
        <v>2207</v>
      </c>
      <c r="AN52">
        <v>15680</v>
      </c>
      <c r="AO52">
        <v>51</v>
      </c>
      <c r="AP52">
        <v>1254</v>
      </c>
      <c r="AQ52">
        <v>527</v>
      </c>
      <c r="AR52">
        <v>129.1</v>
      </c>
      <c r="AS52">
        <v>56.1</v>
      </c>
      <c r="AT52">
        <v>0.88700000000000001</v>
      </c>
      <c r="AU52">
        <v>53.45</v>
      </c>
      <c r="AV52">
        <v>79.3</v>
      </c>
      <c r="AW52">
        <v>0.51490000000000002</v>
      </c>
      <c r="AX52">
        <v>578</v>
      </c>
    </row>
    <row r="53" spans="1:50" x14ac:dyDescent="0.2">
      <c r="A53" s="1" t="s">
        <v>119</v>
      </c>
      <c r="B53">
        <v>1947.4</v>
      </c>
      <c r="C53">
        <v>171</v>
      </c>
      <c r="D53">
        <v>116</v>
      </c>
      <c r="E53">
        <v>2897</v>
      </c>
      <c r="F53">
        <v>9071</v>
      </c>
      <c r="G53">
        <v>612.1</v>
      </c>
      <c r="H53">
        <v>26.48</v>
      </c>
      <c r="I53">
        <v>4310</v>
      </c>
      <c r="J53">
        <v>381.25</v>
      </c>
      <c r="K53">
        <v>300.95</v>
      </c>
      <c r="L53">
        <v>9501.15</v>
      </c>
      <c r="M53">
        <v>245.25</v>
      </c>
      <c r="N53">
        <v>107.2</v>
      </c>
      <c r="O53">
        <v>3.83</v>
      </c>
      <c r="P53">
        <v>126.2</v>
      </c>
      <c r="Q53">
        <v>76.75</v>
      </c>
      <c r="R53">
        <v>865.2</v>
      </c>
      <c r="S53">
        <v>5.9400000000000001E-2</v>
      </c>
      <c r="T53">
        <v>65.55</v>
      </c>
      <c r="U53">
        <v>2419</v>
      </c>
      <c r="V53">
        <v>11.574999999999999</v>
      </c>
      <c r="W53">
        <v>37.555</v>
      </c>
      <c r="X53">
        <v>296.5</v>
      </c>
      <c r="Y53">
        <v>0.83730000000000004</v>
      </c>
      <c r="Z53">
        <v>0.17019999999999999</v>
      </c>
      <c r="AA53">
        <v>213</v>
      </c>
      <c r="AB53">
        <v>806.5</v>
      </c>
      <c r="AC53">
        <v>0.97989999999999999</v>
      </c>
      <c r="AD53">
        <v>2.2799999999999998</v>
      </c>
      <c r="AE53">
        <v>354</v>
      </c>
      <c r="AF53">
        <v>407.9</v>
      </c>
      <c r="AG53">
        <v>70.22</v>
      </c>
      <c r="AH53">
        <v>164</v>
      </c>
      <c r="AI53">
        <v>7.1749999999999998</v>
      </c>
      <c r="AJ53">
        <v>3514</v>
      </c>
      <c r="AK53">
        <v>2.8704999999999998</v>
      </c>
      <c r="AL53">
        <v>145.5</v>
      </c>
      <c r="AM53">
        <v>2198</v>
      </c>
      <c r="AN53">
        <v>15630</v>
      </c>
      <c r="AO53">
        <v>50.6</v>
      </c>
      <c r="AP53">
        <v>1270</v>
      </c>
      <c r="AQ53">
        <v>524</v>
      </c>
      <c r="AR53">
        <v>129.4</v>
      </c>
      <c r="AS53">
        <v>56</v>
      </c>
      <c r="AT53">
        <v>0.89300000000000002</v>
      </c>
      <c r="AU53">
        <v>53</v>
      </c>
      <c r="AV53">
        <v>82.27</v>
      </c>
      <c r="AW53">
        <v>0.53449999999999998</v>
      </c>
      <c r="AX53">
        <v>581</v>
      </c>
    </row>
    <row r="54" spans="1:50" x14ac:dyDescent="0.2">
      <c r="A54" s="1" t="s">
        <v>120</v>
      </c>
      <c r="B54">
        <v>1958.52</v>
      </c>
      <c r="C54">
        <v>175.3</v>
      </c>
      <c r="D54">
        <v>115.75</v>
      </c>
      <c r="E54">
        <v>2893.5</v>
      </c>
      <c r="F54">
        <v>9130</v>
      </c>
      <c r="G54">
        <v>602.1</v>
      </c>
      <c r="H54">
        <v>26.74</v>
      </c>
      <c r="I54">
        <v>4320</v>
      </c>
      <c r="J54">
        <v>382.15</v>
      </c>
      <c r="K54">
        <v>303.2</v>
      </c>
      <c r="L54">
        <v>9688.07</v>
      </c>
      <c r="M54">
        <v>247.55</v>
      </c>
      <c r="N54">
        <v>107.65</v>
      </c>
      <c r="O54">
        <v>3.8439999999999999</v>
      </c>
      <c r="P54">
        <v>128.80000000000001</v>
      </c>
      <c r="Q54">
        <v>78</v>
      </c>
      <c r="R54">
        <v>860.2</v>
      </c>
      <c r="S54">
        <v>6.0480999999999993E-2</v>
      </c>
      <c r="T54">
        <v>65.44</v>
      </c>
      <c r="U54">
        <v>2430</v>
      </c>
      <c r="V54">
        <v>11.2</v>
      </c>
      <c r="W54">
        <v>37.844999999999999</v>
      </c>
      <c r="X54">
        <v>296.3</v>
      </c>
      <c r="Y54">
        <v>0.82499999999999996</v>
      </c>
      <c r="Z54">
        <v>0.17019999999999999</v>
      </c>
      <c r="AA54">
        <v>209.3</v>
      </c>
      <c r="AB54">
        <v>798</v>
      </c>
      <c r="AC54">
        <v>0.95930000000000004</v>
      </c>
      <c r="AD54">
        <v>2.29</v>
      </c>
      <c r="AE54">
        <v>348.5</v>
      </c>
      <c r="AF54">
        <v>406</v>
      </c>
      <c r="AG54">
        <v>71.19</v>
      </c>
      <c r="AH54">
        <v>166</v>
      </c>
      <c r="AI54">
        <v>7.19</v>
      </c>
      <c r="AJ54">
        <v>3497</v>
      </c>
      <c r="AK54">
        <v>2.8774999999999999</v>
      </c>
      <c r="AL54">
        <v>140.15</v>
      </c>
      <c r="AM54">
        <v>2215</v>
      </c>
      <c r="AN54">
        <v>15690</v>
      </c>
      <c r="AO54">
        <v>51</v>
      </c>
      <c r="AP54">
        <v>1276</v>
      </c>
      <c r="AQ54">
        <v>525</v>
      </c>
      <c r="AR54">
        <v>131.5</v>
      </c>
      <c r="AS54">
        <v>55.85</v>
      </c>
      <c r="AT54">
        <v>0.9</v>
      </c>
      <c r="AU54">
        <v>52</v>
      </c>
      <c r="AV54">
        <v>82.91</v>
      </c>
      <c r="AW54">
        <v>0.52790000000000004</v>
      </c>
      <c r="AX54">
        <v>578</v>
      </c>
    </row>
    <row r="55" spans="1:50" x14ac:dyDescent="0.2">
      <c r="A55" s="1" t="s">
        <v>121</v>
      </c>
      <c r="B55">
        <v>1973.5</v>
      </c>
      <c r="C55">
        <v>179.8</v>
      </c>
      <c r="D55">
        <v>116.56</v>
      </c>
      <c r="E55">
        <v>2894</v>
      </c>
      <c r="F55">
        <v>9220</v>
      </c>
      <c r="G55">
        <v>602</v>
      </c>
      <c r="H55">
        <v>26.895</v>
      </c>
      <c r="I55">
        <v>4336</v>
      </c>
      <c r="J55">
        <v>383.2</v>
      </c>
      <c r="K55">
        <v>301</v>
      </c>
      <c r="L55">
        <v>9755.68</v>
      </c>
      <c r="M55">
        <v>252</v>
      </c>
      <c r="N55">
        <v>108.25</v>
      </c>
      <c r="O55">
        <v>3.8715000000000002</v>
      </c>
      <c r="P55">
        <v>128.08000000000001</v>
      </c>
      <c r="Q55">
        <v>77.3</v>
      </c>
      <c r="R55">
        <v>859.3</v>
      </c>
      <c r="S55">
        <v>6.0919000000000008E-2</v>
      </c>
      <c r="T55">
        <v>65.69</v>
      </c>
      <c r="U55">
        <v>2401</v>
      </c>
      <c r="V55">
        <v>11.435</v>
      </c>
      <c r="W55">
        <v>37.74</v>
      </c>
      <c r="X55">
        <v>295.60000000000002</v>
      </c>
      <c r="Y55">
        <v>0.83299999999999996</v>
      </c>
      <c r="Z55">
        <v>0.1724</v>
      </c>
      <c r="AA55">
        <v>206.4</v>
      </c>
      <c r="AB55">
        <v>814</v>
      </c>
      <c r="AC55">
        <v>0.97599999999999998</v>
      </c>
      <c r="AD55">
        <v>2.3180000000000001</v>
      </c>
      <c r="AE55">
        <v>350</v>
      </c>
      <c r="AF55">
        <v>410.8</v>
      </c>
      <c r="AG55">
        <v>72.5</v>
      </c>
      <c r="AH55">
        <v>160.30000000000001</v>
      </c>
      <c r="AI55">
        <v>7.1749999999999998</v>
      </c>
      <c r="AJ55">
        <v>3496</v>
      </c>
      <c r="AK55">
        <v>2.9039999999999999</v>
      </c>
      <c r="AL55">
        <v>144.75</v>
      </c>
      <c r="AM55">
        <v>2314</v>
      </c>
      <c r="AN55">
        <v>15910</v>
      </c>
      <c r="AO55">
        <v>50.3</v>
      </c>
      <c r="AP55">
        <v>1280</v>
      </c>
      <c r="AQ55">
        <v>528</v>
      </c>
      <c r="AR55">
        <v>136.30000000000001</v>
      </c>
      <c r="AS55">
        <v>55.65</v>
      </c>
      <c r="AT55">
        <v>0.93500000000000005</v>
      </c>
      <c r="AU55">
        <v>53.45</v>
      </c>
      <c r="AV55">
        <v>84.08</v>
      </c>
      <c r="AW55">
        <v>0.52790000000000004</v>
      </c>
      <c r="AX55">
        <v>581.5</v>
      </c>
    </row>
    <row r="56" spans="1:50" x14ac:dyDescent="0.2">
      <c r="A56" s="1" t="s">
        <v>122</v>
      </c>
      <c r="B56">
        <v>1979.14</v>
      </c>
      <c r="C56">
        <v>180.51</v>
      </c>
      <c r="D56">
        <v>117.85</v>
      </c>
      <c r="E56">
        <v>2915</v>
      </c>
      <c r="F56">
        <v>9150</v>
      </c>
      <c r="G56">
        <v>603.79999999999995</v>
      </c>
      <c r="H56">
        <v>26.68</v>
      </c>
      <c r="I56">
        <v>4310</v>
      </c>
      <c r="J56">
        <v>385.5</v>
      </c>
      <c r="K56">
        <v>301.5</v>
      </c>
      <c r="L56">
        <v>9742.75</v>
      </c>
      <c r="M56">
        <v>253</v>
      </c>
      <c r="N56">
        <v>107.27</v>
      </c>
      <c r="O56">
        <v>3.8540000000000001</v>
      </c>
      <c r="P56">
        <v>127.64</v>
      </c>
      <c r="Q56">
        <v>78.8</v>
      </c>
      <c r="R56">
        <v>879</v>
      </c>
      <c r="S56">
        <v>6.0199999999999997E-2</v>
      </c>
      <c r="T56">
        <v>66.09</v>
      </c>
      <c r="U56">
        <v>2415</v>
      </c>
      <c r="V56">
        <v>11.44</v>
      </c>
      <c r="W56">
        <v>38.64</v>
      </c>
      <c r="X56">
        <v>295.3</v>
      </c>
      <c r="Y56">
        <v>0.83550000000000002</v>
      </c>
      <c r="Z56">
        <v>0.17144999999999999</v>
      </c>
      <c r="AA56">
        <v>204</v>
      </c>
      <c r="AB56">
        <v>829</v>
      </c>
      <c r="AC56">
        <v>0.98729999999999996</v>
      </c>
      <c r="AD56">
        <v>2.3820000000000001</v>
      </c>
      <c r="AE56">
        <v>349.5</v>
      </c>
      <c r="AF56">
        <v>406.7</v>
      </c>
      <c r="AG56">
        <v>71.45</v>
      </c>
      <c r="AH56">
        <v>163.5</v>
      </c>
      <c r="AI56">
        <v>7.11</v>
      </c>
      <c r="AJ56">
        <v>3506</v>
      </c>
      <c r="AK56">
        <v>2.883</v>
      </c>
      <c r="AL56">
        <v>144.9</v>
      </c>
      <c r="AM56">
        <v>2292</v>
      </c>
      <c r="AN56">
        <v>15950</v>
      </c>
      <c r="AO56">
        <v>49.6</v>
      </c>
      <c r="AP56">
        <v>1280</v>
      </c>
      <c r="AQ56">
        <v>529</v>
      </c>
      <c r="AR56">
        <v>134.9</v>
      </c>
      <c r="AS56">
        <v>55.65</v>
      </c>
      <c r="AT56">
        <v>0.93</v>
      </c>
      <c r="AU56">
        <v>53.5</v>
      </c>
      <c r="AV56">
        <v>86.98</v>
      </c>
      <c r="AW56">
        <v>0.53299999999999992</v>
      </c>
      <c r="AX56">
        <v>577</v>
      </c>
    </row>
    <row r="57" spans="1:50" x14ac:dyDescent="0.2">
      <c r="A57" s="1" t="s">
        <v>123</v>
      </c>
      <c r="B57">
        <v>1987.15</v>
      </c>
      <c r="C57">
        <v>181.85</v>
      </c>
      <c r="D57">
        <v>118.75</v>
      </c>
      <c r="E57">
        <v>2920</v>
      </c>
      <c r="F57">
        <v>9289</v>
      </c>
      <c r="G57">
        <v>596</v>
      </c>
      <c r="H57">
        <v>26.6</v>
      </c>
      <c r="I57">
        <v>4316</v>
      </c>
      <c r="J57">
        <v>388</v>
      </c>
      <c r="K57">
        <v>300.95</v>
      </c>
      <c r="L57">
        <v>9942.6</v>
      </c>
      <c r="M57">
        <v>252</v>
      </c>
      <c r="N57">
        <v>106.21</v>
      </c>
      <c r="O57">
        <v>3.87</v>
      </c>
      <c r="P57">
        <v>127.9</v>
      </c>
      <c r="Q57">
        <v>81.150000000000006</v>
      </c>
      <c r="R57">
        <v>874.9</v>
      </c>
      <c r="S57">
        <v>6.0169000000000007E-2</v>
      </c>
      <c r="T57">
        <v>66.459999999999994</v>
      </c>
      <c r="U57">
        <v>2391</v>
      </c>
      <c r="V57">
        <v>11.3</v>
      </c>
      <c r="W57">
        <v>38.695</v>
      </c>
      <c r="X57">
        <v>290.5</v>
      </c>
      <c r="Y57">
        <v>0.85980000000000001</v>
      </c>
      <c r="Z57">
        <v>0.17449999999999999</v>
      </c>
      <c r="AA57">
        <v>203.15</v>
      </c>
      <c r="AB57">
        <v>840.5</v>
      </c>
      <c r="AC57">
        <v>1.0111000000000001</v>
      </c>
      <c r="AD57">
        <v>2.3929999999999998</v>
      </c>
      <c r="AE57">
        <v>349</v>
      </c>
      <c r="AF57">
        <v>406.2</v>
      </c>
      <c r="AG57">
        <v>70.08</v>
      </c>
      <c r="AH57">
        <v>164.25</v>
      </c>
      <c r="AI57">
        <v>6.9950000000000001</v>
      </c>
      <c r="AJ57">
        <v>3523</v>
      </c>
      <c r="AK57">
        <v>2.9060000000000001</v>
      </c>
      <c r="AL57">
        <v>141.15</v>
      </c>
      <c r="AM57">
        <v>2299</v>
      </c>
      <c r="AN57">
        <v>16060</v>
      </c>
      <c r="AO57">
        <v>49.7</v>
      </c>
      <c r="AP57">
        <v>1290</v>
      </c>
      <c r="AQ57">
        <v>521</v>
      </c>
      <c r="AR57">
        <v>134.30000000000001</v>
      </c>
      <c r="AS57">
        <v>55.85</v>
      </c>
      <c r="AT57">
        <v>0.91099999999999992</v>
      </c>
      <c r="AU57">
        <v>54.65</v>
      </c>
      <c r="AV57">
        <v>84.75</v>
      </c>
      <c r="AW57">
        <v>0.54</v>
      </c>
      <c r="AX57">
        <v>575.5</v>
      </c>
    </row>
    <row r="58" spans="1:50" x14ac:dyDescent="0.2">
      <c r="A58" s="1" t="s">
        <v>124</v>
      </c>
      <c r="B58">
        <v>1989.12</v>
      </c>
      <c r="C58">
        <v>181.89</v>
      </c>
      <c r="D58">
        <v>118.3</v>
      </c>
      <c r="E58">
        <v>2894</v>
      </c>
      <c r="F58">
        <v>9473</v>
      </c>
      <c r="G58">
        <v>594.1</v>
      </c>
      <c r="H58">
        <v>26.46</v>
      </c>
      <c r="I58">
        <v>4523</v>
      </c>
      <c r="J58">
        <v>382.85</v>
      </c>
      <c r="K58">
        <v>301</v>
      </c>
      <c r="L58">
        <v>10188.18</v>
      </c>
      <c r="M58">
        <v>254.7</v>
      </c>
      <c r="N58">
        <v>104.84</v>
      </c>
      <c r="O58">
        <v>3.8574999999999999</v>
      </c>
      <c r="P58">
        <v>128.1</v>
      </c>
      <c r="Q58">
        <v>81.569999999999993</v>
      </c>
      <c r="R58">
        <v>876.9</v>
      </c>
      <c r="S58">
        <v>5.9988E-2</v>
      </c>
      <c r="T58">
        <v>66.25</v>
      </c>
      <c r="U58">
        <v>2366</v>
      </c>
      <c r="V58">
        <v>11.375</v>
      </c>
      <c r="W58">
        <v>38.9</v>
      </c>
      <c r="X58">
        <v>292</v>
      </c>
      <c r="Y58">
        <v>0.85189999999999999</v>
      </c>
      <c r="Z58">
        <v>0.17369999999999999</v>
      </c>
      <c r="AA58">
        <v>204.7</v>
      </c>
      <c r="AB58">
        <v>820</v>
      </c>
      <c r="AC58">
        <v>1.0167999999999999</v>
      </c>
      <c r="AD58">
        <v>2.3690000000000002</v>
      </c>
      <c r="AE58">
        <v>353.5</v>
      </c>
      <c r="AF58">
        <v>407.9</v>
      </c>
      <c r="AG58">
        <v>69.13</v>
      </c>
      <c r="AH58">
        <v>162.80000000000001</v>
      </c>
      <c r="AI58">
        <v>6.915</v>
      </c>
      <c r="AJ58">
        <v>3512</v>
      </c>
      <c r="AK58">
        <v>3.0554999999999999</v>
      </c>
      <c r="AL58">
        <v>140.25</v>
      </c>
      <c r="AM58">
        <v>2281</v>
      </c>
      <c r="AN58">
        <v>16000</v>
      </c>
      <c r="AO58">
        <v>48.6</v>
      </c>
      <c r="AP58">
        <v>1289</v>
      </c>
      <c r="AQ58">
        <v>531</v>
      </c>
      <c r="AR58">
        <v>131.19999999999999</v>
      </c>
      <c r="AS58">
        <v>56.1</v>
      </c>
      <c r="AT58">
        <v>0.91</v>
      </c>
      <c r="AU58">
        <v>53.7</v>
      </c>
      <c r="AV58">
        <v>84.84</v>
      </c>
      <c r="AW58">
        <v>0.54700000000000004</v>
      </c>
      <c r="AX58">
        <v>569</v>
      </c>
    </row>
    <row r="59" spans="1:50" x14ac:dyDescent="0.2">
      <c r="A59" s="1" t="s">
        <v>125</v>
      </c>
      <c r="B59">
        <v>2008.88</v>
      </c>
      <c r="C59">
        <v>183.5</v>
      </c>
      <c r="D59">
        <v>118.2</v>
      </c>
      <c r="E59">
        <v>2905</v>
      </c>
      <c r="F59">
        <v>9500</v>
      </c>
      <c r="G59">
        <v>601.20000000000005</v>
      </c>
      <c r="H59">
        <v>26.664999999999999</v>
      </c>
      <c r="I59">
        <v>4607</v>
      </c>
      <c r="J59">
        <v>381.55</v>
      </c>
      <c r="K59">
        <v>307</v>
      </c>
      <c r="L59">
        <v>10588.87</v>
      </c>
      <c r="M59">
        <v>257.7</v>
      </c>
      <c r="N59">
        <v>105.2</v>
      </c>
      <c r="O59">
        <v>3.8784999999999998</v>
      </c>
      <c r="P59">
        <v>134.38999999999999</v>
      </c>
      <c r="Q59">
        <v>83.03</v>
      </c>
      <c r="R59">
        <v>894.7</v>
      </c>
      <c r="S59">
        <v>6.4799999999999996E-2</v>
      </c>
      <c r="T59">
        <v>66.319999999999993</v>
      </c>
      <c r="U59">
        <v>2328</v>
      </c>
      <c r="V59">
        <v>11.215</v>
      </c>
      <c r="W59">
        <v>39.354999999999997</v>
      </c>
      <c r="X59">
        <v>291.89999999999998</v>
      </c>
      <c r="Y59">
        <v>0.84950000000000003</v>
      </c>
      <c r="Z59">
        <v>0.17280000000000001</v>
      </c>
      <c r="AA59">
        <v>198</v>
      </c>
      <c r="AB59">
        <v>796.5</v>
      </c>
      <c r="AC59">
        <v>0.99580000000000002</v>
      </c>
      <c r="AD59">
        <v>2.375</v>
      </c>
      <c r="AE59">
        <v>354</v>
      </c>
      <c r="AF59">
        <v>406</v>
      </c>
      <c r="AG59">
        <v>68.63</v>
      </c>
      <c r="AH59">
        <v>164</v>
      </c>
      <c r="AI59">
        <v>6.98</v>
      </c>
      <c r="AJ59">
        <v>3553</v>
      </c>
      <c r="AK59">
        <v>3.1894999999999998</v>
      </c>
      <c r="AL59">
        <v>140</v>
      </c>
      <c r="AM59">
        <v>2251</v>
      </c>
      <c r="AN59">
        <v>15930</v>
      </c>
      <c r="AO59">
        <v>48.5</v>
      </c>
      <c r="AP59">
        <v>1288</v>
      </c>
      <c r="AQ59">
        <v>539</v>
      </c>
      <c r="AR59">
        <v>129</v>
      </c>
      <c r="AS59">
        <v>56.85</v>
      </c>
      <c r="AT59">
        <v>0.91</v>
      </c>
      <c r="AU59">
        <v>53.25</v>
      </c>
      <c r="AV59">
        <v>85.7</v>
      </c>
      <c r="AW59">
        <v>0.55130000000000001</v>
      </c>
      <c r="AX59">
        <v>573</v>
      </c>
    </row>
    <row r="60" spans="1:50" x14ac:dyDescent="0.2">
      <c r="A60" s="1" t="s">
        <v>126</v>
      </c>
      <c r="B60">
        <v>2022.22</v>
      </c>
      <c r="C60">
        <v>183.51</v>
      </c>
      <c r="D60">
        <v>117.97</v>
      </c>
      <c r="E60">
        <v>2940.5</v>
      </c>
      <c r="F60">
        <v>9790</v>
      </c>
      <c r="G60">
        <v>599.29999999999995</v>
      </c>
      <c r="H60">
        <v>27</v>
      </c>
      <c r="I60">
        <v>4547</v>
      </c>
      <c r="J60">
        <v>388</v>
      </c>
      <c r="K60">
        <v>304</v>
      </c>
      <c r="L60">
        <v>10738.01</v>
      </c>
      <c r="M60">
        <v>270</v>
      </c>
      <c r="N60">
        <v>105.39</v>
      </c>
      <c r="O60">
        <v>3.93</v>
      </c>
      <c r="P60">
        <v>139.91999999999999</v>
      </c>
      <c r="Q60">
        <v>81.2</v>
      </c>
      <c r="R60">
        <v>910</v>
      </c>
      <c r="S60">
        <v>6.4562999999999995E-2</v>
      </c>
      <c r="T60">
        <v>67</v>
      </c>
      <c r="U60">
        <v>2303</v>
      </c>
      <c r="V60">
        <v>11.75</v>
      </c>
      <c r="W60">
        <v>40.26</v>
      </c>
      <c r="X60">
        <v>289.89999999999998</v>
      </c>
      <c r="Y60">
        <v>0.83069999999999999</v>
      </c>
      <c r="Z60">
        <v>0.17699999999999999</v>
      </c>
      <c r="AA60">
        <v>191.8</v>
      </c>
      <c r="AB60">
        <v>779.5</v>
      </c>
      <c r="AC60">
        <v>1.0198</v>
      </c>
      <c r="AD60">
        <v>2.41</v>
      </c>
      <c r="AE60">
        <v>362</v>
      </c>
      <c r="AF60">
        <v>419.8</v>
      </c>
      <c r="AG60">
        <v>68.89</v>
      </c>
      <c r="AH60">
        <v>169.6</v>
      </c>
      <c r="AI60">
        <v>7.4450000000000003</v>
      </c>
      <c r="AJ60">
        <v>3530</v>
      </c>
      <c r="AK60">
        <v>3.2629999999999999</v>
      </c>
      <c r="AL60">
        <v>136.4</v>
      </c>
      <c r="AM60">
        <v>2180</v>
      </c>
      <c r="AN60">
        <v>15870</v>
      </c>
      <c r="AO60">
        <v>49.6</v>
      </c>
      <c r="AP60">
        <v>1275</v>
      </c>
      <c r="AQ60">
        <v>539</v>
      </c>
      <c r="AR60">
        <v>131.19999999999999</v>
      </c>
      <c r="AS60">
        <v>58.5</v>
      </c>
      <c r="AT60">
        <v>0.89599999999999991</v>
      </c>
      <c r="AU60">
        <v>53.9</v>
      </c>
      <c r="AV60">
        <v>86.08</v>
      </c>
      <c r="AW60">
        <v>0.56910000000000005</v>
      </c>
      <c r="AX60">
        <v>575.5</v>
      </c>
    </row>
    <row r="61" spans="1:50" x14ac:dyDescent="0.2">
      <c r="A61" s="1" t="s">
        <v>127</v>
      </c>
      <c r="B61">
        <v>2010.98</v>
      </c>
      <c r="C61">
        <v>183.66</v>
      </c>
      <c r="D61">
        <v>117.4</v>
      </c>
      <c r="E61">
        <v>2915</v>
      </c>
      <c r="F61">
        <v>9803</v>
      </c>
      <c r="G61">
        <v>596.5</v>
      </c>
      <c r="H61">
        <v>27.25</v>
      </c>
      <c r="I61">
        <v>4608</v>
      </c>
      <c r="J61">
        <v>386.15</v>
      </c>
      <c r="K61">
        <v>304.10000000000002</v>
      </c>
      <c r="L61">
        <v>10529.21</v>
      </c>
      <c r="M61">
        <v>264.89999999999998</v>
      </c>
      <c r="N61">
        <v>105.25</v>
      </c>
      <c r="O61">
        <v>3.8740000000000001</v>
      </c>
      <c r="P61">
        <v>136.83000000000001</v>
      </c>
      <c r="Q61">
        <v>78.95</v>
      </c>
      <c r="R61">
        <v>894.9</v>
      </c>
      <c r="S61">
        <v>6.3450000000000006E-2</v>
      </c>
      <c r="T61">
        <v>66.5</v>
      </c>
      <c r="U61">
        <v>2336</v>
      </c>
      <c r="V61">
        <v>11.955</v>
      </c>
      <c r="W61">
        <v>39.909999999999997</v>
      </c>
      <c r="X61">
        <v>292.3</v>
      </c>
      <c r="Y61">
        <v>0.83050000000000002</v>
      </c>
      <c r="Z61">
        <v>0.17735000000000001</v>
      </c>
      <c r="AA61">
        <v>190</v>
      </c>
      <c r="AB61">
        <v>789</v>
      </c>
      <c r="AC61">
        <v>1.0324</v>
      </c>
      <c r="AD61">
        <v>2.37</v>
      </c>
      <c r="AE61">
        <v>358.5</v>
      </c>
      <c r="AF61">
        <v>415.1</v>
      </c>
      <c r="AG61">
        <v>67.459999999999994</v>
      </c>
      <c r="AH61">
        <v>169.8</v>
      </c>
      <c r="AI61">
        <v>7.61</v>
      </c>
      <c r="AJ61">
        <v>3520</v>
      </c>
      <c r="AK61">
        <v>3.254</v>
      </c>
      <c r="AL61">
        <v>138.44999999999999</v>
      </c>
      <c r="AM61">
        <v>2140</v>
      </c>
      <c r="AN61">
        <v>15960</v>
      </c>
      <c r="AO61">
        <v>49.5</v>
      </c>
      <c r="AP61">
        <v>1283</v>
      </c>
      <c r="AQ61">
        <v>540</v>
      </c>
      <c r="AR61">
        <v>129</v>
      </c>
      <c r="AS61">
        <v>58.7</v>
      </c>
      <c r="AT61">
        <v>0.89200000000000002</v>
      </c>
      <c r="AU61">
        <v>53.35</v>
      </c>
      <c r="AV61">
        <v>86</v>
      </c>
      <c r="AW61">
        <v>0.56520000000000004</v>
      </c>
      <c r="AX61">
        <v>571.5</v>
      </c>
    </row>
    <row r="62" spans="1:50" x14ac:dyDescent="0.2">
      <c r="A62" s="1" t="s">
        <v>131</v>
      </c>
      <c r="B62">
        <v>2003.32</v>
      </c>
      <c r="C62">
        <v>184.1</v>
      </c>
      <c r="D62">
        <v>117</v>
      </c>
      <c r="E62">
        <v>2895</v>
      </c>
      <c r="F62">
        <v>9746</v>
      </c>
      <c r="G62">
        <v>597.70000000000005</v>
      </c>
      <c r="H62">
        <v>27.285</v>
      </c>
      <c r="I62">
        <v>4700</v>
      </c>
      <c r="J62">
        <v>385.4</v>
      </c>
      <c r="K62">
        <v>302.60000000000002</v>
      </c>
      <c r="L62">
        <v>10449.67</v>
      </c>
      <c r="M62">
        <v>261.05</v>
      </c>
      <c r="N62">
        <v>107.4</v>
      </c>
      <c r="O62">
        <v>3.84</v>
      </c>
      <c r="P62">
        <v>132.6</v>
      </c>
      <c r="Q62">
        <v>77</v>
      </c>
      <c r="R62">
        <v>904.5</v>
      </c>
      <c r="S62">
        <v>6.1630999999999991E-2</v>
      </c>
      <c r="T62">
        <v>66.02</v>
      </c>
      <c r="U62">
        <v>2311</v>
      </c>
      <c r="V62">
        <v>12.545</v>
      </c>
      <c r="W62">
        <v>38.594999999999999</v>
      </c>
      <c r="X62">
        <v>290</v>
      </c>
      <c r="Y62">
        <v>0.82440000000000002</v>
      </c>
      <c r="Z62">
        <v>0.17615</v>
      </c>
      <c r="AA62">
        <v>193.25</v>
      </c>
      <c r="AB62">
        <v>780</v>
      </c>
      <c r="AC62">
        <v>1.0548</v>
      </c>
      <c r="AD62">
        <v>2.35</v>
      </c>
      <c r="AE62">
        <v>363</v>
      </c>
      <c r="AF62">
        <v>418.5</v>
      </c>
      <c r="AG62">
        <v>67.900000000000006</v>
      </c>
      <c r="AH62">
        <v>169</v>
      </c>
      <c r="AI62">
        <v>7.7350000000000003</v>
      </c>
      <c r="AJ62">
        <v>3525</v>
      </c>
      <c r="AK62">
        <v>3.1909999999999998</v>
      </c>
      <c r="AL62">
        <v>137.55000000000001</v>
      </c>
      <c r="AM62">
        <v>2120</v>
      </c>
      <c r="AN62">
        <v>15950</v>
      </c>
      <c r="AO62">
        <v>49.5</v>
      </c>
      <c r="AP62">
        <v>1280</v>
      </c>
      <c r="AQ62">
        <v>542</v>
      </c>
      <c r="AR62">
        <v>129.6</v>
      </c>
      <c r="AS62">
        <v>57.75</v>
      </c>
      <c r="AT62">
        <v>0.88500000000000001</v>
      </c>
      <c r="AU62">
        <v>52.9</v>
      </c>
      <c r="AV62">
        <v>85.18</v>
      </c>
      <c r="AW62">
        <v>0.54690000000000005</v>
      </c>
      <c r="AX62">
        <v>570</v>
      </c>
    </row>
    <row r="63" spans="1:50" x14ac:dyDescent="0.2">
      <c r="A63" s="1" t="s">
        <v>130</v>
      </c>
      <c r="B63">
        <v>2004.02</v>
      </c>
      <c r="C63">
        <v>184.14</v>
      </c>
      <c r="D63">
        <v>116</v>
      </c>
      <c r="E63">
        <v>2883.5</v>
      </c>
      <c r="F63">
        <v>9692</v>
      </c>
      <c r="G63">
        <v>602</v>
      </c>
      <c r="H63">
        <v>27.6</v>
      </c>
      <c r="I63">
        <v>4676</v>
      </c>
      <c r="J63">
        <v>386</v>
      </c>
      <c r="K63">
        <v>302.85000000000002</v>
      </c>
      <c r="L63">
        <v>10568.98</v>
      </c>
      <c r="M63">
        <v>264.25</v>
      </c>
      <c r="N63">
        <v>111.22</v>
      </c>
      <c r="O63">
        <v>3.8035000000000001</v>
      </c>
      <c r="P63">
        <v>131.5</v>
      </c>
      <c r="Q63">
        <v>78.2</v>
      </c>
      <c r="R63">
        <v>894</v>
      </c>
      <c r="S63">
        <v>6.0100000000000001E-2</v>
      </c>
      <c r="T63">
        <v>66.510000000000005</v>
      </c>
      <c r="U63">
        <v>2290</v>
      </c>
      <c r="V63">
        <v>13.645</v>
      </c>
      <c r="W63">
        <v>38</v>
      </c>
      <c r="X63">
        <v>298.7</v>
      </c>
      <c r="Y63">
        <v>0.82210000000000005</v>
      </c>
      <c r="Z63">
        <v>0.17294999999999999</v>
      </c>
      <c r="AA63">
        <v>200.75</v>
      </c>
      <c r="AB63">
        <v>785</v>
      </c>
      <c r="AC63">
        <v>1.0475000000000001</v>
      </c>
      <c r="AD63">
        <v>2.319</v>
      </c>
      <c r="AE63">
        <v>372</v>
      </c>
      <c r="AF63">
        <v>421</v>
      </c>
      <c r="AG63">
        <v>67.900000000000006</v>
      </c>
      <c r="AH63">
        <v>163.44999999999999</v>
      </c>
      <c r="AI63">
        <v>7.9</v>
      </c>
      <c r="AJ63">
        <v>3526</v>
      </c>
      <c r="AK63">
        <v>3.1905000000000001</v>
      </c>
      <c r="AL63">
        <v>136.69999999999999</v>
      </c>
      <c r="AM63">
        <v>2142</v>
      </c>
      <c r="AN63">
        <v>15970</v>
      </c>
      <c r="AO63">
        <v>50</v>
      </c>
      <c r="AP63">
        <v>1318</v>
      </c>
      <c r="AQ63">
        <v>545</v>
      </c>
      <c r="AR63">
        <v>127.8</v>
      </c>
      <c r="AS63">
        <v>56.7</v>
      </c>
      <c r="AT63">
        <v>0.88300000000000001</v>
      </c>
      <c r="AU63">
        <v>52.35</v>
      </c>
      <c r="AV63">
        <v>86.5</v>
      </c>
      <c r="AW63">
        <v>0.52880000000000005</v>
      </c>
      <c r="AX63">
        <v>567</v>
      </c>
    </row>
    <row r="64" spans="1:50" x14ac:dyDescent="0.2">
      <c r="A64" s="1" t="s">
        <v>129</v>
      </c>
      <c r="B64">
        <v>2014.6</v>
      </c>
      <c r="C64">
        <v>183.12</v>
      </c>
      <c r="D64">
        <v>117.14</v>
      </c>
      <c r="E64">
        <v>2919</v>
      </c>
      <c r="F64">
        <v>9825</v>
      </c>
      <c r="G64">
        <v>599.79999999999995</v>
      </c>
      <c r="H64">
        <v>27.715</v>
      </c>
      <c r="I64">
        <v>4652</v>
      </c>
      <c r="J64">
        <v>392.5</v>
      </c>
      <c r="K64">
        <v>303</v>
      </c>
      <c r="L64">
        <v>10479.5</v>
      </c>
      <c r="M64">
        <v>273.7</v>
      </c>
      <c r="N64">
        <v>112.51</v>
      </c>
      <c r="O64">
        <v>3.8290000000000002</v>
      </c>
      <c r="P64">
        <v>132.5</v>
      </c>
      <c r="Q64">
        <v>78.650000000000006</v>
      </c>
      <c r="R64">
        <v>911.7</v>
      </c>
      <c r="S64">
        <v>6.0199999999999997E-2</v>
      </c>
      <c r="T64">
        <v>66.39</v>
      </c>
      <c r="U64">
        <v>2303</v>
      </c>
      <c r="V64">
        <v>14.095000000000001</v>
      </c>
      <c r="W64">
        <v>40.89</v>
      </c>
      <c r="X64">
        <v>314</v>
      </c>
      <c r="Y64">
        <v>0.81769999999999998</v>
      </c>
      <c r="Z64">
        <v>0.1726</v>
      </c>
      <c r="AA64">
        <v>199.65</v>
      </c>
      <c r="AB64">
        <v>809.5</v>
      </c>
      <c r="AC64">
        <v>1.0529999999999999</v>
      </c>
      <c r="AD64">
        <v>2.31</v>
      </c>
      <c r="AE64">
        <v>370</v>
      </c>
      <c r="AF64">
        <v>416</v>
      </c>
      <c r="AG64">
        <v>68.900000000000006</v>
      </c>
      <c r="AH64">
        <v>164.15</v>
      </c>
      <c r="AI64">
        <v>8.08</v>
      </c>
      <c r="AJ64">
        <v>3583</v>
      </c>
      <c r="AK64">
        <v>3.21</v>
      </c>
      <c r="AL64">
        <v>137.4</v>
      </c>
      <c r="AM64">
        <v>2096</v>
      </c>
      <c r="AN64">
        <v>16050</v>
      </c>
      <c r="AO64">
        <v>49.3</v>
      </c>
      <c r="AP64">
        <v>1329</v>
      </c>
      <c r="AQ64">
        <v>534</v>
      </c>
      <c r="AR64">
        <v>130.1</v>
      </c>
      <c r="AS64">
        <v>56.4</v>
      </c>
      <c r="AT64">
        <v>0.89599999999999991</v>
      </c>
      <c r="AU64">
        <v>52.3</v>
      </c>
      <c r="AV64">
        <v>86.42</v>
      </c>
      <c r="AW64">
        <v>0.5444</v>
      </c>
      <c r="AX64">
        <v>566.5</v>
      </c>
    </row>
    <row r="65" spans="1:50" x14ac:dyDescent="0.2">
      <c r="A65" s="1" t="s">
        <v>128</v>
      </c>
      <c r="B65">
        <v>2010.17</v>
      </c>
      <c r="C65">
        <v>184</v>
      </c>
      <c r="D65">
        <v>117.95</v>
      </c>
      <c r="E65">
        <v>2876</v>
      </c>
      <c r="F65">
        <v>9660</v>
      </c>
      <c r="G65">
        <v>600</v>
      </c>
      <c r="H65">
        <v>27.024999999999999</v>
      </c>
      <c r="I65">
        <v>4666</v>
      </c>
      <c r="J65">
        <v>389.4</v>
      </c>
      <c r="K65">
        <v>306</v>
      </c>
      <c r="L65">
        <v>10483.48</v>
      </c>
      <c r="M65">
        <v>275.45</v>
      </c>
      <c r="N65">
        <v>113.4</v>
      </c>
      <c r="O65">
        <v>3.8250000000000002</v>
      </c>
      <c r="P65">
        <v>128.69999999999999</v>
      </c>
      <c r="Q65">
        <v>78.5</v>
      </c>
      <c r="R65">
        <v>905</v>
      </c>
      <c r="S65">
        <v>6.0100000000000001E-2</v>
      </c>
      <c r="T65">
        <v>66.319999999999993</v>
      </c>
      <c r="U65">
        <v>2280</v>
      </c>
      <c r="V65">
        <v>13.815</v>
      </c>
      <c r="W65">
        <v>42.3</v>
      </c>
      <c r="X65">
        <v>312.5</v>
      </c>
      <c r="Y65">
        <v>0.80099999999999993</v>
      </c>
      <c r="Z65">
        <v>0.17100000000000001</v>
      </c>
      <c r="AA65">
        <v>197.05</v>
      </c>
      <c r="AB65">
        <v>807.5</v>
      </c>
      <c r="AC65">
        <v>1.075</v>
      </c>
      <c r="AD65">
        <v>2.294</v>
      </c>
      <c r="AE65">
        <v>382</v>
      </c>
      <c r="AF65">
        <v>420</v>
      </c>
      <c r="AG65">
        <v>67.55</v>
      </c>
      <c r="AH65">
        <v>163.9</v>
      </c>
      <c r="AI65">
        <v>8.02</v>
      </c>
      <c r="AJ65">
        <v>3623</v>
      </c>
      <c r="AK65">
        <v>3.1859999999999999</v>
      </c>
      <c r="AL65">
        <v>137.5</v>
      </c>
      <c r="AM65">
        <v>2071</v>
      </c>
      <c r="AN65">
        <v>16040</v>
      </c>
      <c r="AO65">
        <v>49.6</v>
      </c>
      <c r="AP65">
        <v>1315</v>
      </c>
      <c r="AQ65">
        <v>529</v>
      </c>
      <c r="AR65">
        <v>128.80000000000001</v>
      </c>
      <c r="AS65">
        <v>56.25</v>
      </c>
      <c r="AT65">
        <v>0.89599999999999991</v>
      </c>
      <c r="AU65">
        <v>52.45</v>
      </c>
      <c r="AV65">
        <v>85.67</v>
      </c>
      <c r="AW65">
        <v>0.52900000000000003</v>
      </c>
      <c r="AX65">
        <v>564.5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V73"/>
  <sheetViews>
    <sheetView topLeftCell="A35" workbookViewId="0">
      <selection activeCell="AT63" sqref="AT63"/>
    </sheetView>
  </sheetViews>
  <sheetFormatPr baseColWidth="10" defaultColWidth="11.5" defaultRowHeight="15" x14ac:dyDescent="0.2"/>
  <cols>
    <col min="2" max="2" width="13.33203125" bestFit="1" customWidth="1"/>
    <col min="3" max="3" width="13.1640625" bestFit="1" customWidth="1"/>
    <col min="4" max="4" width="24.1640625" bestFit="1" customWidth="1"/>
  </cols>
  <sheetData>
    <row r="1" spans="1:48" x14ac:dyDescent="0.2">
      <c r="A1" s="1" t="s">
        <v>48</v>
      </c>
      <c r="B1" s="1" t="s">
        <v>52</v>
      </c>
      <c r="C1" s="1" t="s">
        <v>53</v>
      </c>
      <c r="D1" s="1" t="s">
        <v>0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44</v>
      </c>
      <c r="AT1" s="1" t="s">
        <v>45</v>
      </c>
      <c r="AU1" s="1" t="s">
        <v>46</v>
      </c>
      <c r="AV1" s="1" t="s">
        <v>47</v>
      </c>
    </row>
    <row r="2" spans="1:48" x14ac:dyDescent="0.2">
      <c r="A2" s="1" t="s">
        <v>67</v>
      </c>
      <c r="B2" s="2"/>
      <c r="C2">
        <f>(Цены!B2-Цены!B$2)/Цены!B$2</f>
        <v>0</v>
      </c>
      <c r="D2">
        <f>(Цены!C2-Цены!C$2)/Цены!C$2</f>
        <v>0</v>
      </c>
      <c r="E2">
        <f>(Цены!D2-Цены!D$2)/Цены!D$2</f>
        <v>0</v>
      </c>
      <c r="F2">
        <f>(Цены!E2-Цены!E$2)/Цены!E$2</f>
        <v>0</v>
      </c>
      <c r="G2">
        <f>(Цены!F2-Цены!F$2)/Цены!F$2</f>
        <v>0</v>
      </c>
      <c r="H2">
        <f>(Цены!G2-Цены!G$2)/Цены!G$2</f>
        <v>0</v>
      </c>
      <c r="I2">
        <f>(Цены!H2-Цены!H$2)/Цены!H$2</f>
        <v>0</v>
      </c>
      <c r="J2">
        <f>(Цены!J2-Цены!J$2)/Цены!J$2</f>
        <v>0</v>
      </c>
      <c r="K2">
        <f>(Цены!K2-Цены!K$2)/Цены!K$2</f>
        <v>0</v>
      </c>
      <c r="L2">
        <f>(Цены!L2-Цены!L$2)/Цены!L$2</f>
        <v>0</v>
      </c>
      <c r="M2">
        <f>(Цены!M2-Цены!M$2)/Цены!M$2</f>
        <v>0</v>
      </c>
      <c r="N2">
        <f>(Цены!N2-Цены!N$2)/Цены!N$2</f>
        <v>0</v>
      </c>
      <c r="O2">
        <f>(Цены!O2-Цены!O$2)/Цены!O$2</f>
        <v>0</v>
      </c>
      <c r="P2">
        <f>(Цены!P2-Цены!P$2)/Цены!P$2</f>
        <v>0</v>
      </c>
      <c r="Q2">
        <f>(Цены!Q2-Цены!Q$2)/Цены!Q$2</f>
        <v>0</v>
      </c>
      <c r="R2">
        <f>(Цены!R2-Цены!R$2)/Цены!R$2</f>
        <v>0</v>
      </c>
      <c r="S2">
        <f>(Цены!S2-Цены!S$2)/Цены!S$2</f>
        <v>0</v>
      </c>
      <c r="T2">
        <f>(Цены!T2-Цены!T$2)/Цены!T$2</f>
        <v>0</v>
      </c>
      <c r="U2">
        <f>(Цены!U2-Цены!U$2)/Цены!U$2</f>
        <v>0</v>
      </c>
      <c r="V2">
        <f>(Цены!V2-Цены!V$2)/Цены!V$2</f>
        <v>0</v>
      </c>
      <c r="W2">
        <f>(Цены!W2-Цены!W$2)/Цены!W$2</f>
        <v>0</v>
      </c>
      <c r="X2">
        <f>(Цены!X2-Цены!X$2)/Цены!X$2</f>
        <v>0</v>
      </c>
      <c r="Y2">
        <f>(Цены!Y2-Цены!Y$2)/Цены!Y$2</f>
        <v>0</v>
      </c>
      <c r="Z2">
        <f>(Цены!Z2-Цены!Z$2)/Цены!Z$2</f>
        <v>0</v>
      </c>
      <c r="AA2">
        <f>(Цены!AA2-Цены!AA$2)/Цены!AA$2</f>
        <v>0</v>
      </c>
      <c r="AB2">
        <f>(Цены!AB2-Цены!AB$2)/Цены!AB$2</f>
        <v>0</v>
      </c>
      <c r="AC2">
        <f>(Цены!AD2-Цены!AD$2)/Цены!AD$2</f>
        <v>0</v>
      </c>
      <c r="AD2">
        <f>(Цены!AE2-Цены!AE$2)/Цены!AE$2</f>
        <v>0</v>
      </c>
      <c r="AE2">
        <f>(Цены!AF2-Цены!AF$2)/Цены!AF$2</f>
        <v>0</v>
      </c>
      <c r="AF2">
        <f>(Цены!AG2-Цены!AG$2)/Цены!AG$2</f>
        <v>0</v>
      </c>
      <c r="AG2">
        <f>(Цены!AH2-Цены!AH$2)/Цены!AH$2</f>
        <v>0</v>
      </c>
      <c r="AH2">
        <f>(Цены!AI2-Цены!AI$2)/Цены!AI$2</f>
        <v>0</v>
      </c>
      <c r="AI2">
        <f>(Цены!AJ2-Цены!AJ$2)/Цены!AJ$2</f>
        <v>0</v>
      </c>
      <c r="AJ2">
        <f>(Цены!AK2-Цены!AK$2)/Цены!AK$2</f>
        <v>0</v>
      </c>
      <c r="AK2">
        <f>(Цены!AL2-Цены!AL$2)/Цены!AL$2</f>
        <v>0</v>
      </c>
      <c r="AL2">
        <f>(Цены!AM2-Цены!AM$2)/Цены!AM$2</f>
        <v>0</v>
      </c>
      <c r="AM2">
        <f>(Цены!AN2-Цены!AN$2)/Цены!AN$2</f>
        <v>0</v>
      </c>
      <c r="AN2">
        <f>(Цены!AO2-Цены!AO$2)/Цены!AO$2</f>
        <v>0</v>
      </c>
      <c r="AO2">
        <f>(Цены!AP2-Цены!AP$2)/Цены!AP$2</f>
        <v>0</v>
      </c>
      <c r="AP2">
        <f>(Цены!AQ2-Цены!AQ$2)/Цены!AQ$2</f>
        <v>0</v>
      </c>
      <c r="AQ2">
        <f>(Цены!AR2-Цены!AR$2)/Цены!AR$2</f>
        <v>0</v>
      </c>
      <c r="AR2">
        <f>(Цены!AS2-Цены!AS$2)/Цены!AS$2</f>
        <v>0</v>
      </c>
      <c r="AS2">
        <f>(Цены!AU2-Цены!AU$2)/Цены!AU$2</f>
        <v>0</v>
      </c>
      <c r="AT2">
        <f>(Цены!AV2-Цены!AV$2)/Цены!AV$2</f>
        <v>0</v>
      </c>
    </row>
    <row r="3" spans="1:48" x14ac:dyDescent="0.2">
      <c r="A3" s="1" t="s">
        <v>69</v>
      </c>
      <c r="B3" s="2">
        <v>1</v>
      </c>
      <c r="C3">
        <f>(Цены!B3-Цены!B$2)/Цены!B$2</f>
        <v>-1.171854258922974E-2</v>
      </c>
      <c r="D3">
        <f>(Цены!C3-Цены!C$2)/Цены!C$2</f>
        <v>-2.7509491773796014E-2</v>
      </c>
      <c r="E3">
        <f>(Цены!D3-Цены!D$2)/Цены!D$2</f>
        <v>-1.9502074688796632E-2</v>
      </c>
      <c r="F3">
        <f>(Цены!E3-Цены!E$2)/Цены!E$2</f>
        <v>-4.8666186012977647E-3</v>
      </c>
      <c r="G3">
        <f>(Цены!F3-Цены!F$2)/Цены!F$2</f>
        <v>-5.185185185185185E-3</v>
      </c>
      <c r="H3">
        <f>(Цены!G3-Цены!G$2)/Цены!G$2</f>
        <v>-2.8693047453886067E-2</v>
      </c>
      <c r="I3">
        <f>(Цены!H3-Цены!H$2)/Цены!H$2</f>
        <v>-1.6584064048799037E-2</v>
      </c>
      <c r="J3">
        <f>(Цены!J3-Цены!J$2)/Цены!J$2</f>
        <v>8.3333333333336494E-4</v>
      </c>
      <c r="K3">
        <f>(Цены!K3-Цены!K$2)/Цены!K$2</f>
        <v>2.00980392156862E-2</v>
      </c>
      <c r="L3">
        <f>(Цены!L3-Цены!L$2)/Цены!L$2</f>
        <v>1.63226320883843E-2</v>
      </c>
      <c r="M3">
        <f>(Цены!M3-Цены!M$2)/Цены!M$2</f>
        <v>-1.0307234886025746E-2</v>
      </c>
      <c r="N3">
        <f>(Цены!N3-Цены!N$2)/Цены!N$2</f>
        <v>8.855393311351838E-3</v>
      </c>
      <c r="O3">
        <f>(Цены!O3-Цены!O$2)/Цены!O$2</f>
        <v>2.1943573667711689E-2</v>
      </c>
      <c r="P3">
        <f>(Цены!P3-Цены!P$2)/Цены!P$2</f>
        <v>-3.9380895686418144E-2</v>
      </c>
      <c r="Q3">
        <f>(Цены!Q3-Цены!Q$2)/Цены!Q$2</f>
        <v>-2.2258478032863262E-2</v>
      </c>
      <c r="R3">
        <f>(Цены!R3-Цены!R$2)/Цены!R$2</f>
        <v>-1.324593745732614E-2</v>
      </c>
      <c r="S3">
        <f>(Цены!S3-Цены!S$2)/Цены!S$2</f>
        <v>-1.1494252873563229E-2</v>
      </c>
      <c r="T3">
        <f>(Цены!T3-Цены!T$2)/Цены!T$2</f>
        <v>-7.0521861777150911E-3</v>
      </c>
      <c r="U3">
        <f>(Цены!U3-Цены!U$2)/Цены!U$2</f>
        <v>-2.6548672566371681E-2</v>
      </c>
      <c r="V3">
        <f>(Цены!V3-Цены!V$2)/Цены!V$2</f>
        <v>-9.727626459143969E-3</v>
      </c>
      <c r="W3">
        <f>(Цены!W3-Цены!W$2)/Цены!W$2</f>
        <v>1.0078951789014325E-3</v>
      </c>
      <c r="X3">
        <f>(Цены!X3-Цены!X$2)/Цены!X$2</f>
        <v>-4.2749095692206883E-3</v>
      </c>
      <c r="Y3">
        <f>(Цены!Y3-Цены!Y$2)/Цены!Y$2</f>
        <v>1.776042322710655E-2</v>
      </c>
      <c r="Z3">
        <f>(Цены!Z3-Цены!Z$2)/Цены!Z$2</f>
        <v>3.0731407498463454E-3</v>
      </c>
      <c r="AA3">
        <f>(Цены!AA3-Цены!AA$2)/Цены!AA$2</f>
        <v>-1.9963702359346615E-2</v>
      </c>
      <c r="AB3">
        <f>(Цены!AB3-Цены!AB$2)/Цены!AB$2</f>
        <v>1.6411997736276173E-2</v>
      </c>
      <c r="AC3">
        <f>(Цены!AD3-Цены!AD$2)/Цены!AD$2</f>
        <v>1.42307692307692E-2</v>
      </c>
      <c r="AD3">
        <f>(Цены!AE3-Цены!AE$2)/Цены!AE$2</f>
        <v>3.0120481927710843E-2</v>
      </c>
      <c r="AE3">
        <f>(Цены!AF3-Цены!AF$2)/Цены!AF$2</f>
        <v>1.540832049306684E-3</v>
      </c>
      <c r="AF3">
        <f>(Цены!AG3-Цены!AG$2)/Цены!AG$2</f>
        <v>0</v>
      </c>
      <c r="AG3">
        <f>(Цены!AH3-Цены!AH$2)/Цены!AH$2</f>
        <v>-1.8227305218012947E-2</v>
      </c>
      <c r="AH3">
        <f>(Цены!AI3-Цены!AI$2)/Цены!AI$2</f>
        <v>-4.3763676148796862E-3</v>
      </c>
      <c r="AI3">
        <f>(Цены!AJ3-Цены!AJ$2)/Цены!AJ$2</f>
        <v>-1.2284196547144754E-2</v>
      </c>
      <c r="AJ3">
        <f>(Цены!AK3-Цены!AK$2)/Цены!AK$2</f>
        <v>1.2679991403395695E-2</v>
      </c>
      <c r="AK3">
        <f>(Цены!AL3-Цены!AL$2)/Цены!AL$2</f>
        <v>-9.2307692307691432E-3</v>
      </c>
      <c r="AL3">
        <f>(Цены!AM3-Цены!AM$2)/Цены!AM$2</f>
        <v>-3.5428571428571427E-2</v>
      </c>
      <c r="AM3">
        <f>(Цены!AN3-Цены!AN$2)/Цены!AN$2</f>
        <v>0</v>
      </c>
      <c r="AN3">
        <f>(Цены!AO3-Цены!AO$2)/Цены!AO$2</f>
        <v>-2.0576131687243091E-3</v>
      </c>
      <c r="AO3">
        <f>(Цены!AP3-Цены!AP$2)/Цены!AP$2</f>
        <v>-6.5093572009764034E-3</v>
      </c>
      <c r="AP3">
        <f>(Цены!AQ3-Цены!AQ$2)/Цены!AQ$2</f>
        <v>-1.282051282051282E-2</v>
      </c>
      <c r="AQ3">
        <f>(Цены!AR3-Цены!AR$2)/Цены!AR$2</f>
        <v>-1.1162790697674445E-2</v>
      </c>
      <c r="AR3">
        <f>(Цены!AS3-Цены!AS$2)/Цены!AS$2</f>
        <v>-7.6271186440678446E-3</v>
      </c>
      <c r="AS3">
        <f>(Цены!AU3-Цены!AU$2)/Цены!AU$2</f>
        <v>-9.8619329388568554E-4</v>
      </c>
      <c r="AT3">
        <f>(Цены!AV3-Цены!AV$2)/Цены!AV$2</f>
        <v>3.4247803478572647E-2</v>
      </c>
      <c r="AU3">
        <f>(Цены!AW3-Цены!AW$2)/Цены!AW$2</f>
        <v>2.5706940874036011E-2</v>
      </c>
      <c r="AV3">
        <f>(Цены!AX3-Цены!AX$2)/Цены!AX$2</f>
        <v>-1.3458950201884253E-3</v>
      </c>
    </row>
    <row r="4" spans="1:48" x14ac:dyDescent="0.2">
      <c r="A4" s="1" t="s">
        <v>70</v>
      </c>
      <c r="B4" s="2">
        <v>2</v>
      </c>
      <c r="C4">
        <f>(Цены!B4-Цены!B$2)/Цены!B$2</f>
        <v>-2.3904340161627739E-2</v>
      </c>
      <c r="D4">
        <f>(Цены!C4-Цены!C$2)/Цены!C$2</f>
        <v>-4.7492173449676919E-2</v>
      </c>
      <c r="E4">
        <f>(Цены!D4-Цены!D$2)/Цены!D$2</f>
        <v>-4.2738589211618307E-2</v>
      </c>
      <c r="F4">
        <f>(Цены!E4-Цены!E$2)/Цены!E$2</f>
        <v>-1.5861571737563085E-2</v>
      </c>
      <c r="G4">
        <f>(Цены!F4-Цены!F$2)/Цены!F$2</f>
        <v>1.6049382716049382E-3</v>
      </c>
      <c r="H4">
        <f>(Цены!G4-Цены!G$2)/Цены!G$2</f>
        <v>-1.907614693362748E-2</v>
      </c>
      <c r="I4">
        <f>(Цены!H4-Цены!H$2)/Цены!H$2</f>
        <v>-3.9268013724742701E-2</v>
      </c>
      <c r="J4">
        <f>(Цены!J4-Цены!J$2)/Цены!J$2</f>
        <v>1.5694444444444382E-2</v>
      </c>
      <c r="K4">
        <f>(Цены!K4-Цены!K$2)/Цены!K$2</f>
        <v>-5.5555555555555185E-3</v>
      </c>
      <c r="L4">
        <f>(Цены!L4-Цены!L$2)/Цены!L$2</f>
        <v>1.6216031826574058E-2</v>
      </c>
      <c r="M4">
        <f>(Цены!M4-Цены!M$2)/Цены!M$2</f>
        <v>-2.8741328047571853E-2</v>
      </c>
      <c r="N4">
        <f>(Цены!N4-Цены!N$2)/Цены!N$2</f>
        <v>1.2717852096090384E-2</v>
      </c>
      <c r="O4">
        <f>(Цены!O4-Цены!O$2)/Цены!O$2</f>
        <v>-4.7021943573667714E-2</v>
      </c>
      <c r="P4">
        <f>(Цены!P4-Цены!P$2)/Цены!P$2</f>
        <v>-4.0113563513142186E-2</v>
      </c>
      <c r="Q4">
        <f>(Цены!Q4-Цены!Q$2)/Цены!Q$2</f>
        <v>-5.6054072951870433E-2</v>
      </c>
      <c r="R4">
        <f>(Цены!R4-Цены!R$2)/Цены!R$2</f>
        <v>-5.8445992079748675E-2</v>
      </c>
      <c r="S4">
        <f>(Цены!S4-Цены!S$2)/Цены!S$2</f>
        <v>-1.915708812260538E-2</v>
      </c>
      <c r="T4">
        <f>(Цены!T4-Цены!T$2)/Цены!T$2</f>
        <v>-8.4626234132582304E-3</v>
      </c>
      <c r="U4">
        <f>(Цены!U4-Цены!U$2)/Цены!U$2</f>
        <v>-4.026548672566372E-2</v>
      </c>
      <c r="V4">
        <f>(Цены!V4-Цены!V$2)/Цены!V$2</f>
        <v>-1.7898832684824936E-2</v>
      </c>
      <c r="W4">
        <f>(Цены!W4-Цены!W$2)/Цены!W$2</f>
        <v>-1.2262724676633696E-2</v>
      </c>
      <c r="X4">
        <f>(Цены!X4-Цены!X$2)/Цены!X$2</f>
        <v>2.9595527786911448E-3</v>
      </c>
      <c r="Y4">
        <f>(Цены!Y4-Цены!Y$2)/Цены!Y$2</f>
        <v>5.1643783851869013E-3</v>
      </c>
      <c r="Z4">
        <f>(Цены!Z4-Цены!Z$2)/Цены!Z$2</f>
        <v>-1.6594960049170299E-2</v>
      </c>
      <c r="AA4">
        <f>(Цены!AA4-Цены!AA$2)/Цены!AA$2</f>
        <v>-1.4778325123152681E-2</v>
      </c>
      <c r="AB4">
        <f>(Цены!AB4-Цены!AB$2)/Цены!AB$2</f>
        <v>4.5274476513865311E-3</v>
      </c>
      <c r="AC4">
        <f>(Цены!AD4-Цены!AD$2)/Цены!AD$2</f>
        <v>1.0769230769230779E-2</v>
      </c>
      <c r="AD4">
        <f>(Цены!AE4-Цены!AE$2)/Цены!AE$2</f>
        <v>6.3253012048192767E-2</v>
      </c>
      <c r="AE4">
        <f>(Цены!AF4-Цены!AF$2)/Цены!AF$2</f>
        <v>2.5680534155110429E-3</v>
      </c>
      <c r="AF4">
        <f>(Цены!AG4-Цены!AG$2)/Цены!AG$2</f>
        <v>-1.8518518518518517E-2</v>
      </c>
      <c r="AG4">
        <f>(Цены!AH4-Цены!AH$2)/Цены!AH$2</f>
        <v>-6.862044317369545E-2</v>
      </c>
      <c r="AH4">
        <f>(Цены!AI4-Цены!AI$2)/Цены!AI$2</f>
        <v>1.4587892049598521E-3</v>
      </c>
      <c r="AI4">
        <f>(Цены!AJ4-Цены!AJ$2)/Цены!AJ$2</f>
        <v>-2.6228419654714476E-2</v>
      </c>
      <c r="AJ4">
        <f>(Цены!AK4-Цены!AK$2)/Цены!AK$2</f>
        <v>-1.0101010101010039E-2</v>
      </c>
      <c r="AK4">
        <f>(Цены!AL4-Цены!AL$2)/Цены!AL$2</f>
        <v>-1.5384615384615385E-2</v>
      </c>
      <c r="AL4">
        <f>(Цены!AM4-Цены!AM$2)/Цены!AM$2</f>
        <v>-0.11428571428571428</v>
      </c>
      <c r="AM4">
        <f>(Цены!AN4-Цены!AN$2)/Цены!AN$2</f>
        <v>-6.2283737024221453E-3</v>
      </c>
      <c r="AN4">
        <f>(Цены!AO4-Цены!AO$2)/Цены!AO$2</f>
        <v>1.4403292181069871E-2</v>
      </c>
      <c r="AO4">
        <f>(Цены!AP4-Цены!AP$2)/Цены!AP$2</f>
        <v>-1.5459723352318959E-2</v>
      </c>
      <c r="AP4">
        <f>(Цены!AQ4-Цены!AQ$2)/Цены!AQ$2</f>
        <v>3.663003663003663E-3</v>
      </c>
      <c r="AQ4">
        <f>(Цены!AR4-Цены!AR$2)/Цены!AR$2</f>
        <v>-5.5813953488371565E-3</v>
      </c>
      <c r="AR4">
        <f>(Цены!AS4-Цены!AS$2)/Цены!AS$2</f>
        <v>-3.2203389830508453E-2</v>
      </c>
      <c r="AS4">
        <f>(Цены!AU4-Цены!AU$2)/Цены!AU$2</f>
        <v>-3.944773175542462E-3</v>
      </c>
      <c r="AT4">
        <f>(Цены!AV4-Цены!AV$2)/Цены!AV$2</f>
        <v>-3.1378877532723684E-2</v>
      </c>
      <c r="AU4">
        <f>(Цены!AW4-Цены!AW$2)/Цены!AW$2</f>
        <v>-2.4421593830334209E-2</v>
      </c>
      <c r="AV4">
        <f>(Цены!AX4-Цены!AX$2)/Цены!AX$2</f>
        <v>2.018842530282638E-3</v>
      </c>
    </row>
    <row r="5" spans="1:48" x14ac:dyDescent="0.2">
      <c r="A5" s="1" t="s">
        <v>71</v>
      </c>
      <c r="B5" s="2">
        <v>3</v>
      </c>
      <c r="C5">
        <f>(Цены!B5-Цены!B$2)/Цены!B$2</f>
        <v>-3.4789257383159695E-2</v>
      </c>
      <c r="D5">
        <f>(Цены!C5-Цены!C$2)/Цены!C$2</f>
        <v>-7.4135749017518127E-2</v>
      </c>
      <c r="E5">
        <f>(Цены!D5-Цены!D$2)/Цены!D$2</f>
        <v>-4.1576763485477224E-2</v>
      </c>
      <c r="F5">
        <f>(Цены!E5-Цены!E$2)/Цены!E$2</f>
        <v>-2.2350396539293438E-2</v>
      </c>
      <c r="G5">
        <f>(Цены!F5-Цены!F$2)/Цены!F$2</f>
        <v>-1.0987654320987654E-2</v>
      </c>
      <c r="H5">
        <f>(Цены!G5-Цены!G$2)/Цены!G$2</f>
        <v>-2.6170581743654282E-2</v>
      </c>
      <c r="I5">
        <f>(Цены!H5-Цены!H$2)/Цены!H$2</f>
        <v>-5.413648494090742E-2</v>
      </c>
      <c r="J5">
        <f>(Цены!J5-Цены!J$2)/Цены!J$2</f>
        <v>1.3888888888888888E-2</v>
      </c>
      <c r="K5">
        <f>(Цены!K5-Цены!K$2)/Цены!K$2</f>
        <v>-1.4379084967320188E-2</v>
      </c>
      <c r="L5">
        <f>(Цены!L5-Цены!L$2)/Цены!L$2</f>
        <v>1.4838756443985904E-3</v>
      </c>
      <c r="M5">
        <f>(Цены!M5-Цены!M$2)/Цены!M$2</f>
        <v>-4.5589692765113973E-2</v>
      </c>
      <c r="N5">
        <f>(Цены!N5-Цены!N$2)/Цены!N$2</f>
        <v>-3.2218558643429124E-2</v>
      </c>
      <c r="O5">
        <f>(Цены!O5-Цены!O$2)/Цены!O$2</f>
        <v>-3.5736677115987367E-2</v>
      </c>
      <c r="P5">
        <f>(Цены!P5-Цены!P$2)/Цены!P$2</f>
        <v>-7.0061360930488065E-2</v>
      </c>
      <c r="Q5">
        <f>(Цены!Q5-Цены!Q$2)/Цены!Q$2</f>
        <v>-5.7219438293905099E-2</v>
      </c>
      <c r="R5">
        <f>(Цены!R5-Цены!R$2)/Цены!R$2</f>
        <v>-4.7931175747644286E-2</v>
      </c>
      <c r="S5">
        <f>(Цены!S5-Цены!S$2)/Цены!S$2</f>
        <v>-2.0689655172413852E-2</v>
      </c>
      <c r="T5">
        <f>(Цены!T5-Цены!T$2)/Цены!T$2</f>
        <v>-2.2425952045134038E-2</v>
      </c>
      <c r="U5">
        <f>(Цены!U5-Цены!U$2)/Цены!U$2</f>
        <v>-2.5221238938053097E-2</v>
      </c>
      <c r="V5">
        <f>(Цены!V5-Цены!V$2)/Цены!V$2</f>
        <v>-5.8365758754863814E-2</v>
      </c>
      <c r="W5">
        <f>(Цены!W5-Цены!W$2)/Цены!W$2</f>
        <v>-3.1748698135393931E-2</v>
      </c>
      <c r="X5">
        <f>(Цены!X5-Цены!X$2)/Цены!X$2</f>
        <v>-4.6037487668530087E-2</v>
      </c>
      <c r="Y5">
        <f>(Цены!Y5-Цены!Y$2)/Цены!Y$2</f>
        <v>-1.7886383675526012E-2</v>
      </c>
      <c r="Z5">
        <f>(Цены!Z5-Цены!Z$2)/Цены!Z$2</f>
        <v>-4.8555623847572324E-2</v>
      </c>
      <c r="AA5">
        <f>(Цены!AA5-Цены!AA$2)/Цены!AA$2</f>
        <v>-5.5224267565465418E-2</v>
      </c>
      <c r="AB5">
        <f>(Цены!AB5-Цены!AB$2)/Цены!AB$2</f>
        <v>-1.5280135823429542E-2</v>
      </c>
      <c r="AC5">
        <f>(Цены!AD5-Цены!AD$2)/Цены!AD$2</f>
        <v>-8.461538461538555E-3</v>
      </c>
      <c r="AD5">
        <f>(Цены!AE5-Цены!AE$2)/Цены!AE$2</f>
        <v>3.313253012048193E-2</v>
      </c>
      <c r="AE5">
        <f>(Цены!AF5-Цены!AF$2)/Цены!AF$2</f>
        <v>4.8793014894710687E-3</v>
      </c>
      <c r="AF5">
        <f>(Цены!AG5-Цены!AG$2)/Цены!AG$2</f>
        <v>-4.7530864197530796E-2</v>
      </c>
      <c r="AG5">
        <f>(Цены!AH5-Цены!AH$2)/Цены!AH$2</f>
        <v>-8.1486776268763439E-2</v>
      </c>
      <c r="AH5">
        <f>(Цены!AI5-Цены!AI$2)/Цены!AI$2</f>
        <v>-2.0423048869438448E-2</v>
      </c>
      <c r="AI5">
        <f>(Цены!AJ5-Цены!AJ$2)/Цены!AJ$2</f>
        <v>-3.1540504648074369E-2</v>
      </c>
      <c r="AJ5">
        <f>(Цены!AK5-Цены!AK$2)/Цены!AK$2</f>
        <v>-7.3071136900923726E-3</v>
      </c>
      <c r="AK5">
        <f>(Цены!AL5-Цены!AL$2)/Цены!AL$2</f>
        <v>-2.7692307692307648E-2</v>
      </c>
      <c r="AL5">
        <f>(Цены!AM5-Цены!AM$2)/Цены!AM$2</f>
        <v>-8.5714285714285715E-2</v>
      </c>
      <c r="AM5">
        <f>(Цены!AN5-Цены!AN$2)/Цены!AN$2</f>
        <v>-2.7681660899653978E-3</v>
      </c>
      <c r="AN5">
        <f>(Цены!AO5-Цены!AO$2)/Цены!AO$2</f>
        <v>6.1728395061727811E-3</v>
      </c>
      <c r="AO5">
        <f>(Цены!AP5-Цены!AP$2)/Цены!AP$2</f>
        <v>8.9503661513425543E-3</v>
      </c>
      <c r="AP5">
        <f>(Цены!AQ5-Цены!AQ$2)/Цены!AQ$2</f>
        <v>-3.663003663003663E-3</v>
      </c>
      <c r="AQ5">
        <f>(Цены!AR5-Цены!AR$2)/Цены!AR$2</f>
        <v>-3.255813953488372E-2</v>
      </c>
      <c r="AR5">
        <f>(Цены!AS5-Цены!AS$2)/Цены!AS$2</f>
        <v>-5.7627118644067769E-2</v>
      </c>
      <c r="AS5">
        <f>(Цены!AU5-Цены!AU$2)/Цены!AU$2</f>
        <v>-1.2820512820512931E-2</v>
      </c>
      <c r="AT5">
        <f>(Цены!AV5-Цены!AV$2)/Цены!AV$2</f>
        <v>-2.2772099695176674E-2</v>
      </c>
      <c r="AU5">
        <f>(Цены!AW5-Цены!AW$2)/Цены!AW$2</f>
        <v>-4.5501285347043681E-2</v>
      </c>
      <c r="AV5">
        <f>(Цены!AX5-Цены!AX$2)/Цены!AX$2</f>
        <v>-6.7294751009421266E-4</v>
      </c>
    </row>
    <row r="6" spans="1:48" x14ac:dyDescent="0.2">
      <c r="A6" s="1" t="s">
        <v>72</v>
      </c>
      <c r="B6" s="2">
        <v>4</v>
      </c>
      <c r="C6">
        <f>(Цены!B6-Цены!B$2)/Цены!B$2</f>
        <v>-3.2086612082789005E-2</v>
      </c>
      <c r="D6">
        <f>(Цены!C6-Цены!C$2)/Цены!C$2</f>
        <v>-5.6617598081662564E-2</v>
      </c>
      <c r="E6">
        <f>(Цены!D6-Цены!D$2)/Цены!D$2</f>
        <v>-3.7178423236514553E-2</v>
      </c>
      <c r="F6">
        <f>(Цены!E6-Цены!E$2)/Цены!E$2</f>
        <v>-3.2083633741888967E-2</v>
      </c>
      <c r="G6">
        <f>(Цены!F6-Цены!F$2)/Цены!F$2</f>
        <v>6.6666666666666671E-3</v>
      </c>
      <c r="H6">
        <f>(Цены!G6-Цены!G$2)/Цены!G$2</f>
        <v>-2.7431814598770265E-2</v>
      </c>
      <c r="I6">
        <f>(Цены!H6-Цены!H$2)/Цены!H$2</f>
        <v>-5.1086542127335106E-2</v>
      </c>
      <c r="J6">
        <f>(Цены!J6-Цены!J$2)/Цены!J$2</f>
        <v>-2.7499999999999938E-2</v>
      </c>
      <c r="K6">
        <f>(Цены!K6-Цены!K$2)/Цены!K$2</f>
        <v>1.6339869281045752E-3</v>
      </c>
      <c r="L6">
        <f>(Цены!L6-Цены!L$2)/Цены!L$2</f>
        <v>-2.436881984982217E-3</v>
      </c>
      <c r="M6">
        <f>(Цены!M6-Цены!M$2)/Цены!M$2</f>
        <v>-5.8473736372646183E-2</v>
      </c>
      <c r="N6">
        <f>(Цены!N6-Цены!N$2)/Цены!N$2</f>
        <v>-2.8544512482336325E-2</v>
      </c>
      <c r="O6">
        <f>(Цены!O6-Цены!O$2)/Цены!O$2</f>
        <v>-7.3855799373040695E-2</v>
      </c>
      <c r="P6">
        <f>(Цены!P6-Цены!P$2)/Цены!P$2</f>
        <v>-5.7148090484476555E-2</v>
      </c>
      <c r="Q6">
        <f>(Цены!Q6-Цены!Q$2)/Цены!Q$2</f>
        <v>-3.1348327700734153E-2</v>
      </c>
      <c r="R6">
        <f>(Цены!R6-Цены!R$2)/Цены!R$2</f>
        <v>-2.0893076607947501E-2</v>
      </c>
      <c r="S6">
        <f>(Цены!S6-Цены!S$2)/Цены!S$2</f>
        <v>-2.0689655172413852E-2</v>
      </c>
      <c r="T6">
        <f>(Цены!T6-Цены!T$2)/Цены!T$2</f>
        <v>2.3977433004229547E-3</v>
      </c>
      <c r="U6">
        <f>(Цены!U6-Цены!U$2)/Цены!U$2</f>
        <v>-2.3008849557522124E-2</v>
      </c>
      <c r="V6">
        <f>(Цены!V6-Цены!V$2)/Цены!V$2</f>
        <v>-2.8015564202334586E-2</v>
      </c>
      <c r="W6">
        <f>(Цены!W6-Цены!W$2)/Цены!W$2</f>
        <v>-1.2934654795901279E-2</v>
      </c>
      <c r="X6">
        <f>(Цены!X6-Цены!X$2)/Цены!X$2</f>
        <v>-4.0447221308780042E-2</v>
      </c>
      <c r="Y6">
        <f>(Цены!Y6-Цены!Y$2)/Цены!Y$2</f>
        <v>-4.9124574883486769E-3</v>
      </c>
      <c r="Z6">
        <f>(Цены!Z6-Цены!Z$2)/Цены!Z$2</f>
        <v>-4.1180086047941065E-2</v>
      </c>
      <c r="AA6">
        <f>(Цены!AA6-Цены!AA$2)/Цены!AA$2</f>
        <v>-9.437386569872952E-2</v>
      </c>
      <c r="AB6">
        <f>(Цены!AB6-Цены!AB$2)/Цены!AB$2</f>
        <v>-5.6593095642331638E-4</v>
      </c>
      <c r="AC6">
        <f>(Цены!AD6-Цены!AD$2)/Цены!AD$2</f>
        <v>-9.6153846153845812E-3</v>
      </c>
      <c r="AD6">
        <f>(Цены!AE6-Цены!AE$2)/Цены!AE$2</f>
        <v>5.8734939759036146E-2</v>
      </c>
      <c r="AE6">
        <f>(Цены!AF6-Цены!AF$2)/Цены!AF$2</f>
        <v>-7.7041602465319605E-4</v>
      </c>
      <c r="AF6">
        <f>(Цены!AG6-Цены!AG$2)/Цены!AG$2</f>
        <v>-7.4444444444444452E-2</v>
      </c>
      <c r="AG6">
        <f>(Цены!AH6-Цены!AH$2)/Цены!AH$2</f>
        <v>-0.1283059328091494</v>
      </c>
      <c r="AH6">
        <f>(Цены!AI6-Цены!AI$2)/Цены!AI$2</f>
        <v>-1.2399708242159132E-2</v>
      </c>
      <c r="AI6">
        <f>(Цены!AJ6-Цены!AJ$2)/Цены!AJ$2</f>
        <v>-2.6228419654714476E-2</v>
      </c>
      <c r="AJ6">
        <f>(Цены!AK6-Цены!AK$2)/Цены!AK$2</f>
        <v>-7.1781646249731282E-2</v>
      </c>
      <c r="AK6">
        <f>(Цены!AL6-Цены!AL$2)/Цены!AL$2</f>
        <v>-2.076923076923079E-2</v>
      </c>
      <c r="AL6">
        <f>(Цены!AM6-Цены!AM$2)/Цены!AM$2</f>
        <v>-1.1428571428571429E-2</v>
      </c>
      <c r="AM6">
        <f>(Цены!AN6-Цены!AN$2)/Цены!AN$2</f>
        <v>-6.9204152249134946E-4</v>
      </c>
      <c r="AN6">
        <f>(Цены!AO6-Цены!AO$2)/Цены!AO$2</f>
        <v>-1.2345679012345708E-2</v>
      </c>
      <c r="AO6">
        <f>(Цены!AP6-Цены!AP$2)/Цены!AP$2</f>
        <v>-2.1969080553295363E-2</v>
      </c>
      <c r="AP6">
        <f>(Цены!AQ6-Цены!AQ$2)/Цены!AQ$2</f>
        <v>7.326007326007326E-3</v>
      </c>
      <c r="AQ6">
        <f>(Цены!AR6-Цены!AR$2)/Цены!AR$2</f>
        <v>-3.9069767441860491E-2</v>
      </c>
      <c r="AR6">
        <f>(Цены!AS6-Цены!AS$2)/Цены!AS$2</f>
        <v>-1.6949152542372881E-2</v>
      </c>
      <c r="AS6">
        <f>(Цены!AU6-Цены!AU$2)/Цены!AU$2</f>
        <v>-1.5779092702169709E-2</v>
      </c>
      <c r="AT6">
        <f>(Цены!AV6-Цены!AV$2)/Цены!AV$2</f>
        <v>-5.7019903173749317E-2</v>
      </c>
      <c r="AU6">
        <f>(Цены!AW6-Цены!AW$2)/Цены!AW$2</f>
        <v>-1.9280205655527009E-2</v>
      </c>
      <c r="AV6">
        <f>(Цены!AX6-Цены!AX$2)/Цены!AX$2</f>
        <v>-6.7294751009421266E-4</v>
      </c>
    </row>
    <row r="7" spans="1:48" x14ac:dyDescent="0.2">
      <c r="A7" s="1" t="s">
        <v>73</v>
      </c>
      <c r="B7" s="2">
        <v>5</v>
      </c>
      <c r="C7">
        <f>(Цены!B7-Цены!B$2)/Цены!B$2</f>
        <v>-1.7819405949005461E-2</v>
      </c>
      <c r="D7">
        <f>(Цены!C7-Цены!C$2)/Цены!C$2</f>
        <v>-3.4170385665756316E-2</v>
      </c>
      <c r="E7">
        <f>(Цены!D7-Цены!D$2)/Цены!D$2</f>
        <v>-2.6307053941908728E-2</v>
      </c>
      <c r="F7">
        <f>(Цены!E7-Цены!E$2)/Цены!E$2</f>
        <v>1.9826964671953856E-3</v>
      </c>
      <c r="G7">
        <f>(Цены!F7-Цены!F$2)/Цены!F$2</f>
        <v>1.8518518518518517E-2</v>
      </c>
      <c r="H7">
        <f>(Цены!G7-Цены!G$2)/Цены!G$2</f>
        <v>-1.1981712123600677E-2</v>
      </c>
      <c r="I7">
        <f>(Цены!H7-Цены!H$2)/Цены!H$2</f>
        <v>-5.2611513534121197E-2</v>
      </c>
      <c r="J7">
        <f>(Цены!J7-Цены!J$2)/Цены!J$2</f>
        <v>2.3750000000000032E-2</v>
      </c>
      <c r="K7">
        <f>(Цены!K7-Цены!K$2)/Цены!K$2</f>
        <v>1.6339869281045753E-2</v>
      </c>
      <c r="L7">
        <f>(Цены!L7-Цены!L$2)/Цены!L$2</f>
        <v>1.1023533073797213E-2</v>
      </c>
      <c r="M7">
        <f>(Цены!M7-Цены!M$2)/Цены!M$2</f>
        <v>-5.0941526263627329E-2</v>
      </c>
      <c r="N7">
        <f>(Цены!N7-Цены!N$2)/Цены!N$2</f>
        <v>7.0654733867169094E-3</v>
      </c>
      <c r="O7">
        <f>(Цены!O7-Цены!O$2)/Цены!O$2</f>
        <v>-9.7053291536050162E-2</v>
      </c>
      <c r="P7">
        <f>(Цены!P7-Цены!P$2)/Цены!P$2</f>
        <v>-4.4875904386848534E-2</v>
      </c>
      <c r="Q7">
        <f>(Цены!Q7-Цены!Q$2)/Цены!Q$2</f>
        <v>-3.3096375713786312E-2</v>
      </c>
      <c r="R7">
        <f>(Цены!R7-Цены!R$2)/Цены!R$2</f>
        <v>-6.5683463061586664E-2</v>
      </c>
      <c r="S7">
        <f>(Цены!S7-Цены!S$2)/Цены!S$2</f>
        <v>-3.1126436781609059E-2</v>
      </c>
      <c r="T7">
        <f>(Цены!T7-Цены!T$2)/Цены!T$2</f>
        <v>-1.2693935119887244E-2</v>
      </c>
      <c r="U7">
        <f>(Цены!U7-Цены!U$2)/Цены!U$2</f>
        <v>-6.6371681415929203E-3</v>
      </c>
      <c r="V7">
        <f>(Цены!V7-Цены!V$2)/Цены!V$2</f>
        <v>1.7120622568093435E-2</v>
      </c>
      <c r="W7">
        <f>(Цены!W7-Цены!W$2)/Цены!W$2</f>
        <v>-1.5286410213337875E-2</v>
      </c>
      <c r="X7">
        <f>(Цены!X7-Цены!X$2)/Цены!X$2</f>
        <v>-3.0253206182177063E-2</v>
      </c>
      <c r="Y7">
        <f>(Цены!Y7-Цены!Y$2)/Цены!Y$2</f>
        <v>-2.393248519964733E-2</v>
      </c>
      <c r="Z7">
        <f>(Цены!Z7-Цены!Z$2)/Цены!Z$2</f>
        <v>-5.2858020897357243E-2</v>
      </c>
      <c r="AA7">
        <f>(Цены!AA7-Цены!AA$2)/Цены!AA$2</f>
        <v>-5.8854031630801114E-2</v>
      </c>
      <c r="AB7">
        <f>(Цены!AB7-Цены!AB$2)/Цены!AB$2</f>
        <v>-9.9037917374080367E-2</v>
      </c>
      <c r="AC7">
        <f>(Цены!AD7-Цены!AD$2)/Цены!AD$2</f>
        <v>-2.0769230769230873E-2</v>
      </c>
      <c r="AD7">
        <f>(Цены!AE7-Цены!AE$2)/Цены!AE$2</f>
        <v>9.036144578313253E-2</v>
      </c>
      <c r="AE7">
        <f>(Цены!AF7-Цены!AF$2)/Цены!AF$2</f>
        <v>2.8248587570622054E-3</v>
      </c>
      <c r="AF7">
        <f>(Цены!AG7-Цены!AG$2)/Цены!AG$2</f>
        <v>-8.2716049382716081E-2</v>
      </c>
      <c r="AG7">
        <f>(Цены!AH7-Цены!AH$2)/Цены!AH$2</f>
        <v>-9.7927090779127965E-2</v>
      </c>
      <c r="AH7">
        <f>(Цены!AI7-Цены!AI$2)/Цены!AI$2</f>
        <v>-8.0233406272794457E-3</v>
      </c>
      <c r="AI7">
        <f>(Цены!AJ7-Цены!AJ$2)/Цены!AJ$2</f>
        <v>-1.8924302788844622E-2</v>
      </c>
      <c r="AJ7">
        <f>(Цены!AK7-Цены!AK$2)/Цены!AK$2</f>
        <v>-6.877283473028141E-2</v>
      </c>
      <c r="AK7">
        <f>(Цены!AL7-Цены!AL$2)/Цены!AL$2</f>
        <v>-2.3076923076923078E-2</v>
      </c>
      <c r="AL7">
        <f>(Цены!AM7-Цены!AM$2)/Цены!AM$2</f>
        <v>-1.7142857142857144E-2</v>
      </c>
      <c r="AM7">
        <f>(Цены!AN7-Цены!AN$2)/Цены!AN$2</f>
        <v>4.1522491349480972E-3</v>
      </c>
      <c r="AN7">
        <f>(Цены!AO7-Цены!AO$2)/Цены!AO$2</f>
        <v>-2.0576131687243091E-3</v>
      </c>
      <c r="AO7">
        <f>(Цены!AP7-Цены!AP$2)/Цены!AP$2</f>
        <v>2.5223759153783564E-2</v>
      </c>
      <c r="AP7">
        <f>(Цены!AQ7-Цены!AQ$2)/Цены!AQ$2</f>
        <v>1.282051282051282E-2</v>
      </c>
      <c r="AQ7">
        <f>(Цены!AR7-Цены!AR$2)/Цены!AR$2</f>
        <v>-3.255813953488372E-2</v>
      </c>
      <c r="AR7">
        <f>(Цены!AS7-Цены!AS$2)/Цены!AS$2</f>
        <v>-1.8644067796610195E-2</v>
      </c>
      <c r="AS7">
        <f>(Цены!AU7-Цены!AU$2)/Цены!AU$2</f>
        <v>-1.1834319526627246E-2</v>
      </c>
      <c r="AT7">
        <f>(Цены!AV7-Цены!AV$2)/Цены!AV$2</f>
        <v>-1.6137708445400856E-2</v>
      </c>
      <c r="AU7">
        <f>(Цены!AW7-Цены!AW$2)/Цены!AW$2</f>
        <v>-2.6992287917737813E-2</v>
      </c>
      <c r="AV7">
        <f>(Цены!AX7-Цены!AX$2)/Цены!AX$2</f>
        <v>3.3647375504710633E-3</v>
      </c>
    </row>
    <row r="8" spans="1:48" x14ac:dyDescent="0.2">
      <c r="A8" s="1" t="s">
        <v>74</v>
      </c>
      <c r="B8" s="2">
        <v>6</v>
      </c>
      <c r="C8">
        <f>(Цены!B8-Цены!B$2)/Цены!B$2</f>
        <v>-1.3476058491828286E-2</v>
      </c>
      <c r="D8">
        <f>(Цены!C8-Цены!C$2)/Цены!C$2</f>
        <v>-3.4836475054952305E-2</v>
      </c>
      <c r="E8">
        <f>(Цены!D8-Цены!D$2)/Цены!D$2</f>
        <v>-2.5394190871369314E-2</v>
      </c>
      <c r="F8">
        <f>(Цены!E8-Цены!E$2)/Цены!E$2</f>
        <v>-1.8024513338139869E-3</v>
      </c>
      <c r="G8">
        <f>(Цены!F8-Цены!F$2)/Цены!F$2</f>
        <v>2.6049382716049382E-2</v>
      </c>
      <c r="H8">
        <f>(Цены!G8-Цены!G$2)/Цены!G$2</f>
        <v>-2.285984549897525E-2</v>
      </c>
      <c r="I8">
        <f>(Цены!H8-Цены!H$2)/Цены!H$2</f>
        <v>-1.6965306900495625E-2</v>
      </c>
      <c r="J8">
        <f>(Цены!J8-Цены!J$2)/Цены!J$2</f>
        <v>2.5000000000000001E-2</v>
      </c>
      <c r="K8">
        <f>(Цены!K8-Цены!K$2)/Цены!K$2</f>
        <v>3.2679738562091505E-2</v>
      </c>
      <c r="L8">
        <f>(Цены!L8-Цены!L$2)/Цены!L$2</f>
        <v>1.8866114335176761E-2</v>
      </c>
      <c r="M8">
        <f>(Цены!M8-Цены!M$2)/Цены!M$2</f>
        <v>-3.6868186323092217E-2</v>
      </c>
      <c r="N8">
        <f>(Цены!N8-Цены!N$2)/Цены!N$2</f>
        <v>-1.0362694300518215E-2</v>
      </c>
      <c r="O8">
        <f>(Цены!O8-Цены!O$2)/Цены!O$2</f>
        <v>-7.7868338557993674E-2</v>
      </c>
      <c r="P8">
        <f>(Цены!P8-Цены!P$2)/Цены!P$2</f>
        <v>-4.0113563513142186E-2</v>
      </c>
      <c r="Q8">
        <f>(Цены!Q8-Цены!Q$2)/Цены!Q$2</f>
        <v>-3.1581400769141219E-2</v>
      </c>
      <c r="R8">
        <f>(Цены!R8-Цены!R$2)/Цены!R$2</f>
        <v>-3.8645363921889879E-2</v>
      </c>
      <c r="S8">
        <f>(Цены!S8-Цены!S$2)/Цены!S$2</f>
        <v>-2.0689655172413852E-2</v>
      </c>
      <c r="T8">
        <f>(Цены!T8-Цены!T$2)/Цены!T$2</f>
        <v>-1.2693935119887244E-2</v>
      </c>
      <c r="U8">
        <f>(Цены!U8-Цены!U$2)/Цены!U$2</f>
        <v>2.1238938053097345E-2</v>
      </c>
      <c r="V8">
        <f>(Цены!V8-Цены!V$2)/Цены!V$2</f>
        <v>1.4007782101167293E-2</v>
      </c>
      <c r="W8">
        <f>(Цены!W8-Цены!W$2)/Цены!W$2</f>
        <v>-2.5197379472534616E-3</v>
      </c>
      <c r="X8">
        <f>(Цены!X8-Цены!X$2)/Цены!X$2</f>
        <v>-3.9460703715882929E-2</v>
      </c>
      <c r="Y8">
        <f>(Цены!Y8-Цены!Y$2)/Цены!Y$2</f>
        <v>-3.5142965108955967E-2</v>
      </c>
      <c r="Z8">
        <f>(Цены!Z8-Цены!Z$2)/Цены!Z$2</f>
        <v>-4.8555623847572324E-2</v>
      </c>
      <c r="AA8">
        <f>(Цены!AA8-Цены!AA$2)/Цены!AA$2</f>
        <v>-5.9372569354420479E-2</v>
      </c>
      <c r="AB8">
        <f>(Цены!AB8-Цены!AB$2)/Цены!AB$2</f>
        <v>-0.11148839841539332</v>
      </c>
      <c r="AC8">
        <f>(Цены!AD8-Цены!AD$2)/Цены!AD$2</f>
        <v>-2.346153846153844E-2</v>
      </c>
      <c r="AD8">
        <f>(Цены!AE8-Цены!AE$2)/Цены!AE$2</f>
        <v>9.6385542168674704E-2</v>
      </c>
      <c r="AE8">
        <f>(Цены!AF8-Цены!AF$2)/Цены!AF$2</f>
        <v>5.1361068310232531E-4</v>
      </c>
      <c r="AF8">
        <f>(Цены!AG8-Цены!AG$2)/Цены!AG$2</f>
        <v>-6.8148148148148097E-2</v>
      </c>
      <c r="AG8">
        <f>(Цены!AH8-Цены!AH$2)/Цены!AH$2</f>
        <v>-6.6118656182987845E-2</v>
      </c>
      <c r="AH8">
        <f>(Цены!AI8-Цены!AI$2)/Цены!AI$2</f>
        <v>-1.2399708242159132E-2</v>
      </c>
      <c r="AI8">
        <f>(Цены!AJ8-Цены!AJ$2)/Цены!AJ$2</f>
        <v>5.6440903054448873E-3</v>
      </c>
      <c r="AJ8">
        <f>(Цены!AK8-Цены!AK$2)/Цены!AK$2</f>
        <v>-7.4145712443584741E-2</v>
      </c>
      <c r="AK8">
        <f>(Цены!AL8-Цены!AL$2)/Цены!AL$2</f>
        <v>-3.8461538461538464E-2</v>
      </c>
      <c r="AL8">
        <f>(Цены!AM8-Цены!AM$2)/Цены!AM$2</f>
        <v>-2.7428571428571427E-2</v>
      </c>
      <c r="AM8">
        <f>(Цены!AN8-Цены!AN$2)/Цены!AN$2</f>
        <v>2.3529411764705882E-2</v>
      </c>
      <c r="AN8">
        <f>(Цены!AO8-Цены!AO$2)/Цены!AO$2</f>
        <v>-2.0576131687242798E-2</v>
      </c>
      <c r="AO8">
        <f>(Цены!AP8-Цены!AP$2)/Цены!AP$2</f>
        <v>3.0105777054515868E-2</v>
      </c>
      <c r="AP8">
        <f>(Цены!AQ8-Цены!AQ$2)/Цены!AQ$2</f>
        <v>2.564102564102564E-2</v>
      </c>
      <c r="AQ8">
        <f>(Цены!AR8-Цены!AR$2)/Цены!AR$2</f>
        <v>-2.9767441860465142E-2</v>
      </c>
      <c r="AR8">
        <f>(Цены!AS8-Цены!AS$2)/Цены!AS$2</f>
        <v>-1.4406779661016974E-2</v>
      </c>
      <c r="AS8">
        <f>(Цены!AU8-Цены!AU$2)/Цены!AU$2</f>
        <v>-8.8757396449704699E-3</v>
      </c>
      <c r="AT8">
        <f>(Цены!AV8-Цены!AV$2)/Цены!AV$2</f>
        <v>-7.889546351084898E-3</v>
      </c>
      <c r="AU8">
        <f>(Цены!AW8-Цены!AW$2)/Цены!AW$2</f>
        <v>-1.5424164524421607E-2</v>
      </c>
      <c r="AV8">
        <f>(Цены!AX8-Цены!AX$2)/Цены!AX$2</f>
        <v>-6.7294751009421266E-3</v>
      </c>
    </row>
    <row r="9" spans="1:48" x14ac:dyDescent="0.2">
      <c r="A9" s="1" t="s">
        <v>75</v>
      </c>
      <c r="B9" s="2">
        <v>7</v>
      </c>
      <c r="C9">
        <f>(Цены!B9-Цены!B$2)/Цены!B$2</f>
        <v>-1.7272505230069967E-2</v>
      </c>
      <c r="D9">
        <f>(Цены!C9-Цены!C$2)/Цены!C$2</f>
        <v>-4.4228335442616312E-2</v>
      </c>
      <c r="E9">
        <f>(Цены!D9-Цены!D$2)/Цены!D$2</f>
        <v>-2.0995850622406647E-2</v>
      </c>
      <c r="F9">
        <f>(Цены!E9-Цены!E$2)/Цены!E$2</f>
        <v>-1.6402307137707281E-2</v>
      </c>
      <c r="G9">
        <f>(Цены!F9-Цены!F$2)/Цены!F$2</f>
        <v>2.3456790123456792E-2</v>
      </c>
      <c r="H9">
        <f>(Цены!G9-Цены!G$2)/Цены!G$2</f>
        <v>-3.6733406905249816E-2</v>
      </c>
      <c r="I9">
        <f>(Цены!H9-Цены!H$2)/Цены!H$2</f>
        <v>-2.7830728173846755E-2</v>
      </c>
      <c r="J9">
        <f>(Цены!J9-Цены!J$2)/Цены!J$2</f>
        <v>4.5555555555555495E-2</v>
      </c>
      <c r="K9">
        <f>(Цены!K9-Цены!K$2)/Цены!K$2</f>
        <v>4.0522875816993389E-2</v>
      </c>
      <c r="L9">
        <f>(Цены!L9-Цены!L$2)/Цены!L$2</f>
        <v>6.7840406616038029E-3</v>
      </c>
      <c r="M9">
        <f>(Цены!M9-Цены!M$2)/Цены!M$2</f>
        <v>-4.7175421209117961E-2</v>
      </c>
      <c r="N9">
        <f>(Цены!N9-Цены!N$2)/Цены!N$2</f>
        <v>-2.0536975977390549E-2</v>
      </c>
      <c r="O9">
        <f>(Цены!O9-Цены!O$2)/Цены!O$2</f>
        <v>-5.8808777429467017E-2</v>
      </c>
      <c r="P9">
        <f>(Цены!P9-Цены!P$2)/Цены!P$2</f>
        <v>-3.3336386115944687E-2</v>
      </c>
      <c r="Q9">
        <f>(Цены!Q9-Цены!Q$2)/Цены!Q$2</f>
        <v>-4.8595734762848168E-2</v>
      </c>
      <c r="R9">
        <f>(Цены!R9-Цены!R$2)/Цены!R$2</f>
        <v>-2.4580090126997134E-2</v>
      </c>
      <c r="S9">
        <f>(Цены!S9-Цены!S$2)/Цены!S$2</f>
        <v>-2.9302681992337119E-2</v>
      </c>
      <c r="T9">
        <f>(Цены!T9-Цены!T$2)/Цены!T$2</f>
        <v>-1.2693935119887244E-2</v>
      </c>
      <c r="U9">
        <f>(Цены!U9-Цены!U$2)/Цены!U$2</f>
        <v>2.831858407079646E-2</v>
      </c>
      <c r="V9">
        <f>(Цены!V9-Цены!V$2)/Цены!V$2</f>
        <v>-2.8015564202334586E-2</v>
      </c>
      <c r="W9">
        <f>(Цены!W9-Цены!W$2)/Цены!W$2</f>
        <v>2.3517554174365962E-3</v>
      </c>
      <c r="X9">
        <f>(Цены!X9-Цены!X$2)/Цены!X$2</f>
        <v>-4.1762578099309583E-2</v>
      </c>
      <c r="Y9">
        <f>(Цены!Y9-Цены!Y$2)/Цены!Y$2</f>
        <v>-5.4037032371835443E-2</v>
      </c>
      <c r="Z9">
        <f>(Цены!Z9-Цены!Z$2)/Цены!Z$2</f>
        <v>-2.4892440073755365E-2</v>
      </c>
      <c r="AA9">
        <f>(Цены!AA9-Цены!AA$2)/Цены!AA$2</f>
        <v>-9.592947886958747E-3</v>
      </c>
      <c r="AB9">
        <f>(Цены!AB9-Цены!AB$2)/Цены!AB$2</f>
        <v>-9.1680814940577254E-2</v>
      </c>
      <c r="AC9">
        <f>(Цены!AD9-Цены!AD$2)/Цены!AD$2</f>
        <v>-2.346153846153844E-2</v>
      </c>
      <c r="AD9">
        <f>(Цены!AE9-Цены!AE$2)/Цены!AE$2</f>
        <v>7.8313253012048195E-2</v>
      </c>
      <c r="AE9">
        <f>(Цены!AF9-Цены!AF$2)/Цены!AF$2</f>
        <v>1.2840267077555215E-3</v>
      </c>
      <c r="AF9">
        <f>(Цены!AG9-Цены!AG$2)/Цены!AG$2</f>
        <v>-0.11172839506172837</v>
      </c>
      <c r="AG9">
        <f>(Цены!AH9-Цены!AH$2)/Цены!AH$2</f>
        <v>-7.3624017155110869E-2</v>
      </c>
      <c r="AH9">
        <f>(Цены!AI9-Цены!AI$2)/Цены!AI$2</f>
        <v>-5.1057622173596119E-3</v>
      </c>
      <c r="AI9">
        <f>(Цены!AJ9-Цены!AJ$2)/Цены!AJ$2</f>
        <v>-5.6440903054448873E-3</v>
      </c>
      <c r="AJ9">
        <f>(Цены!AK9-Цены!AK$2)/Цены!AK$2</f>
        <v>-6.920266494734563E-2</v>
      </c>
      <c r="AK9">
        <f>(Цены!AL9-Цены!AL$2)/Цены!AL$2</f>
        <v>-6.1538461538461542E-2</v>
      </c>
      <c r="AL9">
        <f>(Цены!AM9-Цены!AM$2)/Цены!AM$2</f>
        <v>-9.5238095238095247E-3</v>
      </c>
      <c r="AM9">
        <f>(Цены!AN9-Цены!AN$2)/Цены!AN$2</f>
        <v>3.0449826989619379E-2</v>
      </c>
      <c r="AN9">
        <f>(Цены!AO9-Цены!AO$2)/Цены!AO$2</f>
        <v>-4.3209876543209902E-2</v>
      </c>
      <c r="AO9">
        <f>(Цены!AP9-Цены!AP$2)/Цены!AP$2</f>
        <v>3.173311635475997E-2</v>
      </c>
      <c r="AP9">
        <f>(Цены!AQ9-Цены!AQ$2)/Цены!AQ$2</f>
        <v>3.1135531135531136E-2</v>
      </c>
      <c r="AQ9">
        <f>(Цены!AR9-Цены!AR$2)/Цены!AR$2</f>
        <v>-2.8837209302325528E-2</v>
      </c>
      <c r="AR9">
        <f>(Цены!AS9-Цены!AS$2)/Цены!AS$2</f>
        <v>-3.8983050847457582E-2</v>
      </c>
      <c r="AS9">
        <f>(Цены!AU9-Цены!AU$2)/Цены!AU$2</f>
        <v>-7.889546351084924E-3</v>
      </c>
      <c r="AT9">
        <f>(Цены!AV9-Цены!AV$2)/Цены!AV$2</f>
        <v>-2.3489331181638914E-2</v>
      </c>
      <c r="AU9">
        <f>(Цены!AW9-Цены!AW$2)/Цены!AW$2</f>
        <v>4.1131105398457329E-3</v>
      </c>
      <c r="AV9">
        <f>(Цены!AX9-Цены!AX$2)/Цены!AX$2</f>
        <v>0</v>
      </c>
    </row>
    <row r="10" spans="1:48" x14ac:dyDescent="0.2">
      <c r="A10" s="1" t="s">
        <v>76</v>
      </c>
      <c r="B10" s="2">
        <v>8</v>
      </c>
      <c r="C10">
        <f>(Цены!B10-Цены!B$2)/Цены!B$2</f>
        <v>-1.2366327906803851E-2</v>
      </c>
      <c r="D10">
        <f>(Цены!C10-Цены!C$2)/Цены!C$2</f>
        <v>-3.9166056084726543E-2</v>
      </c>
      <c r="E10">
        <f>(Цены!D10-Цены!D$2)/Цены!D$2</f>
        <v>-7.8838174273859161E-3</v>
      </c>
      <c r="F10">
        <f>(Цены!E10-Цены!E$2)/Цены!E$2</f>
        <v>-4.8666186012977647E-3</v>
      </c>
      <c r="G10">
        <f>(Цены!F10-Цены!F$2)/Цены!F$2</f>
        <v>-3.0864197530864196E-2</v>
      </c>
      <c r="H10">
        <f>(Цены!G10-Цены!G$2)/Цены!G$2</f>
        <v>-1.608071890272731E-2</v>
      </c>
      <c r="I10">
        <f>(Цены!H10-Цены!H$2)/Цены!H$2</f>
        <v>-2.1349599695005668E-2</v>
      </c>
      <c r="J10">
        <f>(Цены!J10-Цены!J$2)/Цены!J$2</f>
        <v>3.638888888888895E-2</v>
      </c>
      <c r="K10">
        <f>(Цены!K10-Цены!K$2)/Цены!K$2</f>
        <v>4.2483660130718956E-2</v>
      </c>
      <c r="L10">
        <f>(Цены!L10-Цены!L$2)/Цены!L$2</f>
        <v>-1.1128001330371205E-2</v>
      </c>
      <c r="M10">
        <f>(Цены!M10-Цены!M$2)/Цены!M$2</f>
        <v>-4.0634291377601585E-2</v>
      </c>
      <c r="N10">
        <f>(Цены!N10-Цены!N$2)/Цены!N$2</f>
        <v>-5.4639660857278612E-3</v>
      </c>
      <c r="O10">
        <f>(Цены!O10-Цены!O$2)/Цены!O$2</f>
        <v>-4.6269592476488999E-2</v>
      </c>
      <c r="P10">
        <f>(Цены!P10-Цены!P$2)/Цены!P$2</f>
        <v>-1.8041945233079941E-2</v>
      </c>
      <c r="Q10">
        <f>(Цены!Q10-Цены!Q$2)/Цены!Q$2</f>
        <v>-3.1581400769141219E-2</v>
      </c>
      <c r="R10">
        <f>(Цены!R10-Цены!R$2)/Цены!R$2</f>
        <v>-1.6796394920114647E-2</v>
      </c>
      <c r="S10">
        <f>(Цены!S10-Цены!S$2)/Цены!S$2</f>
        <v>-2.0689655172413852E-2</v>
      </c>
      <c r="T10">
        <f>(Цены!T10-Цены!T$2)/Цены!T$2</f>
        <v>-1.0578279266572637E-2</v>
      </c>
      <c r="U10">
        <f>(Цены!U10-Цены!U$2)/Цены!U$2</f>
        <v>3.7168141592920353E-2</v>
      </c>
      <c r="V10">
        <f>(Цены!V10-Цены!V$2)/Цены!V$2</f>
        <v>4.2801556420233519E-2</v>
      </c>
      <c r="W10">
        <f>(Цены!W10-Цены!W$2)/Цены!W$2</f>
        <v>5.6946077607928781E-2</v>
      </c>
      <c r="X10">
        <f>(Цены!X10-Цены!X$2)/Цены!X$2</f>
        <v>-1.5784281486353208E-2</v>
      </c>
      <c r="Y10">
        <f>(Цены!Y10-Цены!Y$2)/Цены!Y$2</f>
        <v>-4.0055422597304505E-2</v>
      </c>
      <c r="Z10">
        <f>(Цены!Z10-Цены!Z$2)/Цены!Z$2</f>
        <v>7.9901659496004647E-3</v>
      </c>
      <c r="AA10">
        <f>(Цены!AA10-Цены!AA$2)/Цены!AA$2</f>
        <v>7.5187969924812919E-3</v>
      </c>
      <c r="AB10">
        <f>(Цены!AB10-Цены!AB$2)/Цены!AB$2</f>
        <v>-8.9983022071307303E-2</v>
      </c>
      <c r="AC10">
        <f>(Цены!AD10-Цены!AD$2)/Цены!AD$2</f>
        <v>-3.8461538461538491E-2</v>
      </c>
      <c r="AD10">
        <f>(Цены!AE10-Цены!AE$2)/Цены!AE$2</f>
        <v>8.4337349397590355E-2</v>
      </c>
      <c r="AE10">
        <f>(Цены!AF10-Цены!AF$2)/Цены!AF$2</f>
        <v>1.7976373908578467E-3</v>
      </c>
      <c r="AF10">
        <f>(Цены!AG10-Цены!AG$2)/Цены!AG$2</f>
        <v>-0.10012345679012345</v>
      </c>
      <c r="AG10">
        <f>(Цены!AH10-Цены!AH$2)/Цены!AH$2</f>
        <v>-3.5382416011436858E-2</v>
      </c>
      <c r="AH10">
        <f>(Цены!AI10-Цены!AI$2)/Цены!AI$2</f>
        <v>-5.1057622173596119E-3</v>
      </c>
      <c r="AI10">
        <f>(Цены!AJ10-Цены!AJ$2)/Цены!AJ$2</f>
        <v>-1.7264276228419653E-2</v>
      </c>
      <c r="AJ10">
        <f>(Цены!AK10-Цены!AK$2)/Цены!AK$2</f>
        <v>-6.9417580055877823E-2</v>
      </c>
      <c r="AK10">
        <f>(Цены!AL10-Цены!AL$2)/Цены!AL$2</f>
        <v>-5.3846153846153849E-2</v>
      </c>
      <c r="AL10">
        <f>(Цены!AM10-Цены!AM$2)/Цены!AM$2</f>
        <v>-5.5238095238095239E-2</v>
      </c>
      <c r="AM10">
        <f>(Цены!AN10-Цены!AN$2)/Цены!AN$2</f>
        <v>3.1833910034602078E-2</v>
      </c>
      <c r="AN10">
        <f>(Цены!AO10-Цены!AO$2)/Цены!AO$2</f>
        <v>-5.5555555555555615E-2</v>
      </c>
      <c r="AO10">
        <f>(Цены!AP10-Цены!AP$2)/Цены!AP$2</f>
        <v>3.254678600488202E-2</v>
      </c>
      <c r="AP10">
        <f>(Цены!AQ10-Цены!AQ$2)/Цены!AQ$2</f>
        <v>6.043956043956044E-2</v>
      </c>
      <c r="AQ10">
        <f>(Цены!AR10-Цены!AR$2)/Цены!AR$2</f>
        <v>-3.255813953488372E-2</v>
      </c>
      <c r="AR10">
        <f>(Цены!AS10-Цены!AS$2)/Цены!AS$2</f>
        <v>-5.0847457627118647E-2</v>
      </c>
      <c r="AS10">
        <f>(Цены!AU10-Цены!AU$2)/Цены!AU$2</f>
        <v>-6.9033530571992385E-3</v>
      </c>
      <c r="AT10">
        <f>(Цены!AV10-Цены!AV$2)/Цены!AV$2</f>
        <v>2.9227183073336837E-2</v>
      </c>
      <c r="AU10">
        <f>(Цены!AW10-Цены!AW$2)/Цены!AW$2</f>
        <v>-1.4910025706940944E-2</v>
      </c>
      <c r="AV10">
        <f>(Цены!AX10-Цены!AX$2)/Цены!AX$2</f>
        <v>-6.7294751009421266E-4</v>
      </c>
    </row>
    <row r="11" spans="1:48" x14ac:dyDescent="0.2">
      <c r="A11" s="1" t="s">
        <v>77</v>
      </c>
      <c r="B11" s="2">
        <v>9</v>
      </c>
      <c r="C11">
        <f>(Цены!B11-Цены!B$2)/Цены!B$2</f>
        <v>-8.4318285598988414E-3</v>
      </c>
      <c r="D11">
        <f>(Цены!C11-Цены!C$2)/Цены!C$2</f>
        <v>-4.0165190168520624E-2</v>
      </c>
      <c r="E11">
        <f>(Цены!D11-Цены!D$2)/Цены!D$2</f>
        <v>-1.1618257261410836E-2</v>
      </c>
      <c r="F11">
        <f>(Цены!E11-Цены!E$2)/Цены!E$2</f>
        <v>3.6049026676279738E-4</v>
      </c>
      <c r="G11">
        <f>(Цены!F11-Цены!F$2)/Цены!F$2</f>
        <v>-1.0493827160493827E-2</v>
      </c>
      <c r="H11">
        <f>(Цены!G11-Цены!G$2)/Цены!G$2</f>
        <v>-1.3242944978716661E-2</v>
      </c>
      <c r="I11">
        <f>(Цены!H11-Цены!H$2)/Цены!H$2</f>
        <v>-1.9824628288219581E-2</v>
      </c>
      <c r="J11">
        <f>(Цены!J11-Цены!J$2)/Цены!J$2</f>
        <v>3.2916666666666733E-2</v>
      </c>
      <c r="K11">
        <f>(Цены!K11-Цены!K$2)/Цены!K$2</f>
        <v>5.2287581699346407E-2</v>
      </c>
      <c r="L11">
        <f>(Цены!L11-Цены!L$2)/Цены!L$2</f>
        <v>-1.6428166347576611E-2</v>
      </c>
      <c r="M11">
        <f>(Цены!M11-Цены!M$2)/Цены!M$2</f>
        <v>-3.1516352824578743E-2</v>
      </c>
      <c r="N11">
        <f>(Цены!N11-Цены!N$2)/Цены!N$2</f>
        <v>6.1234102684879083E-3</v>
      </c>
      <c r="O11">
        <f>(Цены!O11-Цены!O$2)/Цены!O$2</f>
        <v>-2.3949843260188067E-2</v>
      </c>
      <c r="P11">
        <f>(Цены!P11-Цены!P$2)/Цены!P$2</f>
        <v>-2.0056781756571093E-2</v>
      </c>
      <c r="Q11">
        <f>(Цены!Q11-Цены!Q$2)/Цены!Q$2</f>
        <v>-1.6897797459503587E-2</v>
      </c>
      <c r="R11">
        <f>(Цены!R11-Цены!R$2)/Цены!R$2</f>
        <v>-5.8719104192270308E-3</v>
      </c>
      <c r="S11">
        <f>(Цены!S11-Цены!S$2)/Цены!S$2</f>
        <v>-1.915708812260538E-2</v>
      </c>
      <c r="T11">
        <f>(Цены!T11-Цены!T$2)/Цены!T$2</f>
        <v>-1.0155148095909715E-2</v>
      </c>
      <c r="U11">
        <f>(Цены!U11-Цены!U$2)/Цены!U$2</f>
        <v>4.3805309734513277E-2</v>
      </c>
      <c r="V11">
        <f>(Цены!V11-Цены!V$2)/Цены!V$2</f>
        <v>8.9494163424124543E-2</v>
      </c>
      <c r="W11">
        <f>(Цены!W11-Цены!W$2)/Цены!W$2</f>
        <v>5.5266252309759768E-2</v>
      </c>
      <c r="X11">
        <f>(Цены!X11-Цены!X$2)/Цены!X$2</f>
        <v>5.9191055573822897E-3</v>
      </c>
      <c r="Y11">
        <f>(Цены!Y11-Цены!Y$2)/Цены!Y$2</f>
        <v>-2.0027711298652252E-2</v>
      </c>
      <c r="Z11">
        <f>(Цены!Z11-Цены!Z$2)/Цены!Z$2</f>
        <v>1.3521819299323784E-2</v>
      </c>
      <c r="AA11">
        <f>(Цены!AA11-Цены!AA$2)/Цены!AA$2</f>
        <v>-7.7780658542909E-3</v>
      </c>
      <c r="AB11">
        <f>(Цены!AB11-Цены!AB$2)/Цены!AB$2</f>
        <v>-8.7153367289190722E-2</v>
      </c>
      <c r="AC11">
        <f>(Цены!AD11-Цены!AD$2)/Цены!AD$2</f>
        <v>-3.0769230769230795E-2</v>
      </c>
      <c r="AD11">
        <f>(Цены!AE11-Цены!AE$2)/Цены!AE$2</f>
        <v>7.0783132530120488E-2</v>
      </c>
      <c r="AE11">
        <f>(Цены!AF11-Цены!AF$2)/Цены!AF$2</f>
        <v>2.3112480739600262E-3</v>
      </c>
      <c r="AF11">
        <f>(Цены!AG11-Цены!AG$2)/Цены!AG$2</f>
        <v>-7.8518518518518515E-2</v>
      </c>
      <c r="AG11">
        <f>(Цены!AH11-Цены!AH$2)/Цены!AH$2</f>
        <v>-3.1451036454610476E-2</v>
      </c>
      <c r="AH11">
        <f>(Цены!AI11-Цены!AI$2)/Цены!AI$2</f>
        <v>-8.0233406272794457E-3</v>
      </c>
      <c r="AI11">
        <f>(Цены!AJ11-Цены!AJ$2)/Цены!AJ$2</f>
        <v>1.759628154050465E-2</v>
      </c>
      <c r="AJ11">
        <f>(Цены!AK11-Цены!AK$2)/Цены!AK$2</f>
        <v>-5.6522673543950123E-2</v>
      </c>
      <c r="AK11">
        <f>(Цены!AL11-Цены!AL$2)/Цены!AL$2</f>
        <v>-1.307692307692299E-2</v>
      </c>
      <c r="AL11">
        <f>(Цены!AM11-Цены!AM$2)/Цены!AM$2</f>
        <v>4.5714285714285718E-3</v>
      </c>
      <c r="AM11">
        <f>(Цены!AN11-Цены!AN$2)/Цены!AN$2</f>
        <v>3.0449826989619379E-2</v>
      </c>
      <c r="AN11">
        <f>(Цены!AO11-Цены!AO$2)/Цены!AO$2</f>
        <v>-3.7037037037037125E-2</v>
      </c>
      <c r="AO11">
        <f>(Цены!AP11-Цены!AP$2)/Цены!AP$2</f>
        <v>-1.6273393002441008E-3</v>
      </c>
      <c r="AP11">
        <f>(Цены!AQ11-Цены!AQ$2)/Цены!AQ$2</f>
        <v>7.1428571428571425E-2</v>
      </c>
      <c r="AQ11">
        <f>(Цены!AR11-Цены!AR$2)/Цены!AR$2</f>
        <v>-4.6511627906976744E-3</v>
      </c>
      <c r="AR11">
        <f>(Цены!AS11-Цены!AS$2)/Цены!AS$2</f>
        <v>-2.7118644067796634E-2</v>
      </c>
      <c r="AS11">
        <f>(Цены!AU11-Цены!AU$2)/Цены!AU$2</f>
        <v>5.917159763313553E-3</v>
      </c>
      <c r="AT11">
        <f>(Цены!AV11-Цены!AV$2)/Цены!AV$2</f>
        <v>5.3433745741437992E-2</v>
      </c>
      <c r="AU11">
        <f>(Цены!AW11-Цены!AW$2)/Цены!AW$2</f>
        <v>-2.9820051413881745E-2</v>
      </c>
      <c r="AV11">
        <f>(Цены!AX11-Цены!AX$2)/Цены!AX$2</f>
        <v>-1.3458950201884253E-3</v>
      </c>
    </row>
    <row r="12" spans="1:48" x14ac:dyDescent="0.2">
      <c r="A12" s="1" t="s">
        <v>78</v>
      </c>
      <c r="B12" s="2">
        <v>10</v>
      </c>
      <c r="C12">
        <f>(Цены!B12-Цены!B$2)/Цены!B$2</f>
        <v>-1.2185797572397877E-2</v>
      </c>
      <c r="D12">
        <f>(Цены!C12-Цены!C$2)/Цены!C$2</f>
        <v>-3.7567441550656007E-2</v>
      </c>
      <c r="E12">
        <f>(Цены!D12-Цены!D$2)/Цены!D$2</f>
        <v>-1.518672199170123E-2</v>
      </c>
      <c r="F12">
        <f>(Цены!E12-Цены!E$2)/Цены!E$2</f>
        <v>-2.5234318673395817E-3</v>
      </c>
      <c r="G12">
        <f>(Цены!F12-Цены!F$2)/Цены!F$2</f>
        <v>-1.2469135802469136E-2</v>
      </c>
      <c r="H12">
        <f>(Цены!G12-Цены!G$2)/Цены!G$2</f>
        <v>-1.9549109254296041E-2</v>
      </c>
      <c r="I12">
        <f>(Цены!H12-Цены!H$2)/Цены!H$2</f>
        <v>-4.2508577964163248E-2</v>
      </c>
      <c r="J12">
        <f>(Цены!J12-Цены!J$2)/Цены!J$2</f>
        <v>2.7777777777777776E-2</v>
      </c>
      <c r="K12">
        <f>(Цены!K12-Цены!K$2)/Цены!K$2</f>
        <v>4.9019607843137254E-2</v>
      </c>
      <c r="L12">
        <f>(Цены!L12-Цены!L$2)/Цены!L$2</f>
        <v>-1.4202352880978628E-2</v>
      </c>
      <c r="M12">
        <f>(Цены!M12-Цены!M$2)/Цены!M$2</f>
        <v>-5.2329038652130774E-2</v>
      </c>
      <c r="N12">
        <f>(Цены!N12-Цены!N$2)/Цены!N$2</f>
        <v>7.0654733867169094E-3</v>
      </c>
      <c r="O12">
        <f>(Цены!O12-Цены!O$2)/Цены!O$2</f>
        <v>-1.9435736677115907E-2</v>
      </c>
      <c r="P12">
        <f>(Цены!P12-Цены!P$2)/Цены!P$2</f>
        <v>1.3371187837714149E-2</v>
      </c>
      <c r="Q12">
        <f>(Цены!Q12-Цены!Q$2)/Цены!Q$2</f>
        <v>-1.3168628364992371E-2</v>
      </c>
      <c r="R12">
        <f>(Цены!R12-Цены!R$2)/Цены!R$2</f>
        <v>1.6386726751332044E-3</v>
      </c>
      <c r="S12">
        <f>(Цены!S12-Цены!S$2)/Цены!S$2</f>
        <v>-2.7003831417624514E-2</v>
      </c>
      <c r="T12">
        <f>(Цены!T12-Цены!T$2)/Цены!T$2</f>
        <v>-1.1988716502115776E-2</v>
      </c>
      <c r="U12">
        <f>(Цены!U12-Цены!U$2)/Цены!U$2</f>
        <v>2.831858407079646E-2</v>
      </c>
      <c r="V12">
        <f>(Цены!V12-Цены!V$2)/Цены!V$2</f>
        <v>1.1673151750972791E-2</v>
      </c>
      <c r="W12">
        <f>(Цены!W12-Цены!W$2)/Цены!W$2</f>
        <v>7.7775911305224182E-2</v>
      </c>
      <c r="X12">
        <f>(Цены!X12-Цены!X$2)/Цены!X$2</f>
        <v>-5.2614271621177992E-3</v>
      </c>
      <c r="Y12">
        <f>(Цены!Y12-Цены!Y$2)/Цены!Y$2</f>
        <v>-2.5569971029096982E-2</v>
      </c>
      <c r="Z12">
        <f>(Цены!Z12-Цены!Z$2)/Цены!Z$2</f>
        <v>3.6877688998155464E-3</v>
      </c>
      <c r="AA12">
        <f>(Цены!AA12-Цены!AA$2)/Цены!AA$2</f>
        <v>-3.1630801140782962E-2</v>
      </c>
      <c r="AB12">
        <f>(Цены!AB12-Цены!AB$2)/Цены!AB$2</f>
        <v>-7.8098471986417659E-2</v>
      </c>
      <c r="AC12">
        <f>(Цены!AD12-Цены!AD$2)/Цены!AD$2</f>
        <v>-2.9230769230769255E-2</v>
      </c>
      <c r="AD12">
        <f>(Цены!AE12-Цены!AE$2)/Цены!AE$2</f>
        <v>2.5602409638554216E-2</v>
      </c>
      <c r="AE12">
        <f>(Цены!AF12-Цены!AF$2)/Цены!AF$2</f>
        <v>4.1088854648177265E-3</v>
      </c>
      <c r="AF12">
        <f>(Цены!AG12-Цены!AG$2)/Цены!AG$2</f>
        <v>-5.9629629629629609E-2</v>
      </c>
      <c r="AG12">
        <f>(Цены!AH12-Цены!AH$2)/Цены!AH$2</f>
        <v>-5.146533238027174E-2</v>
      </c>
      <c r="AH12">
        <f>(Цены!AI12-Цены!AI$2)/Цены!AI$2</f>
        <v>-7.2939460248005561E-4</v>
      </c>
      <c r="AI12">
        <f>(Цены!AJ12-Цены!AJ$2)/Цены!AJ$2</f>
        <v>1.8592297476759629E-2</v>
      </c>
      <c r="AJ12">
        <f>(Цены!AK12-Цены!AK$2)/Цены!AK$2</f>
        <v>-3.1592520954222943E-2</v>
      </c>
      <c r="AK12">
        <f>(Цены!AL12-Цены!AL$2)/Цены!AL$2</f>
        <v>-4.5769230769230791E-2</v>
      </c>
      <c r="AL12">
        <f>(Цены!AM12-Цены!AM$2)/Цены!AM$2</f>
        <v>-3.1619047619047616E-2</v>
      </c>
      <c r="AM12">
        <f>(Цены!AN12-Цены!AN$2)/Цены!AN$2</f>
        <v>3.3217993079584777E-2</v>
      </c>
      <c r="AN12">
        <f>(Цены!AO12-Цены!AO$2)/Цены!AO$2</f>
        <v>-4.3209876543209902E-2</v>
      </c>
      <c r="AO12">
        <f>(Цены!AP12-Цены!AP$2)/Цены!AP$2</f>
        <v>5.6956875508543531E-3</v>
      </c>
      <c r="AP12">
        <f>(Цены!AQ12-Цены!AQ$2)/Цены!AQ$2</f>
        <v>7.8754578754578752E-2</v>
      </c>
      <c r="AQ12">
        <f>(Цены!AR12-Цены!AR$2)/Цены!AR$2</f>
        <v>-4.6511627906976744E-3</v>
      </c>
      <c r="AR12">
        <f>(Цены!AS12-Цены!AS$2)/Цены!AS$2</f>
        <v>-1.3559322033898256E-2</v>
      </c>
      <c r="AS12">
        <f>(Цены!AU12-Цены!AU$2)/Цены!AU$2</f>
        <v>1.9723865877710909E-3</v>
      </c>
      <c r="AT12">
        <f>(Цены!AV12-Цены!AV$2)/Цены!AV$2</f>
        <v>3.4785727093419358E-2</v>
      </c>
      <c r="AU12">
        <f>(Цены!AW12-Цены!AW$2)/Цены!AW$2</f>
        <v>1.2853470437018006E-2</v>
      </c>
      <c r="AV12">
        <f>(Цены!AX12-Цены!AX$2)/Цены!AX$2</f>
        <v>-2.6917900403768506E-3</v>
      </c>
    </row>
    <row r="13" spans="1:48" x14ac:dyDescent="0.2">
      <c r="A13" s="1" t="s">
        <v>79</v>
      </c>
      <c r="B13" s="2">
        <v>11</v>
      </c>
      <c r="C13">
        <f>(Цены!B13-Цены!B$2)/Цены!B$2</f>
        <v>-2.3362749158409336E-3</v>
      </c>
      <c r="D13">
        <f>(Цены!C13-Цены!C$2)/Цены!C$2</f>
        <v>-2.0182508492639719E-2</v>
      </c>
      <c r="E13">
        <f>(Цены!D13-Цены!D$2)/Цены!D$2</f>
        <v>-9.5435684647303381E-3</v>
      </c>
      <c r="F13">
        <f>(Цены!E13-Цены!E$2)/Цены!E$2</f>
        <v>9.372746935832732E-3</v>
      </c>
      <c r="G13">
        <f>(Цены!F13-Цены!F$2)/Цены!F$2</f>
        <v>3.2098765432098763E-3</v>
      </c>
      <c r="H13">
        <f>(Цены!G13-Цены!G$2)/Цены!G$2</f>
        <v>7.8827053444742239E-4</v>
      </c>
      <c r="I13">
        <f>(Цены!H13-Цены!H$2)/Цены!H$2</f>
        <v>-1.7918414029736898E-2</v>
      </c>
      <c r="J13">
        <f>(Цены!J13-Цены!J$2)/Цены!J$2</f>
        <v>3.4027777777777775E-2</v>
      </c>
      <c r="K13">
        <f>(Цены!K13-Цены!K$2)/Цены!K$2</f>
        <v>6.9607843137254932E-2</v>
      </c>
      <c r="L13">
        <f>(Цены!L13-Цены!L$2)/Цены!L$2</f>
        <v>7.3138439628008343E-3</v>
      </c>
      <c r="M13">
        <f>(Цены!M13-Цены!M$2)/Цены!M$2</f>
        <v>-8.0277502477700699E-2</v>
      </c>
      <c r="N13">
        <f>(Цены!N13-Цены!N$2)/Цены!N$2</f>
        <v>3.4856335374469178E-3</v>
      </c>
      <c r="O13">
        <f>(Цены!O13-Цены!O$2)/Цены!O$2</f>
        <v>-2.2068965517241287E-2</v>
      </c>
      <c r="P13">
        <f>(Цены!P13-Цены!P$2)/Цены!P$2</f>
        <v>2.5551790457001615E-2</v>
      </c>
      <c r="Q13">
        <f>(Цены!Q13-Цены!Q$2)/Цены!Q$2</f>
        <v>-4.6614613681396399E-4</v>
      </c>
      <c r="R13">
        <f>(Цены!R13-Цены!R$2)/Цены!R$2</f>
        <v>4.6429059128772363E-2</v>
      </c>
      <c r="S13">
        <f>(Цены!S13-Цены!S$2)/Цены!S$2</f>
        <v>-2.8643678160919686E-2</v>
      </c>
      <c r="T13">
        <f>(Цены!T13-Цены!T$2)/Цены!T$2</f>
        <v>8.4626234132580292E-3</v>
      </c>
      <c r="U13">
        <f>(Цены!U13-Цены!U$2)/Цены!U$2</f>
        <v>1.3274336283185841E-2</v>
      </c>
      <c r="V13">
        <f>(Цены!V13-Цены!V$2)/Цены!V$2</f>
        <v>-5.2918287937743169E-2</v>
      </c>
      <c r="W13">
        <f>(Цены!W13-Цены!W$2)/Цены!W$2</f>
        <v>9.0542583571308594E-2</v>
      </c>
      <c r="X13">
        <f>(Цены!X13-Цены!X$2)/Цены!X$2</f>
        <v>-7.23446234791202E-3</v>
      </c>
      <c r="Y13">
        <f>(Цены!Y13-Цены!Y$2)/Цены!Y$2</f>
        <v>-1.4359491119788481E-2</v>
      </c>
      <c r="Z13">
        <f>(Цены!Z13-Цены!Z$2)/Цены!Z$2</f>
        <v>2.3355869698832191E-2</v>
      </c>
      <c r="AA13">
        <f>(Цены!AA13-Цены!AA$2)/Цены!AA$2</f>
        <v>-1.7371013741249646E-2</v>
      </c>
      <c r="AB13">
        <f>(Цены!AB13-Цены!AB$2)/Цены!AB$2</f>
        <v>-6.7345783814374643E-2</v>
      </c>
      <c r="AC13">
        <f>(Цены!AD13-Цены!AD$2)/Цены!AD$2</f>
        <v>-3.3461538461538536E-2</v>
      </c>
      <c r="AD13">
        <f>(Цены!AE13-Цены!AE$2)/Цены!AE$2</f>
        <v>5.4216867469879519E-2</v>
      </c>
      <c r="AE13">
        <f>(Цены!AF13-Цены!AF$2)/Цены!AF$2</f>
        <v>3.852080123266564E-3</v>
      </c>
      <c r="AF13">
        <f>(Цены!AG13-Цены!AG$2)/Цены!AG$2</f>
        <v>-4.1234567901234608E-2</v>
      </c>
      <c r="AG13">
        <f>(Цены!AH13-Цены!AH$2)/Цены!AH$2</f>
        <v>-2.7877055039313835E-2</v>
      </c>
      <c r="AH13">
        <f>(Цены!AI13-Цены!AI$2)/Цены!AI$2</f>
        <v>1.7505470459518484E-2</v>
      </c>
      <c r="AI13">
        <f>(Цены!AJ13-Цены!AJ$2)/Цены!AJ$2</f>
        <v>2.2908366533864542E-2</v>
      </c>
      <c r="AJ13">
        <f>(Цены!AK13-Цены!AK$2)/Цены!AK$2</f>
        <v>-3.6105738233397654E-2</v>
      </c>
      <c r="AK13">
        <f>(Цены!AL13-Цены!AL$2)/Цены!AL$2</f>
        <v>-3.0769230769230771E-2</v>
      </c>
      <c r="AL13">
        <f>(Цены!AM13-Цены!AM$2)/Цены!AM$2</f>
        <v>-5.2571428571428575E-2</v>
      </c>
      <c r="AM13">
        <f>(Цены!AN13-Цены!AN$2)/Цены!AN$2</f>
        <v>3.0449826989619379E-2</v>
      </c>
      <c r="AN13">
        <f>(Цены!AO13-Цены!AO$2)/Цены!AO$2</f>
        <v>-5.3497942386831303E-2</v>
      </c>
      <c r="AO13">
        <f>(Цены!AP13-Цены!AP$2)/Цены!AP$2</f>
        <v>1.7087062652563059E-2</v>
      </c>
      <c r="AP13">
        <f>(Цены!AQ13-Цены!AQ$2)/Цены!AQ$2</f>
        <v>7.6923076923076927E-2</v>
      </c>
      <c r="AQ13">
        <f>(Цены!AR13-Цены!AR$2)/Цены!AR$2</f>
        <v>-4.6511627906976744E-3</v>
      </c>
      <c r="AR13">
        <f>(Цены!AS13-Цены!AS$2)/Цены!AS$2</f>
        <v>-2.5423728813559324E-2</v>
      </c>
      <c r="AS13">
        <f>(Цены!AU13-Цены!AU$2)/Цены!AU$2</f>
        <v>-5.9171597633136935E-3</v>
      </c>
      <c r="AT13">
        <f>(Цены!AV13-Цены!AV$2)/Цены!AV$2</f>
        <v>8.4812623274161669E-2</v>
      </c>
      <c r="AU13">
        <f>(Цены!AW13-Цены!AW$2)/Цены!AW$2</f>
        <v>8.0976863753213293E-2</v>
      </c>
      <c r="AV13">
        <f>(Цены!AX13-Цены!AX$2)/Цены!AX$2</f>
        <v>-4.0376850605652759E-3</v>
      </c>
    </row>
    <row r="14" spans="1:48" x14ac:dyDescent="0.2">
      <c r="A14" s="1" t="s">
        <v>80</v>
      </c>
      <c r="B14" s="2">
        <v>12</v>
      </c>
      <c r="C14">
        <f>(Цены!B14-Цены!B$2)/Цены!B$2</f>
        <v>4.5875943801969377E-3</v>
      </c>
      <c r="D14">
        <f>(Цены!C14-Цены!C$2)/Цены!C$2</f>
        <v>-3.0839938719776163E-2</v>
      </c>
      <c r="E14">
        <f>(Цены!D14-Цены!D$2)/Цены!D$2</f>
        <v>-6.6390041493775698E-3</v>
      </c>
      <c r="F14">
        <f>(Цены!E14-Цены!E$2)/Цены!E$2</f>
        <v>3.6229271809661137E-2</v>
      </c>
      <c r="G14">
        <f>(Цены!F14-Цены!F$2)/Цены!F$2</f>
        <v>9.2592592592592587E-3</v>
      </c>
      <c r="H14">
        <f>(Цены!G14-Цены!G$2)/Цены!G$2</f>
        <v>2.0495033895634057E-3</v>
      </c>
      <c r="I14">
        <f>(Цены!H14-Цены!H$2)/Цены!H$2</f>
        <v>-1.0102935569958085E-2</v>
      </c>
      <c r="J14">
        <f>(Цены!J14-Цены!J$2)/Цены!J$2</f>
        <v>5.8055555555555492E-2</v>
      </c>
      <c r="K14">
        <f>(Цены!K14-Цены!K$2)/Цены!K$2</f>
        <v>8.6274509803921498E-2</v>
      </c>
      <c r="L14">
        <f>(Цены!L14-Цены!L$2)/Цены!L$2</f>
        <v>3.816289372806622E-3</v>
      </c>
      <c r="M14">
        <f>(Цены!M14-Цены!M$2)/Цены!M$2</f>
        <v>-6.8186323092170417E-2</v>
      </c>
      <c r="N14">
        <f>(Цены!N14-Цены!N$2)/Цены!N$2</f>
        <v>2.3080546396608465E-2</v>
      </c>
      <c r="O14">
        <f>(Цены!O14-Цены!O$2)/Цены!O$2</f>
        <v>-1.8056426332288308E-2</v>
      </c>
      <c r="P14">
        <f>(Цены!P14-Цены!P$2)/Цены!P$2</f>
        <v>4.2586317428335983E-2</v>
      </c>
      <c r="Q14">
        <f>(Цены!Q14-Цены!Q$2)/Цены!Q$2</f>
        <v>2.2025404964456364E-2</v>
      </c>
      <c r="R14">
        <f>(Цены!R14-Цены!R$2)/Цены!R$2</f>
        <v>7.0462925030725154E-2</v>
      </c>
      <c r="S14">
        <f>(Цены!S14-Цены!S$2)/Цены!S$2</f>
        <v>-2.2222222222222327E-2</v>
      </c>
      <c r="T14">
        <f>(Цены!T14-Цены!T$2)/Цены!T$2</f>
        <v>1.551480959097312E-2</v>
      </c>
      <c r="U14">
        <f>(Цены!U14-Цены!U$2)/Цены!U$2</f>
        <v>1.9911504424778761E-2</v>
      </c>
      <c r="V14">
        <f>(Цены!V14-Цены!V$2)/Цены!V$2</f>
        <v>-5.7976653696497994E-2</v>
      </c>
      <c r="W14">
        <f>(Цены!W14-Цены!W$2)/Цены!W$2</f>
        <v>0.11876364858054751</v>
      </c>
      <c r="X14">
        <f>(Цены!X14-Цены!X$2)/Цены!X$2</f>
        <v>-1.0851693521867843E-2</v>
      </c>
      <c r="Y14">
        <f>(Цены!Y14-Цены!Y$2)/Цены!Y$2</f>
        <v>-1.1084519460889317E-2</v>
      </c>
      <c r="Z14">
        <f>(Цены!Z14-Цены!Z$2)/Цены!Z$2</f>
        <v>2.8272894898586309E-2</v>
      </c>
      <c r="AA14">
        <f>(Цены!AA14-Цены!AA$2)/Цены!AA$2</f>
        <v>-1.4519056261342925E-2</v>
      </c>
      <c r="AB14">
        <f>(Цены!AB14-Цены!AB$2)/Цены!AB$2</f>
        <v>-7.5268817204301078E-2</v>
      </c>
      <c r="AC14">
        <f>(Цены!AD14-Цены!AD$2)/Цены!AD$2</f>
        <v>-3.1538461538461654E-2</v>
      </c>
      <c r="AD14">
        <f>(Цены!AE14-Цены!AE$2)/Цены!AE$2</f>
        <v>5.4216867469879519E-2</v>
      </c>
      <c r="AE14">
        <f>(Цены!AF14-Цены!AF$2)/Цены!AF$2</f>
        <v>4.6224961479199066E-3</v>
      </c>
      <c r="AF14">
        <f>(Цены!AG14-Цены!AG$2)/Цены!AG$2</f>
        <v>-5.2345679012345617E-2</v>
      </c>
      <c r="AG14">
        <f>(Цены!AH14-Цены!AH$2)/Цены!AH$2</f>
        <v>-1.4295925661186561E-2</v>
      </c>
      <c r="AH14">
        <f>(Цены!AI14-Цены!AI$2)/Цены!AI$2</f>
        <v>1.677607585703856E-2</v>
      </c>
      <c r="AI14">
        <f>(Цены!AJ14-Цены!AJ$2)/Цены!AJ$2</f>
        <v>3.48605577689243E-2</v>
      </c>
      <c r="AJ14">
        <f>(Цены!AK14-Цены!AK$2)/Цены!AK$2</f>
        <v>-2.9658284977433894E-2</v>
      </c>
      <c r="AK14">
        <f>(Цены!AL14-Цены!AL$2)/Цены!AL$2</f>
        <v>-3.8076923076923098E-2</v>
      </c>
      <c r="AL14">
        <f>(Цены!AM14-Цены!AM$2)/Цены!AM$2</f>
        <v>-7.6190476190476197E-2</v>
      </c>
      <c r="AM14">
        <f>(Цены!AN14-Цены!AN$2)/Цены!AN$2</f>
        <v>2.698961937716263E-2</v>
      </c>
      <c r="AN14">
        <f>(Цены!AO14-Цены!AO$2)/Цены!AO$2</f>
        <v>-5.1440329218106998E-2</v>
      </c>
      <c r="AO14">
        <f>(Цены!AP14-Цены!AP$2)/Цены!AP$2</f>
        <v>5.9397884458909686E-2</v>
      </c>
      <c r="AP14">
        <f>(Цены!AQ14-Цены!AQ$2)/Цены!AQ$2</f>
        <v>7.5091575091575088E-2</v>
      </c>
      <c r="AQ14">
        <f>(Цены!AR14-Цены!AR$2)/Цены!AR$2</f>
        <v>9.3023255813948203E-4</v>
      </c>
      <c r="AR14">
        <f>(Цены!AS14-Цены!AS$2)/Цены!AS$2</f>
        <v>-4.4915254237288114E-2</v>
      </c>
      <c r="AS14">
        <f>(Цены!AU14-Цены!AU$2)/Цены!AU$2</f>
        <v>4.9309664694280079E-3</v>
      </c>
      <c r="AT14">
        <f>(Цены!AV14-Цены!AV$2)/Цены!AV$2</f>
        <v>8.9295320064550779E-2</v>
      </c>
      <c r="AU14">
        <f>(Цены!AW14-Цены!AW$2)/Цены!AW$2</f>
        <v>8.7403598971722299E-2</v>
      </c>
      <c r="AV14">
        <f>(Цены!AX14-Цены!AX$2)/Цены!AX$2</f>
        <v>-1.3458950201884253E-3</v>
      </c>
    </row>
    <row r="15" spans="1:48" x14ac:dyDescent="0.2">
      <c r="A15" s="1" t="s">
        <v>81</v>
      </c>
      <c r="B15" s="2">
        <v>13</v>
      </c>
      <c r="C15">
        <f>(Цены!B15-Цены!B$2)/Цены!B$2</f>
        <v>-1.2212346150986834E-3</v>
      </c>
      <c r="D15">
        <f>(Цены!C15-Цены!C$2)/Цены!C$2</f>
        <v>-4.21634583361086E-2</v>
      </c>
      <c r="E15">
        <f>(Цены!D15-Цены!D$2)/Цены!D$2</f>
        <v>-1.1120331950207497E-2</v>
      </c>
      <c r="F15">
        <f>(Цены!E15-Цены!E$2)/Цены!E$2</f>
        <v>3.5688536409516941E-2</v>
      </c>
      <c r="G15">
        <f>(Цены!F15-Цены!F$2)/Цены!F$2</f>
        <v>9.876543209876543E-3</v>
      </c>
      <c r="H15">
        <f>(Цены!G15-Цены!G$2)/Цены!G$2</f>
        <v>1.1666403909821994E-2</v>
      </c>
      <c r="I15">
        <f>(Цены!H15-Цены!H$2)/Цены!H$2</f>
        <v>-1.7155928326343852E-2</v>
      </c>
      <c r="J15">
        <f>(Цены!J15-Цены!J$2)/Цены!J$2</f>
        <v>5.2361111111111178E-2</v>
      </c>
      <c r="K15">
        <f>(Цены!K15-Цены!K$2)/Цены!K$2</f>
        <v>8.8235294117647065E-2</v>
      </c>
      <c r="L15">
        <f>(Цены!L15-Цены!L$2)/Цены!L$2</f>
        <v>-3.5187680420943127E-2</v>
      </c>
      <c r="M15">
        <f>(Цены!M15-Цены!M$2)/Цены!M$2</f>
        <v>-7.2348860257680878E-2</v>
      </c>
      <c r="N15">
        <f>(Цены!N15-Цены!N$2)/Цены!N$2</f>
        <v>3.3914272256241112E-3</v>
      </c>
      <c r="O15">
        <f>(Цены!O15-Цены!O$2)/Цены!O$2</f>
        <v>-3.047021943573661E-2</v>
      </c>
      <c r="P15">
        <f>(Цены!P15-Цены!P$2)/Цены!P$2</f>
        <v>6.236834874988554E-2</v>
      </c>
      <c r="Q15">
        <f>(Цены!Q15-Цены!Q$2)/Цены!Q$2</f>
        <v>2.0277356951404205E-2</v>
      </c>
      <c r="R15">
        <f>(Цены!R15-Цены!R$2)/Цены!R$2</f>
        <v>5.6943875460876758E-2</v>
      </c>
      <c r="S15">
        <f>(Цены!S15-Цены!S$2)/Цены!S$2</f>
        <v>-2.0689655172413852E-2</v>
      </c>
      <c r="T15">
        <f>(Цены!T15-Цены!T$2)/Цены!T$2</f>
        <v>-1.4104372355431384E-3</v>
      </c>
      <c r="U15">
        <f>(Цены!U15-Цены!U$2)/Цены!U$2</f>
        <v>7.9646017699115043E-3</v>
      </c>
      <c r="V15">
        <f>(Цены!V15-Цены!V$2)/Цены!V$2</f>
        <v>-6.3813229571984459E-2</v>
      </c>
      <c r="W15">
        <f>(Цены!W15-Цены!W$2)/Цены!W$2</f>
        <v>0.12565093230304056</v>
      </c>
      <c r="X15">
        <f>(Цены!X15-Цены!X$2)/Цены!X$2</f>
        <v>-2.6307135810588619E-2</v>
      </c>
      <c r="Y15">
        <f>(Цены!Y15-Цены!Y$2)/Цены!Y$2</f>
        <v>-6.8018642146366933E-3</v>
      </c>
      <c r="Z15">
        <f>(Цены!Z15-Цены!Z$2)/Цены!Z$2</f>
        <v>4.3023970497848667E-2</v>
      </c>
      <c r="AA15">
        <f>(Цены!AA15-Цены!AA$2)/Цены!AA$2</f>
        <v>7.7780658542911949E-4</v>
      </c>
      <c r="AB15">
        <f>(Цены!AB15-Цены!AB$2)/Цены!AB$2</f>
        <v>-7.1307300509337868E-2</v>
      </c>
      <c r="AC15">
        <f>(Цены!AD15-Цены!AD$2)/Цены!AD$2</f>
        <v>-3.1538461538461654E-2</v>
      </c>
      <c r="AD15">
        <f>(Цены!AE15-Цены!AE$2)/Цены!AE$2</f>
        <v>4.6686746987951805E-2</v>
      </c>
      <c r="AE15">
        <f>(Цены!AF15-Цены!AF$2)/Цены!AF$2</f>
        <v>5.1361068310220859E-3</v>
      </c>
      <c r="AF15">
        <f>(Цены!AG15-Цены!AG$2)/Цены!AG$2</f>
        <v>-6.0493827160493896E-2</v>
      </c>
      <c r="AG15">
        <f>(Цены!AH15-Цены!AH$2)/Цены!AH$2</f>
        <v>-1.1079342387419666E-2</v>
      </c>
      <c r="AH15">
        <f>(Цены!AI15-Цены!AI$2)/Цены!AI$2</f>
        <v>2.1881838074398169E-2</v>
      </c>
      <c r="AI15">
        <f>(Цены!AJ15-Цены!AJ$2)/Цены!AJ$2</f>
        <v>3.7516600265604251E-2</v>
      </c>
      <c r="AJ15">
        <f>(Цены!AK15-Цены!AK$2)/Цены!AK$2</f>
        <v>-4.6851493660004295E-2</v>
      </c>
      <c r="AK15">
        <f>(Цены!AL15-Цены!AL$2)/Цены!AL$2</f>
        <v>-3.8461538461538464E-2</v>
      </c>
      <c r="AL15">
        <f>(Цены!AM15-Цены!AM$2)/Цены!AM$2</f>
        <v>-5.1428571428571428E-2</v>
      </c>
      <c r="AM15">
        <f>(Цены!AN15-Цены!AN$2)/Цены!AN$2</f>
        <v>3.2525951557093424E-2</v>
      </c>
      <c r="AN15">
        <f>(Цены!AO15-Цены!AO$2)/Цены!AO$2</f>
        <v>-5.5555555555555615E-2</v>
      </c>
      <c r="AO15">
        <f>(Цены!AP15-Цены!AP$2)/Цены!AP$2</f>
        <v>8.6248982912937353E-2</v>
      </c>
      <c r="AP15">
        <f>(Цены!AQ15-Цены!AQ$2)/Цены!AQ$2</f>
        <v>8.0586080586080591E-2</v>
      </c>
      <c r="AQ15">
        <f>(Цены!AR15-Цены!AR$2)/Цены!AR$2</f>
        <v>-9.3023255813948203E-4</v>
      </c>
      <c r="AR15">
        <f>(Цены!AS15-Цены!AS$2)/Цены!AS$2</f>
        <v>-5.0000000000000051E-2</v>
      </c>
      <c r="AS15">
        <f>(Цены!AU15-Цены!AU$2)/Цены!AU$2</f>
        <v>6.9033530571990988E-3</v>
      </c>
      <c r="AT15">
        <f>(Цены!AV15-Цены!AV$2)/Цены!AV$2</f>
        <v>9.1984938138784209E-2</v>
      </c>
      <c r="AU15">
        <f>(Цены!AW15-Цены!AW$2)/Цены!AW$2</f>
        <v>7.6863753213367567E-2</v>
      </c>
      <c r="AV15">
        <f>(Цены!AX15-Цены!AX$2)/Цены!AX$2</f>
        <v>2.6917900403768506E-3</v>
      </c>
    </row>
    <row r="16" spans="1:48" x14ac:dyDescent="0.2">
      <c r="A16" s="1" t="s">
        <v>82</v>
      </c>
      <c r="B16" s="2">
        <v>14</v>
      </c>
      <c r="C16">
        <f>(Цены!B16-Цены!B$2)/Цены!B$2</f>
        <v>-2.0389308356430162E-3</v>
      </c>
      <c r="D16">
        <f>(Цены!C16-Цены!C$2)/Цены!C$2</f>
        <v>-3.0240458269499716E-2</v>
      </c>
      <c r="E16">
        <f>(Цены!D16-Цены!D$2)/Цены!D$2</f>
        <v>-1.6680497925311247E-2</v>
      </c>
      <c r="F16">
        <f>(Цены!E16-Цены!E$2)/Цены!E$2</f>
        <v>3.5508291276135542E-2</v>
      </c>
      <c r="G16">
        <f>(Цены!F16-Цены!F$2)/Цены!F$2</f>
        <v>-3.9506172839506174E-3</v>
      </c>
      <c r="H16">
        <f>(Цены!G16-Цены!G$2)/Цены!G$2</f>
        <v>1.7657259971622333E-2</v>
      </c>
      <c r="I16">
        <f>(Цены!H16-Цены!H$2)/Цены!H$2</f>
        <v>-2.1349599695005668E-2</v>
      </c>
      <c r="J16">
        <f>(Цены!J16-Цены!J$2)/Цены!J$2</f>
        <v>4.3333333333333397E-2</v>
      </c>
      <c r="K16">
        <f>(Цены!K16-Цены!K$2)/Цены!K$2</f>
        <v>5.5555555555555552E-2</v>
      </c>
      <c r="L16">
        <f>(Цены!L16-Цены!L$2)/Цены!L$2</f>
        <v>-2.7026364376750978E-2</v>
      </c>
      <c r="M16">
        <f>(Цены!M16-Цены!M$2)/Цены!M$2</f>
        <v>-7.0366699702675922E-2</v>
      </c>
      <c r="N16">
        <f>(Цены!N16-Цены!N$2)/Цены!N$2</f>
        <v>-1.7145548751766437E-2</v>
      </c>
      <c r="O16">
        <f>(Цены!O16-Цены!O$2)/Цены!O$2</f>
        <v>-3.8746081504702108E-2</v>
      </c>
      <c r="P16">
        <f>(Цены!P16-Цены!P$2)/Цены!P$2</f>
        <v>5.9162927007967839E-2</v>
      </c>
      <c r="Q16">
        <f>(Цены!Q16-Цены!Q$2)/Цены!Q$2</f>
        <v>8.6237035310569258E-3</v>
      </c>
      <c r="R16">
        <f>(Цены!R16-Цены!R$2)/Цены!R$2</f>
        <v>5.9674996586098657E-2</v>
      </c>
      <c r="S16">
        <f>(Цены!S16-Цены!S$2)/Цены!S$2</f>
        <v>-1.915708812260538E-2</v>
      </c>
      <c r="T16">
        <f>(Цены!T16-Цены!T$2)/Цены!T$2</f>
        <v>6.6290550070521696E-3</v>
      </c>
      <c r="U16">
        <f>(Цены!U16-Цены!U$2)/Цены!U$2</f>
        <v>1.8141592920353982E-2</v>
      </c>
      <c r="V16">
        <f>(Цены!V16-Цены!V$2)/Цены!V$2</f>
        <v>-5.6031128404669173E-2</v>
      </c>
      <c r="W16">
        <f>(Цены!W16-Цены!W$2)/Цены!W$2</f>
        <v>0.12044347387871664</v>
      </c>
      <c r="X16">
        <f>(Цены!X16-Цены!X$2)/Цены!X$2</f>
        <v>-2.3676422229529908E-2</v>
      </c>
      <c r="Y16">
        <f>(Цены!Y16-Цены!Y$2)/Цены!Y$2</f>
        <v>2.8970903136414771E-3</v>
      </c>
      <c r="Z16">
        <f>(Цены!Z16-Цены!Z$2)/Цены!Z$2</f>
        <v>5.3472649047326272E-2</v>
      </c>
      <c r="AA16">
        <f>(Цены!AA16-Цены!AA$2)/Цены!AA$2</f>
        <v>1.2704174228675225E-2</v>
      </c>
      <c r="AB16">
        <f>(Цены!AB16-Цены!AB$2)/Цены!AB$2</f>
        <v>-7.1873231465761175E-2</v>
      </c>
      <c r="AC16">
        <f>(Цены!AD16-Цены!AD$2)/Цены!AD$2</f>
        <v>-3.5769230769230755E-2</v>
      </c>
      <c r="AD16">
        <f>(Цены!AE16-Цены!AE$2)/Цены!AE$2</f>
        <v>4.3674698795180725E-2</v>
      </c>
      <c r="AE16">
        <f>(Цены!AF16-Цены!AF$2)/Цены!AF$2</f>
        <v>7.7041602465331279E-3</v>
      </c>
      <c r="AF16">
        <f>(Цены!AG16-Цены!AG$2)/Цены!AG$2</f>
        <v>-5.6790123456790055E-2</v>
      </c>
      <c r="AG16">
        <f>(Цены!AH16-Цены!AH$2)/Цены!AH$2</f>
        <v>-1.1436740528949208E-2</v>
      </c>
      <c r="AH16">
        <f>(Цены!AI16-Цены!AI$2)/Цены!AI$2</f>
        <v>2.6987600291757782E-2</v>
      </c>
      <c r="AI16">
        <f>(Цены!AJ16-Цены!AJ$2)/Цены!AJ$2</f>
        <v>4.0836653386454182E-2</v>
      </c>
      <c r="AJ16">
        <f>(Цены!AK16-Цены!AK$2)/Цены!AK$2</f>
        <v>-3.8899634644315319E-2</v>
      </c>
      <c r="AK16">
        <f>(Цены!AL16-Цены!AL$2)/Цены!AL$2</f>
        <v>-4.2692307692307668E-2</v>
      </c>
      <c r="AL16">
        <f>(Цены!AM16-Цены!AM$2)/Цены!AM$2</f>
        <v>-5.9809523809523812E-2</v>
      </c>
      <c r="AM16">
        <f>(Цены!AN16-Цены!AN$2)/Цены!AN$2</f>
        <v>3.3910034602076124E-2</v>
      </c>
      <c r="AN16">
        <f>(Цены!AO16-Цены!AO$2)/Цены!AO$2</f>
        <v>-7.8189300411522722E-2</v>
      </c>
      <c r="AO16">
        <f>(Цены!AP16-Цены!AP$2)/Цены!AP$2</f>
        <v>9.1131000813669649E-2</v>
      </c>
      <c r="AP16">
        <f>(Цены!AQ16-Цены!AQ$2)/Цены!AQ$2</f>
        <v>7.5091575091575088E-2</v>
      </c>
      <c r="AQ16">
        <f>(Цены!AR16-Цены!AR$2)/Цены!AR$2</f>
        <v>-3.7209302325581922E-3</v>
      </c>
      <c r="AR16">
        <f>(Цены!AS16-Цены!AS$2)/Цены!AS$2</f>
        <v>-2.7118644067796634E-2</v>
      </c>
      <c r="AS16">
        <f>(Цены!AU16-Цены!AU$2)/Цены!AU$2</f>
        <v>1.8737672583826345E-2</v>
      </c>
      <c r="AT16">
        <f>(Цены!AV16-Цены!AV$2)/Цены!AV$2</f>
        <v>8.5709162632239447E-2</v>
      </c>
      <c r="AU16">
        <f>(Цены!AW16-Цены!AW$2)/Цены!AW$2</f>
        <v>9.2287917737789174E-2</v>
      </c>
      <c r="AV16">
        <f>(Цены!AX16-Цены!AX$2)/Цены!AX$2</f>
        <v>-6.7294751009421266E-4</v>
      </c>
    </row>
    <row r="17" spans="1:48" x14ac:dyDescent="0.2">
      <c r="A17" s="1" t="s">
        <v>83</v>
      </c>
      <c r="B17" s="2">
        <v>15</v>
      </c>
      <c r="C17">
        <f>(Цены!B17-Цены!B$2)/Цены!B$2</f>
        <v>1.0221202756804401E-2</v>
      </c>
      <c r="D17">
        <f>(Цены!C17-Цены!C$2)/Цены!C$2</f>
        <v>-1.7518150935855563E-2</v>
      </c>
      <c r="E17">
        <f>(Цены!D17-Цены!D$2)/Цены!D$2</f>
        <v>-5.3112033195020798E-3</v>
      </c>
      <c r="F17">
        <f>(Цены!E17-Цены!E$2)/Цены!E$2</f>
        <v>5.2631578947368418E-2</v>
      </c>
      <c r="G17">
        <f>(Цены!F17-Цены!F$2)/Цены!F$2</f>
        <v>1.8024691358024692E-2</v>
      </c>
      <c r="H17">
        <f>(Цены!G17-Цены!G$2)/Цены!G$2</f>
        <v>3.8782910294813219E-2</v>
      </c>
      <c r="I17">
        <f>(Цены!H17-Цены!H$2)/Цены!H$2</f>
        <v>-1.9062142584826806E-3</v>
      </c>
      <c r="J17">
        <f>(Цены!J17-Цены!J$2)/Цены!J$2</f>
        <v>8.0972222222222154E-2</v>
      </c>
      <c r="K17">
        <f>(Цены!K17-Цены!K$2)/Цены!K$2</f>
        <v>7.647058823529404E-2</v>
      </c>
      <c r="L17">
        <f>(Цены!L17-Цены!L$2)/Цены!L$2</f>
        <v>-3.3915939297546896E-2</v>
      </c>
      <c r="M17">
        <f>(Цены!M17-Цены!M$2)/Цены!M$2</f>
        <v>-6.0455896927651138E-2</v>
      </c>
      <c r="N17">
        <f>(Цены!N17-Цены!N$2)/Цены!N$2</f>
        <v>-3.7682524729157388E-3</v>
      </c>
      <c r="O17">
        <f>(Цены!O17-Цены!O$2)/Цены!O$2</f>
        <v>-4.7021943573667714E-2</v>
      </c>
      <c r="P17">
        <f>(Цены!P17-Цены!P$2)/Цены!P$2</f>
        <v>7.3633116585767988E-2</v>
      </c>
      <c r="Q17">
        <f>(Цены!Q17-Цены!Q$2)/Цены!Q$2</f>
        <v>3.3212912247989675E-2</v>
      </c>
      <c r="R17">
        <f>(Цены!R17-Цены!R$2)/Цены!R$2</f>
        <v>8.2889526150484838E-2</v>
      </c>
      <c r="S17">
        <f>(Цены!S17-Цены!S$2)/Цены!S$2</f>
        <v>-1.4559386973180174E-2</v>
      </c>
      <c r="T17">
        <f>(Цены!T17-Цены!T$2)/Цены!T$2</f>
        <v>8.4626234132580292E-3</v>
      </c>
      <c r="U17">
        <f>(Цены!U17-Цены!U$2)/Цены!U$2</f>
        <v>6.6371681415929203E-3</v>
      </c>
      <c r="V17">
        <f>(Цены!V17-Цены!V$2)/Цены!V$2</f>
        <v>-3.5019455252918233E-2</v>
      </c>
      <c r="W17">
        <f>(Цены!W17-Цены!W$2)/Цены!W$2</f>
        <v>0.12565093230304056</v>
      </c>
      <c r="X17">
        <f>(Цены!X17-Цены!X$2)/Цены!X$2</f>
        <v>-1.9730351857942213E-3</v>
      </c>
      <c r="Y17">
        <f>(Цены!Y17-Цены!Y$2)/Цены!Y$2</f>
        <v>1.5745056052399491E-2</v>
      </c>
      <c r="Z17">
        <f>(Цены!Z17-Цены!Z$2)/Цены!Z$2</f>
        <v>6.7609096496619434E-2</v>
      </c>
      <c r="AA17">
        <f>(Цены!AA17-Цены!AA$2)/Цены!AA$2</f>
        <v>2.566761731916006E-2</v>
      </c>
      <c r="AB17">
        <f>(Цены!AB17-Цены!AB$2)/Цены!AB$2</f>
        <v>-7.1873231465761175E-2</v>
      </c>
      <c r="AC17">
        <f>(Цены!AD17-Цены!AD$2)/Цены!AD$2</f>
        <v>-6.7307692307692402E-2</v>
      </c>
      <c r="AD17">
        <f>(Цены!AE17-Цены!AE$2)/Цены!AE$2</f>
        <v>4.9698795180722892E-2</v>
      </c>
      <c r="AE17">
        <f>(Цены!AF17-Цены!AF$2)/Цены!AF$2</f>
        <v>1.1556240369799693E-2</v>
      </c>
      <c r="AF17">
        <f>(Цены!AG17-Цены!AG$2)/Цены!AG$2</f>
        <v>-6.2469135802469163E-2</v>
      </c>
      <c r="AG17">
        <f>(Цены!AH17-Цены!AH$2)/Цены!AH$2</f>
        <v>2.1443888491778623E-3</v>
      </c>
      <c r="AH17">
        <f>(Цены!AI17-Цены!AI$2)/Цены!AI$2</f>
        <v>2.5528811086797932E-2</v>
      </c>
      <c r="AI17">
        <f>(Цены!AJ17-Цены!AJ$2)/Цены!AJ$2</f>
        <v>4.5484727755644092E-2</v>
      </c>
      <c r="AJ17">
        <f>(Цены!AK17-Цены!AK$2)/Цены!AK$2</f>
        <v>-3.2882011605415776E-2</v>
      </c>
      <c r="AK17">
        <f>(Цены!AL17-Цены!AL$2)/Цены!AL$2</f>
        <v>-3.653846153846154E-2</v>
      </c>
      <c r="AL17">
        <f>(Цены!AM17-Цены!AM$2)/Цены!AM$2</f>
        <v>-6.5523809523809526E-2</v>
      </c>
      <c r="AM17">
        <f>(Цены!AN17-Цены!AN$2)/Цены!AN$2</f>
        <v>6.0207612456747404E-2</v>
      </c>
      <c r="AN17">
        <f>(Цены!AO17-Цены!AO$2)/Цены!AO$2</f>
        <v>-8.0246913580246881E-2</v>
      </c>
      <c r="AO17">
        <f>(Цены!AP17-Цены!AP$2)/Цены!AP$2</f>
        <v>8.6248982912937353E-2</v>
      </c>
      <c r="AP17">
        <f>(Цены!AQ17-Цены!AQ$2)/Цены!AQ$2</f>
        <v>2.564102564102564E-2</v>
      </c>
      <c r="AQ17">
        <f>(Цены!AR17-Цены!AR$2)/Цены!AR$2</f>
        <v>1.3023255813953541E-2</v>
      </c>
      <c r="AR17">
        <f>(Цены!AS17-Цены!AS$2)/Цены!AS$2</f>
        <v>-2.796610169491523E-2</v>
      </c>
      <c r="AS17">
        <f>(Цены!AU17-Цены!AU$2)/Цены!AU$2</f>
        <v>5.917159763313553E-3</v>
      </c>
      <c r="AT17">
        <f>(Цены!AV17-Цены!AV$2)/Цены!AV$2</f>
        <v>9.3778016854939875E-2</v>
      </c>
      <c r="AU17">
        <f>(Цены!AW17-Цены!AW$2)/Цены!AW$2</f>
        <v>0.12647814910025698</v>
      </c>
      <c r="AV17">
        <f>(Цены!AX17-Цены!AX$2)/Цены!AX$2</f>
        <v>-6.7294751009421266E-4</v>
      </c>
    </row>
    <row r="18" spans="1:48" x14ac:dyDescent="0.2">
      <c r="A18" s="1" t="s">
        <v>84</v>
      </c>
      <c r="B18" s="2">
        <v>16</v>
      </c>
      <c r="C18">
        <f>(Цены!B18-Цены!B$2)/Цены!B$2</f>
        <v>1.8084891734896608E-2</v>
      </c>
      <c r="D18">
        <f>(Цены!C18-Цены!C$2)/Цены!C$2</f>
        <v>-4.9290614800506834E-3</v>
      </c>
      <c r="E18">
        <f>(Цены!D18-Цены!D$2)/Цены!D$2</f>
        <v>1.8506224066390076E-2</v>
      </c>
      <c r="F18">
        <f>(Цены!E18-Цены!E$2)/Цены!E$2</f>
        <v>5.7317952415284784E-2</v>
      </c>
      <c r="G18">
        <f>(Цены!F18-Цены!F$2)/Цены!F$2</f>
        <v>1.1975308641975308E-2</v>
      </c>
      <c r="H18">
        <f>(Цены!G18-Цены!G$2)/Цены!G$2</f>
        <v>3.6891061012139514E-2</v>
      </c>
      <c r="I18">
        <f>(Цены!H18-Цены!H$2)/Цены!H$2</f>
        <v>1.2199771254288993E-2</v>
      </c>
      <c r="J18">
        <f>(Цены!J18-Цены!J$2)/Цены!J$2</f>
        <v>6.4999999999999933E-2</v>
      </c>
      <c r="K18">
        <f>(Цены!K18-Цены!K$2)/Цены!K$2</f>
        <v>8.6274509803921498E-2</v>
      </c>
      <c r="L18">
        <f>(Цены!L18-Цены!L$2)/Цены!L$2</f>
        <v>-3.4975545899940771E-2</v>
      </c>
      <c r="M18">
        <f>(Цены!M18-Цены!M$2)/Цены!M$2</f>
        <v>-5.0545094152626362E-2</v>
      </c>
      <c r="N18">
        <f>(Цены!N18-Цены!N$2)/Цены!N$2</f>
        <v>-1.4130946773434354E-3</v>
      </c>
      <c r="O18">
        <f>(Цены!O18-Цены!O$2)/Цены!O$2</f>
        <v>-4.4514106583072047E-2</v>
      </c>
      <c r="P18">
        <f>(Цены!P18-Цены!P$2)/Цены!P$2</f>
        <v>8.3524132246542773E-2</v>
      </c>
      <c r="Q18">
        <f>(Цены!Q18-Цены!Q$2)/Цены!Q$2</f>
        <v>4.1020860039622374E-2</v>
      </c>
      <c r="R18">
        <f>(Цены!R18-Цены!R$2)/Цены!R$2</f>
        <v>9.791069233920531E-2</v>
      </c>
      <c r="S18">
        <f>(Цены!S18-Цены!S$2)/Цены!S$2</f>
        <v>-1.3026819923371701E-2</v>
      </c>
      <c r="T18">
        <f>(Цены!T18-Цены!T$2)/Цены!T$2</f>
        <v>1.2411847672778496E-2</v>
      </c>
      <c r="U18">
        <f>(Цены!U18-Цены!U$2)/Цены!U$2</f>
        <v>2.4336283185840708E-2</v>
      </c>
      <c r="V18">
        <f>(Цены!V18-Цены!V$2)/Цены!V$2</f>
        <v>-5.4474708171206448E-3</v>
      </c>
      <c r="W18">
        <f>(Цены!W18-Цены!W$2)/Цены!W$2</f>
        <v>0.12279522929615323</v>
      </c>
      <c r="X18">
        <f>(Цены!X18-Цены!X$2)/Цены!X$2</f>
        <v>1.2824728707661878E-2</v>
      </c>
      <c r="Y18">
        <f>(Цены!Y18-Цены!Y$2)/Цены!Y$2</f>
        <v>2.5318050132258477E-2</v>
      </c>
      <c r="Z18">
        <f>(Цены!Z18-Цены!Z$2)/Цены!Z$2</f>
        <v>8.7891825445605282E-2</v>
      </c>
      <c r="AA18">
        <f>(Цены!AA18-Цены!AA$2)/Цены!AA$2</f>
        <v>3.085299455535399E-2</v>
      </c>
      <c r="AB18">
        <f>(Цены!AB18-Цены!AB$2)/Цены!AB$2</f>
        <v>-5.6027164685908321E-2</v>
      </c>
      <c r="AC18">
        <f>(Цены!AD18-Цены!AD$2)/Цены!AD$2</f>
        <v>-6.4615384615384672E-2</v>
      </c>
      <c r="AD18">
        <f>(Цены!AE18-Цены!AE$2)/Цены!AE$2</f>
        <v>6.0240963855421686E-2</v>
      </c>
      <c r="AE18">
        <f>(Цены!AF18-Цены!AF$2)/Цены!AF$2</f>
        <v>8.4745762711864701E-3</v>
      </c>
      <c r="AF18">
        <f>(Цены!AG18-Цены!AG$2)/Цены!AG$2</f>
        <v>-7.6543209876543242E-2</v>
      </c>
      <c r="AG18">
        <f>(Цены!AH18-Цены!AH$2)/Цены!AH$2</f>
        <v>2.6804860614724802E-2</v>
      </c>
      <c r="AH18">
        <f>(Цены!AI18-Цены!AI$2)/Цены!AI$2</f>
        <v>3.1363967906637466E-2</v>
      </c>
      <c r="AI18">
        <f>(Цены!AJ18-Цены!AJ$2)/Цены!AJ$2</f>
        <v>5.0464807436918988E-2</v>
      </c>
      <c r="AJ18">
        <f>(Цены!AK18-Цены!AK$2)/Цены!AK$2</f>
        <v>-1.5688802922845371E-2</v>
      </c>
      <c r="AK18">
        <f>(Цены!AL18-Цены!AL$2)/Цены!AL$2</f>
        <v>-3.8461538461538464E-2</v>
      </c>
      <c r="AL18">
        <f>(Цены!AM18-Цены!AM$2)/Цены!AM$2</f>
        <v>-6.4761904761904757E-2</v>
      </c>
      <c r="AM18">
        <f>(Цены!AN18-Цены!AN$2)/Цены!AN$2</f>
        <v>7.1280276816608992E-2</v>
      </c>
      <c r="AN18">
        <f>(Цены!AO18-Цены!AO$2)/Цены!AO$2</f>
        <v>-8.6419753086419804E-2</v>
      </c>
      <c r="AO18">
        <f>(Цены!AP18-Цены!AP$2)/Цены!AP$2</f>
        <v>8.950366151342555E-2</v>
      </c>
      <c r="AP18">
        <f>(Цены!AQ18-Цены!AQ$2)/Цены!AQ$2</f>
        <v>2.3809523809523808E-2</v>
      </c>
      <c r="AQ18">
        <f>(Цены!AR18-Цены!AR$2)/Цены!AR$2</f>
        <v>1.8604651162790697E-2</v>
      </c>
      <c r="AR18">
        <f>(Цены!AS18-Цены!AS$2)/Цены!AS$2</f>
        <v>5.9322033898305329E-3</v>
      </c>
      <c r="AS18">
        <f>(Цены!AU18-Цены!AU$2)/Цены!AU$2</f>
        <v>1.2820512820512792E-2</v>
      </c>
      <c r="AT18">
        <f>(Цены!AV18-Цены!AV$2)/Цены!AV$2</f>
        <v>0.15223238300161379</v>
      </c>
      <c r="AU18">
        <f>(Цены!AW18-Цены!AW$2)/Цены!AW$2</f>
        <v>0.11850899742930585</v>
      </c>
      <c r="AV18">
        <f>(Цены!AX18-Цены!AX$2)/Цены!AX$2</f>
        <v>4.0376850605652759E-3</v>
      </c>
    </row>
    <row r="19" spans="1:48" x14ac:dyDescent="0.2">
      <c r="A19" s="1" t="s">
        <v>85</v>
      </c>
      <c r="B19" s="2">
        <v>17</v>
      </c>
      <c r="C19">
        <f>(Цены!B19-Цены!B$2)/Цены!B$2</f>
        <v>2.0198158590589162E-2</v>
      </c>
      <c r="D19">
        <f>(Цены!C19-Цены!C$2)/Цены!C$2</f>
        <v>-7.7932458535934692E-3</v>
      </c>
      <c r="E19">
        <f>(Цены!D19-Цены!D$2)/Цены!D$2</f>
        <v>1.8257261410788404E-2</v>
      </c>
      <c r="F19">
        <f>(Цены!E19-Цены!E$2)/Цены!E$2</f>
        <v>6.3987022350396536E-2</v>
      </c>
      <c r="G19">
        <f>(Цены!F19-Цены!F$2)/Цены!F$2</f>
        <v>2.3209876543209877E-2</v>
      </c>
      <c r="H19">
        <f>(Цены!G19-Цены!G$2)/Цены!G$2</f>
        <v>2.7431814598770442E-2</v>
      </c>
      <c r="I19">
        <f>(Цены!H19-Цены!H$2)/Цены!H$2</f>
        <v>1.8109035455585128E-2</v>
      </c>
      <c r="J19">
        <f>(Цены!J19-Цены!J$2)/Цены!J$2</f>
        <v>7.9166666666666663E-2</v>
      </c>
      <c r="K19">
        <f>(Цены!K19-Цены!K$2)/Цены!K$2</f>
        <v>6.9281045751633949E-2</v>
      </c>
      <c r="L19">
        <f>(Цены!L19-Цены!L$2)/Цены!L$2</f>
        <v>-2.8616840282959813E-2</v>
      </c>
      <c r="M19">
        <f>(Цены!M19-Цены!M$2)/Цены!M$2</f>
        <v>-5.827552031714564E-2</v>
      </c>
      <c r="N19">
        <f>(Цены!N19-Цены!N$2)/Цены!N$2</f>
        <v>1.3659915214319251E-2</v>
      </c>
      <c r="O19">
        <f>(Цены!O19-Цены!O$2)/Цены!O$2</f>
        <v>-4.8150470219435672E-2</v>
      </c>
      <c r="P19">
        <f>(Цены!P19-Цены!P$2)/Цены!P$2</f>
        <v>0.1011081600879202</v>
      </c>
      <c r="Q19">
        <f>(Цены!Q19-Цены!Q$2)/Цены!Q$2</f>
        <v>5.0110709707493262E-2</v>
      </c>
      <c r="R19">
        <f>(Цены!R19-Цены!R$2)/Цены!R$2</f>
        <v>0.11388775092175352</v>
      </c>
      <c r="S19">
        <f>(Цены!S19-Цены!S$2)/Цены!S$2</f>
        <v>-1.915708812260538E-2</v>
      </c>
      <c r="T19">
        <f>(Цены!T19-Цены!T$2)/Цены!T$2</f>
        <v>1.3822284908321434E-2</v>
      </c>
      <c r="U19">
        <f>(Цены!U19-Цены!U$2)/Цены!U$2</f>
        <v>2.9646017699115044E-2</v>
      </c>
      <c r="V19">
        <f>(Цены!V19-Цены!V$2)/Цены!V$2</f>
        <v>-1.7898832684824936E-2</v>
      </c>
      <c r="W19">
        <f>(Цены!W19-Цены!W$2)/Цены!W$2</f>
        <v>0.17587770871829328</v>
      </c>
      <c r="X19">
        <f>(Цены!X19-Цены!X$2)/Цены!X$2</f>
        <v>-5.5902663597502313E-3</v>
      </c>
      <c r="Y19">
        <f>(Цены!Y19-Цены!Y$2)/Цены!Y$2</f>
        <v>2.2672880715455226E-2</v>
      </c>
      <c r="Z19">
        <f>(Цены!Z19-Цены!Z$2)/Цены!Z$2</f>
        <v>8.1745543945912588E-2</v>
      </c>
      <c r="AA19">
        <f>(Цены!AA19-Цены!AA$2)/Цены!AA$2</f>
        <v>5.9113300492610869E-2</v>
      </c>
      <c r="AB19">
        <f>(Цены!AB19-Цены!AB$2)/Цены!AB$2</f>
        <v>-5.7724957555178265E-2</v>
      </c>
      <c r="AC19">
        <f>(Цены!AD19-Цены!AD$2)/Цены!AD$2</f>
        <v>-6.923076923076929E-2</v>
      </c>
      <c r="AD19">
        <f>(Цены!AE19-Цены!AE$2)/Цены!AE$2</f>
        <v>7.8313253012048195E-2</v>
      </c>
      <c r="AE19">
        <f>(Цены!AF19-Цены!AF$2)/Цены!AF$2</f>
        <v>1.2583461736004197E-2</v>
      </c>
      <c r="AF19">
        <f>(Цены!AG19-Цены!AG$2)/Цены!AG$2</f>
        <v>-7.407407407407407E-2</v>
      </c>
      <c r="AG19">
        <f>(Цены!AH19-Цены!AH$2)/Цены!AH$2</f>
        <v>6.0042887776983599E-2</v>
      </c>
      <c r="AH19">
        <f>(Цены!AI19-Цены!AI$2)/Цены!AI$2</f>
        <v>2.1152443471918244E-2</v>
      </c>
      <c r="AI19">
        <f>(Цены!AJ19-Цены!AJ$2)/Цены!AJ$2</f>
        <v>6.1088977423638779E-2</v>
      </c>
      <c r="AJ19">
        <f>(Цены!AK19-Цены!AK$2)/Цены!AK$2</f>
        <v>-3.008811519449677E-3</v>
      </c>
      <c r="AK19">
        <f>(Цены!AL19-Цены!AL$2)/Цены!AL$2</f>
        <v>-3.9230769230769187E-2</v>
      </c>
      <c r="AL19">
        <f>(Цены!AM19-Цены!AM$2)/Цены!AM$2</f>
        <v>-6.3619047619047617E-2</v>
      </c>
      <c r="AM19">
        <f>(Цены!AN19-Цены!AN$2)/Цены!AN$2</f>
        <v>6.4359861591695502E-2</v>
      </c>
      <c r="AN19">
        <f>(Цены!AO19-Цены!AO$2)/Цены!AO$2</f>
        <v>-7.8189300411522722E-2</v>
      </c>
      <c r="AO19">
        <f>(Цены!AP19-Цены!AP$2)/Цены!AP$2</f>
        <v>7.8925956061838887E-2</v>
      </c>
      <c r="AP19">
        <f>(Цены!AQ19-Цены!AQ$2)/Цены!AQ$2</f>
        <v>2.197802197802198E-2</v>
      </c>
      <c r="AQ19">
        <f>(Цены!AR19-Цены!AR$2)/Цены!AR$2</f>
        <v>1.3953488372093023E-2</v>
      </c>
      <c r="AR19">
        <f>(Цены!AS19-Цены!AS$2)/Цены!AS$2</f>
        <v>8.4745762711864406E-3</v>
      </c>
      <c r="AS19">
        <f>(Цены!AU19-Цены!AU$2)/Цены!AU$2</f>
        <v>1.084812623274156E-2</v>
      </c>
      <c r="AT19">
        <f>(Цены!AV19-Цены!AV$2)/Цены!AV$2</f>
        <v>0.16191500806885412</v>
      </c>
      <c r="AU19">
        <f>(Цены!AW19-Цены!AW$2)/Цены!AW$2</f>
        <v>0.17763496143958868</v>
      </c>
      <c r="AV19">
        <f>(Цены!AX19-Цены!AX$2)/Цены!AX$2</f>
        <v>5.3835800807537013E-3</v>
      </c>
    </row>
    <row r="20" spans="1:48" x14ac:dyDescent="0.2">
      <c r="A20" s="1" t="s">
        <v>86</v>
      </c>
      <c r="B20" s="2">
        <v>18</v>
      </c>
      <c r="C20">
        <f>(Цены!B20-Цены!B$2)/Цены!B$2</f>
        <v>2.1175146282668086E-2</v>
      </c>
      <c r="D20">
        <f>(Цены!C20-Цены!C$2)/Цены!C$2</f>
        <v>1.4653966562312587E-3</v>
      </c>
      <c r="E20">
        <f>(Цены!D20-Цены!D$2)/Цены!D$2</f>
        <v>1.8091286307053998E-2</v>
      </c>
      <c r="F20">
        <f>(Цены!E20-Цены!E$2)/Цены!E$2</f>
        <v>7.6063446286950248E-2</v>
      </c>
      <c r="G20">
        <f>(Цены!F20-Цены!F$2)/Цены!F$2</f>
        <v>0.03</v>
      </c>
      <c r="H20">
        <f>(Цены!G20-Цены!G$2)/Цены!G$2</f>
        <v>1.9233801040517178E-2</v>
      </c>
      <c r="I20">
        <f>(Цены!H20-Цены!H$2)/Цены!H$2</f>
        <v>1.9252764010674762E-2</v>
      </c>
      <c r="J20">
        <f>(Цены!J20-Цены!J$2)/Цены!J$2</f>
        <v>3.0416666666666634E-2</v>
      </c>
      <c r="K20">
        <f>(Цены!K20-Цены!K$2)/Цены!K$2</f>
        <v>6.0457516339869281E-2</v>
      </c>
      <c r="L20">
        <f>(Цены!L20-Цены!L$2)/Цены!L$2</f>
        <v>-2.4907151171963238E-2</v>
      </c>
      <c r="M20">
        <f>(Цены!M20-Цены!M$2)/Цены!M$2</f>
        <v>-5.827552031714564E-2</v>
      </c>
      <c r="N20">
        <f>(Цены!N20-Цены!N$2)/Цены!N$2</f>
        <v>2.6848798869524203E-2</v>
      </c>
      <c r="O20">
        <f>(Цены!O20-Цены!O$2)/Цены!O$2</f>
        <v>-5.7429467084639411E-2</v>
      </c>
      <c r="P20">
        <f>(Цены!P20-Цены!P$2)/Цены!P$2</f>
        <v>0.10816008792013923</v>
      </c>
      <c r="Q20">
        <f>(Цены!Q20-Цены!Q$2)/Цены!Q$2</f>
        <v>5.5820999883463375E-2</v>
      </c>
      <c r="R20">
        <f>(Цены!R20-Цены!R$2)/Цены!R$2</f>
        <v>9.9549365014338517E-2</v>
      </c>
      <c r="S20">
        <f>(Цены!S20-Цены!S$2)/Цены!S$2</f>
        <v>-2.1164750957854302E-2</v>
      </c>
      <c r="T20">
        <f>(Цены!T20-Цены!T$2)/Цены!T$2</f>
        <v>-4.767277856135415E-2</v>
      </c>
      <c r="U20">
        <f>(Цены!U20-Цены!U$2)/Цены!U$2</f>
        <v>4.2035398230088498E-2</v>
      </c>
      <c r="V20">
        <f>(Цены!V20-Цены!V$2)/Цены!V$2</f>
        <v>-2.7626459143968905E-2</v>
      </c>
      <c r="W20">
        <f>(Цены!W20-Цены!W$2)/Цены!W$2</f>
        <v>0.17486981353939185</v>
      </c>
      <c r="X20">
        <f>(Цены!X20-Цены!X$2)/Цены!X$2</f>
        <v>-1.3482407102926742E-2</v>
      </c>
      <c r="Y20">
        <f>(Цены!Y20-Цены!Y$2)/Цены!Y$2</f>
        <v>3.8543897216274041E-2</v>
      </c>
      <c r="Z20">
        <f>(Цены!Z20-Цены!Z$2)/Цены!Z$2</f>
        <v>7.1911493546404345E-2</v>
      </c>
      <c r="AA20">
        <f>(Цены!AA20-Цены!AA$2)/Цены!AA$2</f>
        <v>0.11615245009074414</v>
      </c>
      <c r="AB20">
        <f>(Цены!AB20-Цены!AB$2)/Цены!AB$2</f>
        <v>-4.3576683644595361E-2</v>
      </c>
      <c r="AC20">
        <f>(Цены!AD20-Цены!AD$2)/Цены!AD$2</f>
        <v>-6.6153846153846216E-2</v>
      </c>
      <c r="AD20">
        <f>(Цены!AE20-Цены!AE$2)/Цены!AE$2</f>
        <v>6.4759036144578314E-2</v>
      </c>
      <c r="AE20">
        <f>(Цены!AF20-Цены!AF$2)/Цены!AF$2</f>
        <v>1.2326656394453035E-2</v>
      </c>
      <c r="AF20">
        <f>(Цены!AG20-Цены!AG$2)/Цены!AG$2</f>
        <v>-7.6666666666666591E-2</v>
      </c>
      <c r="AG20">
        <f>(Цены!AH20-Цены!AH$2)/Цены!AH$2</f>
        <v>3.8956397426733298E-2</v>
      </c>
      <c r="AH20">
        <f>(Цены!AI20-Цены!AI$2)/Цены!AI$2</f>
        <v>2.5528811086797932E-2</v>
      </c>
      <c r="AI20">
        <f>(Цены!AJ20-Цены!AJ$2)/Цены!AJ$2</f>
        <v>7.1381142098273578E-2</v>
      </c>
      <c r="AJ20">
        <f>(Цены!AK20-Цены!AK$2)/Цены!AK$2</f>
        <v>4.298302170644032E-4</v>
      </c>
      <c r="AK20">
        <f>(Цены!AL20-Цены!AL$2)/Цены!AL$2</f>
        <v>-3.8461538461538464E-2</v>
      </c>
      <c r="AL20">
        <f>(Цены!AM20-Цены!AM$2)/Цены!AM$2</f>
        <v>-6.8571428571428575E-2</v>
      </c>
      <c r="AM20">
        <f>(Цены!AN20-Цены!AN$2)/Цены!AN$2</f>
        <v>6.7128027681660901E-2</v>
      </c>
      <c r="AN20">
        <f>(Цены!AO20-Цены!AO$2)/Цены!AO$2</f>
        <v>-6.7901234567901314E-2</v>
      </c>
      <c r="AO20">
        <f>(Цены!AP20-Цены!AP$2)/Цены!AP$2</f>
        <v>5.858421480878763E-2</v>
      </c>
      <c r="AP20">
        <f>(Цены!AQ20-Цены!AQ$2)/Цены!AQ$2</f>
        <v>2.564102564102564E-2</v>
      </c>
      <c r="AQ20">
        <f>(Цены!AR20-Цены!AR$2)/Цены!AR$2</f>
        <v>1.3953488372093023E-2</v>
      </c>
      <c r="AR20">
        <f>(Цены!AS20-Цены!AS$2)/Цены!AS$2</f>
        <v>9.3220338983050367E-3</v>
      </c>
      <c r="AS20">
        <f>(Цены!AU20-Цены!AU$2)/Цены!AU$2</f>
        <v>-1.972386587771231E-3</v>
      </c>
      <c r="AT20">
        <f>(Цены!AV20-Цены!AV$2)/Цены!AV$2</f>
        <v>0.15563923256230947</v>
      </c>
      <c r="AU20">
        <f>(Цены!AW20-Цены!AW$2)/Цены!AW$2</f>
        <v>0.17017994858611821</v>
      </c>
      <c r="AV20">
        <f>(Цены!AX20-Цены!AX$2)/Цены!AX$2</f>
        <v>0</v>
      </c>
    </row>
    <row r="21" spans="1:48" x14ac:dyDescent="0.2">
      <c r="A21" s="1" t="s">
        <v>87</v>
      </c>
      <c r="B21" s="2">
        <v>19</v>
      </c>
      <c r="C21">
        <f>(Цены!B21-Цены!B$2)/Цены!B$2</f>
        <v>1.5472511601728897E-2</v>
      </c>
      <c r="D21">
        <f>(Цены!C21-Цены!C$2)/Цены!C$2</f>
        <v>1.3521614600679419E-2</v>
      </c>
      <c r="E21">
        <f>(Цены!D21-Цены!D$2)/Цены!D$2</f>
        <v>2.0746887966804978E-2</v>
      </c>
      <c r="F21">
        <f>(Цены!E21-Цены!E$2)/Цены!E$2</f>
        <v>2.9560201874549386E-2</v>
      </c>
      <c r="G21">
        <f>(Цены!F21-Цены!F$2)/Цены!F$2</f>
        <v>3.3703703703703701E-2</v>
      </c>
      <c r="H21">
        <f>(Цены!G21-Цены!G$2)/Цены!G$2</f>
        <v>1.0562825161595532E-2</v>
      </c>
      <c r="I21">
        <f>(Цены!H21-Цены!H$2)/Цены!H$2</f>
        <v>6.4811284788409513E-3</v>
      </c>
      <c r="J21">
        <f>(Цены!J21-Цены!J$2)/Цены!J$2</f>
        <v>2.527777777777784E-2</v>
      </c>
      <c r="K21">
        <f>(Цены!K21-Цены!K$2)/Цены!K$2</f>
        <v>3.856209150326801E-2</v>
      </c>
      <c r="L21">
        <f>(Цены!L21-Цены!L$2)/Цены!L$2</f>
        <v>-1.2930611757582399E-2</v>
      </c>
      <c r="M21">
        <f>(Цены!M21-Цены!M$2)/Цены!M$2</f>
        <v>-0.11179385530227944</v>
      </c>
      <c r="N21">
        <f>(Цены!N21-Цены!N$2)/Цены!N$2</f>
        <v>2.5906735751295335E-2</v>
      </c>
      <c r="O21">
        <f>(Цены!O21-Цены!O$2)/Цены!O$2</f>
        <v>-5.9561128526645725E-2</v>
      </c>
      <c r="P21">
        <f>(Цены!P21-Цены!P$2)/Цены!P$2</f>
        <v>0.10376408095979484</v>
      </c>
      <c r="Q21">
        <f>(Цены!Q21-Цены!Q$2)/Цены!Q$2</f>
        <v>8.845122946043589E-2</v>
      </c>
      <c r="R21">
        <f>(Цены!R21-Цены!R$2)/Цены!R$2</f>
        <v>9.3267786426328103E-2</v>
      </c>
      <c r="S21">
        <f>(Цены!S21-Цены!S$2)/Цены!S$2</f>
        <v>-2.4045977011494479E-2</v>
      </c>
      <c r="T21">
        <f>(Цены!T21-Цены!T$2)/Цены!T$2</f>
        <v>-5.1339915373765872E-2</v>
      </c>
      <c r="U21">
        <f>(Цены!U21-Цены!U$2)/Цены!U$2</f>
        <v>5.2654867256637171E-2</v>
      </c>
      <c r="V21">
        <f>(Цены!V21-Цены!V$2)/Цены!V$2</f>
        <v>-3.5019455252918233E-2</v>
      </c>
      <c r="W21">
        <f>(Цены!W21-Цены!W$2)/Цены!W$2</f>
        <v>0.1641189316311103</v>
      </c>
      <c r="X21">
        <f>(Цены!X21-Цены!X$2)/Цены!X$2</f>
        <v>-2.9266688589279954E-2</v>
      </c>
      <c r="Y21">
        <f>(Цены!Y21-Цены!Y$2)/Цены!Y$2</f>
        <v>-1.2470084393500466E-2</v>
      </c>
      <c r="Z21">
        <f>(Цены!Z21-Цены!Z$2)/Цены!Z$2</f>
        <v>7.8057775046097039E-2</v>
      </c>
      <c r="AA21">
        <f>(Цены!AA21-Цены!AA$2)/Цены!AA$2</f>
        <v>0.10448535130930778</v>
      </c>
      <c r="AB21">
        <f>(Цены!AB21-Цены!AB$2)/Цены!AB$2</f>
        <v>-1.6411997736276173E-2</v>
      </c>
      <c r="AC21">
        <f>(Цены!AD21-Цены!AD$2)/Цены!AD$2</f>
        <v>-7.6923076923076983E-2</v>
      </c>
      <c r="AD21">
        <f>(Цены!AE21-Цены!AE$2)/Цены!AE$2</f>
        <v>6.4759036144578314E-2</v>
      </c>
      <c r="AE21">
        <f>(Цены!AF21-Цены!AF$2)/Цены!AF$2</f>
        <v>2.1571648690292846E-2</v>
      </c>
      <c r="AF21">
        <f>(Цены!AG21-Цены!AG$2)/Цены!AG$2</f>
        <v>-7.4567901234567982E-2</v>
      </c>
      <c r="AG21">
        <f>(Цены!AH21-Цены!AH$2)/Цены!AH$2</f>
        <v>1.5368120085775594E-2</v>
      </c>
      <c r="AH21">
        <f>(Цены!AI21-Цены!AI$2)/Цены!AI$2</f>
        <v>2.4070021881837947E-2</v>
      </c>
      <c r="AI21">
        <f>(Цены!AJ21-Цены!AJ$2)/Цены!AJ$2</f>
        <v>7.9017264276228419E-2</v>
      </c>
      <c r="AJ21">
        <f>(Цены!AK21-Цены!AK$2)/Цены!AK$2</f>
        <v>-5.3728777133031308E-3</v>
      </c>
      <c r="AK21">
        <f>(Цены!AL21-Цены!AL$2)/Цены!AL$2</f>
        <v>-3.8461538461538464E-2</v>
      </c>
      <c r="AL21">
        <f>(Цены!AM21-Цены!AM$2)/Цены!AM$2</f>
        <v>-5.7142857142857141E-2</v>
      </c>
      <c r="AM21">
        <f>(Цены!AN21-Цены!AN$2)/Цены!AN$2</f>
        <v>7.2664359861591699E-2</v>
      </c>
      <c r="AN21">
        <f>(Цены!AO21-Цены!AO$2)/Цены!AO$2</f>
        <v>-5.9670781893004086E-2</v>
      </c>
      <c r="AO21">
        <f>(Цены!AP21-Цены!AP$2)/Цены!AP$2</f>
        <v>4.8006509357200973E-2</v>
      </c>
      <c r="AP21">
        <f>(Цены!AQ21-Цены!AQ$2)/Цены!AQ$2</f>
        <v>7.326007326007326E-3</v>
      </c>
      <c r="AQ21">
        <f>(Цены!AR21-Цены!AR$2)/Цены!AR$2</f>
        <v>1.8604651162790697E-2</v>
      </c>
      <c r="AR21">
        <f>(Цены!AS21-Цены!AS$2)/Цены!AS$2</f>
        <v>1.525423728813557E-2</v>
      </c>
      <c r="AS21">
        <f>(Цены!AU21-Цены!AU$2)/Цены!AU$2</f>
        <v>-3.944773175542462E-3</v>
      </c>
      <c r="AT21">
        <f>(Цены!AV21-Цены!AV$2)/Цены!AV$2</f>
        <v>0.14972207279899588</v>
      </c>
      <c r="AU21">
        <f>(Цены!AW21-Цены!AW$2)/Цены!AW$2</f>
        <v>0.14910025706940871</v>
      </c>
      <c r="AV21">
        <f>(Цены!AX21-Цены!AX$2)/Цены!AX$2</f>
        <v>2.6917900403768506E-3</v>
      </c>
    </row>
    <row r="22" spans="1:48" x14ac:dyDescent="0.2">
      <c r="A22" s="1" t="s">
        <v>88</v>
      </c>
      <c r="B22" s="2">
        <v>20</v>
      </c>
      <c r="C22">
        <f>(Цены!B22-Цены!B$2)/Цены!B$2</f>
        <v>2.2513194643558831E-2</v>
      </c>
      <c r="D22">
        <f>(Цены!C22-Цены!C$2)/Цены!C$2</f>
        <v>3.2438553253846696E-2</v>
      </c>
      <c r="E22">
        <f>(Цены!D22-Цены!D$2)/Цены!D$2</f>
        <v>3.1120331950207469E-2</v>
      </c>
      <c r="F22">
        <f>(Цены!E22-Цены!E$2)/Цены!E$2</f>
        <v>3.0641672674837778E-2</v>
      </c>
      <c r="G22">
        <f>(Цены!F22-Цены!F$2)/Цены!F$2</f>
        <v>5.1234567901234568E-2</v>
      </c>
      <c r="H22">
        <f>(Цены!G22-Цены!G$2)/Цены!G$2</f>
        <v>6.7791265962479407E-3</v>
      </c>
      <c r="I22">
        <f>(Цены!H22-Цены!H$2)/Цены!H$2</f>
        <v>-3.8124285169659027E-4</v>
      </c>
      <c r="J22">
        <f>(Цены!J22-Цены!J$2)/Цены!J$2</f>
        <v>1.5277777777777777E-2</v>
      </c>
      <c r="K22">
        <f>(Цены!K22-Цены!K$2)/Цены!K$2</f>
        <v>4.7385620915032678E-2</v>
      </c>
      <c r="L22">
        <f>(Цены!L22-Цены!L$2)/Цены!L$2</f>
        <v>-7.9491815231897897E-3</v>
      </c>
      <c r="M22">
        <f>(Цены!M22-Цены!M$2)/Цены!M$2</f>
        <v>-0.10564915758176414</v>
      </c>
      <c r="N22">
        <f>(Цены!N22-Цены!N$2)/Цены!N$2</f>
        <v>5.1719265190767728E-2</v>
      </c>
      <c r="O22">
        <f>(Цены!O22-Цены!O$2)/Цены!O$2</f>
        <v>-5.7053291536050169E-2</v>
      </c>
      <c r="P22">
        <f>(Цены!P22-Цены!P$2)/Цены!P$2</f>
        <v>0.10449674878651888</v>
      </c>
      <c r="Q22">
        <f>(Цены!Q22-Цены!Q$2)/Цены!Q$2</f>
        <v>9.0781960144505208E-2</v>
      </c>
      <c r="R22">
        <f>(Цены!R22-Цены!R$2)/Цены!R$2</f>
        <v>9.4496790932677932E-2</v>
      </c>
      <c r="S22">
        <f>(Цены!S22-Цены!S$2)/Цены!S$2</f>
        <v>-2.2222222222222327E-2</v>
      </c>
      <c r="T22">
        <f>(Цены!T22-Цены!T$2)/Цены!T$2</f>
        <v>-6.3469675599435824E-2</v>
      </c>
      <c r="U22">
        <f>(Цены!U22-Цены!U$2)/Цены!U$2</f>
        <v>5.3982300884955751E-2</v>
      </c>
      <c r="V22">
        <f>(Цены!V22-Цены!V$2)/Цены!V$2</f>
        <v>-2.8404669260700406E-2</v>
      </c>
      <c r="W22">
        <f>(Цены!W22-Цены!W$2)/Цены!W$2</f>
        <v>0.16747858222744832</v>
      </c>
      <c r="X22">
        <f>(Цены!X22-Цены!X$2)/Цены!X$2</f>
        <v>-2.9924366984544631E-2</v>
      </c>
      <c r="Y22">
        <f>(Цены!Y22-Цены!Y$2)/Цены!Y$2</f>
        <v>1.02027963219549E-2</v>
      </c>
      <c r="Z22">
        <f>(Цены!Z22-Цены!Z$2)/Цены!Z$2</f>
        <v>0.10202827289489844</v>
      </c>
      <c r="AA22">
        <f>(Цены!AA22-Цены!AA$2)/Цены!AA$2</f>
        <v>0.12781954887218047</v>
      </c>
      <c r="AB22">
        <f>(Цены!AB22-Цены!AB$2)/Цены!AB$2</f>
        <v>-2.0939445387662705E-2</v>
      </c>
      <c r="AC22">
        <f>(Цены!AD22-Цены!AD$2)/Цены!AD$2</f>
        <v>-7.3846153846153909E-2</v>
      </c>
      <c r="AD22">
        <f>(Цены!AE22-Цены!AE$2)/Цены!AE$2</f>
        <v>8.4337349397590355E-2</v>
      </c>
      <c r="AE22">
        <f>(Цены!AF22-Цены!AF$2)/Цены!AF$2</f>
        <v>6.6769388803287694E-3</v>
      </c>
      <c r="AF22">
        <f>(Цены!AG22-Цены!AG$2)/Цены!AG$2</f>
        <v>-7.1481481481481562E-2</v>
      </c>
      <c r="AG22">
        <f>(Цены!AH22-Цены!AH$2)/Цены!AH$2</f>
        <v>3.0021443888491699E-2</v>
      </c>
      <c r="AH22">
        <f>(Цены!AI22-Цены!AI$2)/Цены!AI$2</f>
        <v>2.8446389496717635E-2</v>
      </c>
      <c r="AI22">
        <f>(Цены!AJ22-Цены!AJ$2)/Цены!AJ$2</f>
        <v>5.4448871181938911E-2</v>
      </c>
      <c r="AJ22">
        <f>(Цены!AK22-Цены!AK$2)/Цены!AK$2</f>
        <v>1.1605415860735069E-2</v>
      </c>
      <c r="AK22">
        <f>(Цены!AL22-Цены!AL$2)/Цены!AL$2</f>
        <v>-3.8461538461538464E-2</v>
      </c>
      <c r="AL22">
        <f>(Цены!AM22-Цены!AM$2)/Цены!AM$2</f>
        <v>-5.219047619047619E-2</v>
      </c>
      <c r="AM22">
        <f>(Цены!AN22-Цены!AN$2)/Цены!AN$2</f>
        <v>7.2664359861591699E-2</v>
      </c>
      <c r="AN22">
        <f>(Цены!AO22-Цены!AO$2)/Цены!AO$2</f>
        <v>-5.5555555555555615E-2</v>
      </c>
      <c r="AO22">
        <f>(Цены!AP22-Цены!AP$2)/Цены!AP$2</f>
        <v>6.5907241659886082E-2</v>
      </c>
      <c r="AP22">
        <f>(Цены!AQ22-Цены!AQ$2)/Цены!AQ$2</f>
        <v>-1.6483516483516484E-2</v>
      </c>
      <c r="AQ22">
        <f>(Цены!AR22-Цены!AR$2)/Цены!AR$2</f>
        <v>4.1860465116279069E-2</v>
      </c>
      <c r="AR22">
        <f>(Цены!AS22-Цены!AS$2)/Цены!AS$2</f>
        <v>1.8644067796610195E-2</v>
      </c>
      <c r="AS22">
        <f>(Цены!AU22-Цены!AU$2)/Цены!AU$2</f>
        <v>1.5779092702169567E-2</v>
      </c>
      <c r="AT22">
        <f>(Цены!AV22-Цены!AV$2)/Цены!AV$2</f>
        <v>0.20692128384436073</v>
      </c>
      <c r="AU22">
        <f>(Цены!AW22-Цены!AW$2)/Цены!AW$2</f>
        <v>0.20565552699228781</v>
      </c>
      <c r="AV22">
        <f>(Цены!AX22-Цены!AX$2)/Цены!AX$2</f>
        <v>3.3647375504710633E-3</v>
      </c>
    </row>
    <row r="23" spans="1:48" x14ac:dyDescent="0.2">
      <c r="A23" s="1" t="s">
        <v>89</v>
      </c>
      <c r="B23" s="2">
        <v>21</v>
      </c>
      <c r="C23">
        <f>(Цены!B23-Цены!B$2)/Цены!B$2</f>
        <v>2.8831756347765237E-2</v>
      </c>
      <c r="D23">
        <f>(Цены!C23-Цены!C$2)/Цены!C$2</f>
        <v>4.5160860587490852E-2</v>
      </c>
      <c r="E23">
        <f>(Цены!D23-Цены!D$2)/Цены!D$2</f>
        <v>3.5518672199170133E-2</v>
      </c>
      <c r="F23">
        <f>(Цены!E23-Цены!E$2)/Цены!E$2</f>
        <v>3.6409516943042536E-2</v>
      </c>
      <c r="G23">
        <f>(Цены!F23-Цены!F$2)/Цены!F$2</f>
        <v>6.0617283950617287E-2</v>
      </c>
      <c r="H23">
        <f>(Цены!G23-Цены!G$2)/Цены!G$2</f>
        <v>6.6214724893584199E-3</v>
      </c>
      <c r="I23">
        <f>(Цены!H23-Цены!H$2)/Цены!H$2</f>
        <v>6.4811284788409513E-3</v>
      </c>
      <c r="J23">
        <f>(Цены!J23-Цены!J$2)/Цены!J$2</f>
        <v>1.9583333333333366E-2</v>
      </c>
      <c r="K23">
        <f>(Цены!K23-Цены!K$2)/Цены!K$2</f>
        <v>4.4444444444444516E-2</v>
      </c>
      <c r="L23">
        <f>(Цены!L23-Цены!L$2)/Цены!L$2</f>
        <v>-6.8885089181779883E-3</v>
      </c>
      <c r="M23">
        <f>(Цены!M23-Цены!M$2)/Цены!M$2</f>
        <v>-9.6333002973240878E-2</v>
      </c>
      <c r="N23">
        <f>(Цены!N23-Цены!N$2)/Цены!N$2</f>
        <v>4.8233631653320681E-2</v>
      </c>
      <c r="O23">
        <f>(Цены!O23-Цены!O$2)/Цены!O$2</f>
        <v>-6.9592476489028179E-2</v>
      </c>
      <c r="P23">
        <f>(Цены!P23-Цены!P$2)/Цены!P$2</f>
        <v>0.12528619836981414</v>
      </c>
      <c r="Q23">
        <f>(Цены!Q23-Цены!Q$2)/Цены!Q$2</f>
        <v>9.4977275375830214E-2</v>
      </c>
      <c r="R23">
        <f>(Цены!R23-Цены!R$2)/Цены!R$2</f>
        <v>0.1238563430288134</v>
      </c>
      <c r="S23">
        <f>(Цены!S23-Цены!S$2)/Цены!S$2</f>
        <v>-2.1164750957854302E-2</v>
      </c>
      <c r="T23">
        <f>(Цены!T23-Цены!T$2)/Цены!T$2</f>
        <v>-7.4330042313117198E-2</v>
      </c>
      <c r="U23">
        <f>(Цены!U23-Цены!U$2)/Цены!U$2</f>
        <v>4.6902654867256637E-2</v>
      </c>
      <c r="V23">
        <f>(Цены!V23-Цены!V$2)/Цены!V$2</f>
        <v>-2.5680933852140084E-2</v>
      </c>
      <c r="W23">
        <f>(Цены!W23-Цены!W$2)/Цены!W$2</f>
        <v>0.18763648580547626</v>
      </c>
      <c r="X23">
        <f>(Цены!X23-Цены!X$2)/Цены!X$2</f>
        <v>-3.8474186122986004E-2</v>
      </c>
      <c r="Y23">
        <f>(Цены!Y23-Цены!Y$2)/Цены!Y$2</f>
        <v>2.2043078473359314E-2</v>
      </c>
      <c r="Z23">
        <f>(Цены!Z23-Цены!Z$2)/Цены!Z$2</f>
        <v>0.10848186846957589</v>
      </c>
      <c r="AA23">
        <f>(Цены!AA23-Цены!AA$2)/Цены!AA$2</f>
        <v>0.12626393570132224</v>
      </c>
      <c r="AB23">
        <f>(Цены!AB23-Цены!AB$2)/Цены!AB$2</f>
        <v>-3.9615166949632144E-2</v>
      </c>
      <c r="AC23">
        <f>(Цены!AD23-Цены!AD$2)/Цены!AD$2</f>
        <v>-7.1538461538461509E-2</v>
      </c>
      <c r="AD23">
        <f>(Цены!AE23-Цены!AE$2)/Цены!AE$2</f>
        <v>9.9397590361445784E-2</v>
      </c>
      <c r="AE23">
        <f>(Цены!AF23-Цены!AF$2)/Цены!AF$2</f>
        <v>1.4894709809964077E-2</v>
      </c>
      <c r="AF23">
        <f>(Цены!AG23-Цены!AG$2)/Цены!AG$2</f>
        <v>-8.7037037037036996E-2</v>
      </c>
      <c r="AG23">
        <f>(Цены!AH23-Цены!AH$2)/Цены!AH$2</f>
        <v>4.5746962115797034E-2</v>
      </c>
      <c r="AH23">
        <f>(Цены!AI23-Цены!AI$2)/Цены!AI$2</f>
        <v>3.1363967906637466E-2</v>
      </c>
      <c r="AI23">
        <f>(Цены!AJ23-Цены!AJ$2)/Цены!AJ$2</f>
        <v>6.6401062416998669E-2</v>
      </c>
      <c r="AJ23">
        <f>(Цены!AK23-Цены!AK$2)/Цены!AK$2</f>
        <v>3.4816247582205209E-2</v>
      </c>
      <c r="AK23">
        <f>(Цены!AL23-Цены!AL$2)/Цены!AL$2</f>
        <v>-1.769230769230767E-2</v>
      </c>
      <c r="AL23">
        <f>(Цены!AM23-Цены!AM$2)/Цены!AM$2</f>
        <v>-4.7619047619047616E-2</v>
      </c>
      <c r="AM23">
        <f>(Цены!AN23-Цены!AN$2)/Цены!AN$2</f>
        <v>7.1972318339100352E-2</v>
      </c>
      <c r="AN23">
        <f>(Цены!AO23-Цены!AO$2)/Цены!AO$2</f>
        <v>-5.3497942386831303E-2</v>
      </c>
      <c r="AO23">
        <f>(Цены!AP23-Цены!AP$2)/Цены!AP$2</f>
        <v>6.346623270951994E-2</v>
      </c>
      <c r="AP23">
        <f>(Цены!AQ23-Цены!AQ$2)/Цены!AQ$2</f>
        <v>-1.6483516483516484E-2</v>
      </c>
      <c r="AQ23">
        <f>(Цены!AR23-Цены!AR$2)/Цены!AR$2</f>
        <v>5.1162790697674418E-2</v>
      </c>
      <c r="AR23">
        <f>(Цены!AS23-Цены!AS$2)/Цены!AS$2</f>
        <v>2.2033898305084697E-2</v>
      </c>
      <c r="AS23">
        <f>(Цены!AU23-Цены!AU$2)/Цены!AU$2</f>
        <v>1.4792899408284023E-2</v>
      </c>
      <c r="AT23">
        <f>(Цены!AV23-Цены!AV$2)/Цены!AV$2</f>
        <v>0.22718307333691939</v>
      </c>
      <c r="AU23">
        <f>(Цены!AW23-Цены!AW$2)/Цены!AW$2</f>
        <v>0.22365038560411302</v>
      </c>
      <c r="AV23">
        <f>(Цены!AX23-Цены!AX$2)/Цены!AX$2</f>
        <v>4.0376850605652759E-3</v>
      </c>
    </row>
    <row r="24" spans="1:48" x14ac:dyDescent="0.2">
      <c r="A24" s="1" t="s">
        <v>90</v>
      </c>
      <c r="B24" s="2">
        <v>22</v>
      </c>
      <c r="C24">
        <f>(Цены!B24-Цены!B$2)/Цены!B$2</f>
        <v>3.772553017511452E-2</v>
      </c>
      <c r="D24">
        <f>(Цены!C24-Цены!C$2)/Цены!C$2</f>
        <v>7.1404782521814425E-2</v>
      </c>
      <c r="E24">
        <f>(Цены!D24-Цены!D$2)/Цены!D$2</f>
        <v>3.6265560165975139E-2</v>
      </c>
      <c r="F24">
        <f>(Цены!E24-Цены!E$2)/Цены!E$2</f>
        <v>5.0648882480173033E-2</v>
      </c>
      <c r="G24">
        <f>(Цены!F24-Цены!F$2)/Цены!F$2</f>
        <v>6.1728395061728392E-2</v>
      </c>
      <c r="H24">
        <f>(Цены!G24-Цены!G$2)/Цены!G$2</f>
        <v>7.8827053444742237E-3</v>
      </c>
      <c r="I24">
        <f>(Цены!H24-Цены!H$2)/Цены!H$2</f>
        <v>2.0015249714067807E-2</v>
      </c>
      <c r="J24">
        <f>(Цены!J24-Цены!J$2)/Цены!J$2</f>
        <v>3.888888888888889E-2</v>
      </c>
      <c r="K24">
        <f>(Цены!K24-Цены!K$2)/Цены!K$2</f>
        <v>4.7549019607843176E-2</v>
      </c>
      <c r="L24">
        <f>(Цены!L24-Цены!L$2)/Цены!L$2</f>
        <v>-1.0068394727977529E-2</v>
      </c>
      <c r="M24">
        <f>(Цены!M24-Цены!M$2)/Цены!M$2</f>
        <v>-8.8404360753221056E-2</v>
      </c>
      <c r="N24">
        <f>(Цены!N24-Цены!N$2)/Цены!N$2</f>
        <v>8.0075365049458308E-2</v>
      </c>
      <c r="O24">
        <f>(Цены!O24-Цены!O$2)/Цены!O$2</f>
        <v>-4.0877742946708422E-2</v>
      </c>
      <c r="P24">
        <f>(Цены!P24-Цены!P$2)/Цены!P$2</f>
        <v>0.13453612968220532</v>
      </c>
      <c r="Q24">
        <f>(Цены!Q24-Цены!Q$2)/Цены!Q$2</f>
        <v>9.6608786854678844E-2</v>
      </c>
      <c r="R24">
        <f>(Цены!R24-Цены!R$2)/Цены!R$2</f>
        <v>0.15239655878738226</v>
      </c>
      <c r="S24">
        <f>(Цены!S24-Цены!S$2)/Цены!S$2</f>
        <v>-1.915708812260538E-2</v>
      </c>
      <c r="T24">
        <f>(Цены!T24-Цены!T$2)/Цены!T$2</f>
        <v>-6.6290550070521898E-2</v>
      </c>
      <c r="U24">
        <f>(Цены!U24-Цены!U$2)/Цены!U$2</f>
        <v>4.5575221238938056E-2</v>
      </c>
      <c r="V24">
        <f>(Цены!V24-Цены!V$2)/Цены!V$2</f>
        <v>-6.1867704280155637E-2</v>
      </c>
      <c r="W24">
        <f>(Цены!W24-Цены!W$2)/Цены!W$2</f>
        <v>0.20981017974130681</v>
      </c>
      <c r="X24">
        <f>(Цены!X24-Цены!X$2)/Цены!X$2</f>
        <v>-3.3212758960868206E-2</v>
      </c>
      <c r="Y24">
        <f>(Цены!Y24-Цены!Y$2)/Цены!Y$2</f>
        <v>1.02027963219549E-2</v>
      </c>
      <c r="Z24">
        <f>(Цены!Z24-Цены!Z$2)/Цены!Z$2</f>
        <v>0.10633066994468335</v>
      </c>
      <c r="AA24">
        <f>(Цены!AA24-Цены!AA$2)/Цены!AA$2</f>
        <v>0.16670987814363497</v>
      </c>
      <c r="AB24">
        <f>(Цены!AB24-Цены!AB$2)/Цены!AB$2</f>
        <v>-2.9428409734012451E-2</v>
      </c>
      <c r="AC24">
        <f>(Цены!AD24-Цены!AD$2)/Цены!AD$2</f>
        <v>-6.5000000000000016E-2</v>
      </c>
      <c r="AD24">
        <f>(Цены!AE24-Цены!AE$2)/Цены!AE$2</f>
        <v>9.337349397590361E-2</v>
      </c>
      <c r="AE24">
        <f>(Цены!AF24-Цены!AF$2)/Цены!AF$2</f>
        <v>2.3369286081150548E-2</v>
      </c>
      <c r="AF24">
        <f>(Цены!AG24-Цены!AG$2)/Цены!AG$2</f>
        <v>-9.7037037037037033E-2</v>
      </c>
      <c r="AG24">
        <f>(Цены!AH24-Цены!AH$2)/Цены!AH$2</f>
        <v>6.2187276626161463E-2</v>
      </c>
      <c r="AH24">
        <f>(Цены!AI24-Цены!AI$2)/Цены!AI$2</f>
        <v>3.7928519328956932E-2</v>
      </c>
      <c r="AI24">
        <f>(Цены!AJ24-Цены!AJ$2)/Цены!AJ$2</f>
        <v>8.8977423638778225E-2</v>
      </c>
      <c r="AJ24">
        <f>(Цены!AK24-Цены!AK$2)/Цены!AK$2</f>
        <v>8.5321298087255595E-2</v>
      </c>
      <c r="AK24">
        <f>(Цены!AL24-Цены!AL$2)/Цены!AL$2</f>
        <v>-8.8461538461538907E-3</v>
      </c>
      <c r="AL24">
        <f>(Цены!AM24-Цены!AM$2)/Цены!AM$2</f>
        <v>-4.304761904761905E-2</v>
      </c>
      <c r="AM24">
        <f>(Цены!AN24-Цены!AN$2)/Цены!AN$2</f>
        <v>7.2664359861591699E-2</v>
      </c>
      <c r="AN24">
        <f>(Цены!AO24-Цены!AO$2)/Цены!AO$2</f>
        <v>-5.3497942386831303E-2</v>
      </c>
      <c r="AO24">
        <f>(Цены!AP24-Цены!AP$2)/Цены!AP$2</f>
        <v>1.3018714401952807E-2</v>
      </c>
      <c r="AP24">
        <f>(Цены!AQ24-Цены!AQ$2)/Цены!AQ$2</f>
        <v>5.4945054945054949E-3</v>
      </c>
      <c r="AQ24">
        <f>(Цены!AR24-Цены!AR$2)/Цены!AR$2</f>
        <v>5.1162790697674418E-2</v>
      </c>
      <c r="AR24">
        <f>(Цены!AS24-Цены!AS$2)/Цены!AS$2</f>
        <v>4.2372881355932202E-2</v>
      </c>
      <c r="AS24">
        <f>(Цены!AU24-Цены!AU$2)/Цены!AU$2</f>
        <v>1.3806706114398336E-2</v>
      </c>
      <c r="AT24">
        <f>(Цены!AV24-Цены!AV$2)/Цены!AV$2</f>
        <v>0.23238300161377085</v>
      </c>
      <c r="AU24">
        <f>(Цены!AW24-Цены!AW$2)/Цены!AW$2</f>
        <v>0.23136246786632381</v>
      </c>
      <c r="AV24">
        <f>(Цены!AX24-Цены!AX$2)/Цены!AX$2</f>
        <v>4.0376850605652759E-3</v>
      </c>
    </row>
    <row r="25" spans="1:48" x14ac:dyDescent="0.2">
      <c r="A25" s="1" t="s">
        <v>91</v>
      </c>
      <c r="B25" s="2">
        <v>23</v>
      </c>
      <c r="C25">
        <f>(Цены!B25-Цены!B$2)/Цены!B$2</f>
        <v>4.0656493251351414E-2</v>
      </c>
      <c r="D25">
        <f>(Цены!C25-Цены!C$2)/Цены!C$2</f>
        <v>6.5343369080130567E-2</v>
      </c>
      <c r="E25">
        <f>(Цены!D25-Цены!D$2)/Цены!D$2</f>
        <v>4.1908713692946034E-2</v>
      </c>
      <c r="F25">
        <f>(Цены!E25-Цены!E$2)/Цены!E$2</f>
        <v>4.8485940879596248E-2</v>
      </c>
      <c r="G25">
        <f>(Цены!F25-Цены!F$2)/Цены!F$2</f>
        <v>4.8888888888888891E-2</v>
      </c>
      <c r="H25">
        <f>(Цены!G25-Цены!G$2)/Цены!G$2</f>
        <v>-1.2612328551158043E-3</v>
      </c>
      <c r="I25">
        <f>(Цены!H25-Цены!H$2)/Цены!H$2</f>
        <v>3.1261913839115529E-2</v>
      </c>
      <c r="J25">
        <f>(Цены!J25-Цены!J$2)/Цены!J$2</f>
        <v>4.9444444444444478E-2</v>
      </c>
      <c r="K25">
        <f>(Цены!K25-Цены!K$2)/Цены!K$2</f>
        <v>3.9215686274509803E-2</v>
      </c>
      <c r="L25">
        <f>(Цены!L25-Цены!L$2)/Цены!L$2</f>
        <v>1.1658870634186169E-2</v>
      </c>
      <c r="M25">
        <f>(Цены!M25-Цены!M$2)/Цены!M$2</f>
        <v>-7.4529236868186369E-2</v>
      </c>
      <c r="N25">
        <f>(Цены!N25-Цены!N$2)/Цены!N$2</f>
        <v>7.5176636834667826E-2</v>
      </c>
      <c r="O25">
        <f>(Цены!O25-Цены!O$2)/Цены!O$2</f>
        <v>-4.7021943573667714E-2</v>
      </c>
      <c r="P25">
        <f>(Цены!P25-Цены!P$2)/Цены!P$2</f>
        <v>0.1344445462038649</v>
      </c>
      <c r="Q25">
        <f>(Цены!Q25-Цены!Q$2)/Цены!Q$2</f>
        <v>0.11688614380608321</v>
      </c>
      <c r="R25">
        <f>(Цены!R25-Цены!R$2)/Цены!R$2</f>
        <v>0.13942373344257822</v>
      </c>
      <c r="S25">
        <f>(Цены!S25-Цены!S$2)/Цены!S$2</f>
        <v>-2.3555555555555503E-2</v>
      </c>
      <c r="T25">
        <f>(Цены!T25-Цены!T$2)/Цены!T$2</f>
        <v>-6.7277856135402117E-2</v>
      </c>
      <c r="U25">
        <f>(Цены!U25-Цены!U$2)/Цены!U$2</f>
        <v>4.4690265486725667E-2</v>
      </c>
      <c r="V25">
        <f>(Цены!V25-Цены!V$2)/Цены!V$2</f>
        <v>-6.6147859922178961E-2</v>
      </c>
      <c r="W25">
        <f>(Цены!W25-Цены!W$2)/Цены!W$2</f>
        <v>0.19267596169998319</v>
      </c>
      <c r="X25">
        <f>(Цены!X25-Цены!X$2)/Цены!X$2</f>
        <v>-3.9789542913515365E-2</v>
      </c>
      <c r="Y25">
        <f>(Цены!Y25-Цены!Y$2)/Цены!Y$2</f>
        <v>-2.2672880715455647E-3</v>
      </c>
      <c r="Z25">
        <f>(Цены!Z25-Цены!Z$2)/Цены!Z$2</f>
        <v>0.11216963736939144</v>
      </c>
      <c r="AA25">
        <f>(Цены!AA25-Цены!AA$2)/Цены!AA$2</f>
        <v>9.6707285455016889E-2</v>
      </c>
      <c r="AB25">
        <f>(Цены!AB25-Цены!AB$2)/Цены!AB$2</f>
        <v>-2.4900962082625919E-2</v>
      </c>
      <c r="AC25">
        <f>(Цены!AD25-Цены!AD$2)/Цены!AD$2</f>
        <v>-6.0384615384615391E-2</v>
      </c>
      <c r="AD25">
        <f>(Цены!AE25-Цены!AE$2)/Цены!AE$2</f>
        <v>9.036144578313253E-2</v>
      </c>
      <c r="AE25">
        <f>(Цены!AF25-Цены!AF$2)/Цены!AF$2</f>
        <v>3.4925526450950241E-2</v>
      </c>
      <c r="AF25">
        <f>(Цены!AG25-Цены!AG$2)/Цены!AG$2</f>
        <v>-5.8024691358024724E-2</v>
      </c>
      <c r="AG25">
        <f>(Цены!AH25-Цены!AH$2)/Цены!AH$2</f>
        <v>5.7541100786275785E-2</v>
      </c>
      <c r="AH25">
        <f>(Цены!AI25-Цены!AI$2)/Цены!AI$2</f>
        <v>4.6681254558716176E-2</v>
      </c>
      <c r="AI25">
        <f>(Цены!AJ25-Цены!AJ$2)/Цены!AJ$2</f>
        <v>7.5697211155378488E-2</v>
      </c>
      <c r="AJ25">
        <f>(Цены!AK25-Цены!AK$2)/Цены!AK$2</f>
        <v>9.0264345583494707E-2</v>
      </c>
      <c r="AK25">
        <f>(Цены!AL25-Цены!AL$2)/Цены!AL$2</f>
        <v>1.3846153846153933E-2</v>
      </c>
      <c r="AL25">
        <f>(Цены!AM25-Цены!AM$2)/Цены!AM$2</f>
        <v>-7.2380952380952379E-2</v>
      </c>
      <c r="AM25">
        <f>(Цены!AN25-Цены!AN$2)/Цены!AN$2</f>
        <v>7.1972318339100352E-2</v>
      </c>
      <c r="AN25">
        <f>(Цены!AO25-Цены!AO$2)/Цены!AO$2</f>
        <v>-5.5555555555555615E-2</v>
      </c>
      <c r="AO25">
        <f>(Цены!AP25-Цены!AP$2)/Цены!AP$2</f>
        <v>-7.3230268510984537E-3</v>
      </c>
      <c r="AP25">
        <f>(Цены!AQ25-Цены!AQ$2)/Цены!AQ$2</f>
        <v>7.326007326007326E-3</v>
      </c>
      <c r="AQ25">
        <f>(Цены!AR25-Цены!AR$2)/Цены!AR$2</f>
        <v>6.0465116279069767E-2</v>
      </c>
      <c r="AR25">
        <f>(Цены!AS25-Цены!AS$2)/Цены!AS$2</f>
        <v>4.4915254237288114E-2</v>
      </c>
      <c r="AS25">
        <f>(Цены!AU25-Цены!AU$2)/Цены!AU$2</f>
        <v>1.6765285996055115E-2</v>
      </c>
      <c r="AT25">
        <f>(Цены!AV25-Цены!AV$2)/Цены!AV$2</f>
        <v>0.24188631880939576</v>
      </c>
      <c r="AU25">
        <f>(Цены!AW25-Цены!AW$2)/Цены!AW$2</f>
        <v>0.22879177377892021</v>
      </c>
      <c r="AV25">
        <f>(Цены!AX25-Цены!AX$2)/Цены!AX$2</f>
        <v>-6.0565275908479139E-3</v>
      </c>
    </row>
    <row r="26" spans="1:48" x14ac:dyDescent="0.2">
      <c r="A26" s="1" t="s">
        <v>92</v>
      </c>
      <c r="B26" s="2">
        <v>24</v>
      </c>
      <c r="C26">
        <f>(Цены!B26-Цены!B$2)/Цены!B$2</f>
        <v>4.107065107734139E-2</v>
      </c>
      <c r="D26">
        <f>(Цены!C26-Цены!C$2)/Цены!C$2</f>
        <v>7.5068274162392659E-2</v>
      </c>
      <c r="E26">
        <f>(Цены!D26-Цены!D$2)/Цены!D$2</f>
        <v>3.7344398340248962E-2</v>
      </c>
      <c r="F26">
        <f>(Цены!E26-Цены!E$2)/Цены!E$2</f>
        <v>5.371304974765681E-2</v>
      </c>
      <c r="G26">
        <f>(Цены!F26-Цены!F$2)/Цены!F$2</f>
        <v>4.6913580246913583E-2</v>
      </c>
      <c r="H26">
        <f>(Цены!G26-Цены!G$2)/Цены!G$2</f>
        <v>-1.4346523726942945E-2</v>
      </c>
      <c r="I26">
        <f>(Цены!H26-Цены!H$2)/Цены!H$2</f>
        <v>1.6774685474647399E-2</v>
      </c>
      <c r="J26">
        <f>(Цены!J26-Цены!J$2)/Цены!J$2</f>
        <v>0.05</v>
      </c>
      <c r="K26">
        <f>(Цены!K26-Цены!K$2)/Цены!K$2</f>
        <v>3.9215686274509803E-2</v>
      </c>
      <c r="L26">
        <f>(Цены!L26-Цены!L$2)/Цены!L$2</f>
        <v>3.0207316189168453E-2</v>
      </c>
      <c r="M26">
        <f>(Цены!M26-Цены!M$2)/Цены!M$2</f>
        <v>-6.2834489593657061E-2</v>
      </c>
      <c r="N26">
        <f>(Цены!N26-Цены!N$2)/Цены!N$2</f>
        <v>4.9269901083372487E-2</v>
      </c>
      <c r="O26">
        <f>(Цены!O26-Цены!O$2)/Цены!O$2</f>
        <v>-4.2131661442006196E-2</v>
      </c>
      <c r="P26">
        <f>(Цены!P26-Цены!P$2)/Цены!P$2</f>
        <v>0.13737521751076107</v>
      </c>
      <c r="Q26">
        <f>(Цены!Q26-Цены!Q$2)/Цены!Q$2</f>
        <v>0.1199160936953734</v>
      </c>
      <c r="R26">
        <f>(Цены!R26-Цены!R$2)/Цены!R$2</f>
        <v>0.14024306978014481</v>
      </c>
      <c r="S26">
        <f>(Цены!S26-Цены!S$2)/Цены!S$2</f>
        <v>-2.2222222222222327E-2</v>
      </c>
      <c r="T26">
        <f>(Цены!T26-Цены!T$2)/Цены!T$2</f>
        <v>-6.6008462623413353E-2</v>
      </c>
      <c r="U26">
        <f>(Цены!U26-Цены!U$2)/Цены!U$2</f>
        <v>3.5840707964601773E-2</v>
      </c>
      <c r="V26">
        <f>(Цены!V26-Цены!V$2)/Цены!V$2</f>
        <v>-7.3151750972762608E-2</v>
      </c>
      <c r="W26">
        <f>(Цены!W26-Цены!W$2)/Цены!W$2</f>
        <v>0.15403997984209644</v>
      </c>
      <c r="X26">
        <f>(Цены!X26-Цены!X$2)/Цены!X$2</f>
        <v>-1.8743834265044543E-2</v>
      </c>
      <c r="Y26">
        <f>(Цены!Y26-Цены!Y$2)/Цены!Y$2</f>
        <v>-1.1966242599823736E-2</v>
      </c>
      <c r="Z26">
        <f>(Цены!Z26-Цены!Z$2)/Цены!Z$2</f>
        <v>0.10633066994468335</v>
      </c>
      <c r="AA26">
        <f>(Цены!AA26-Цены!AA$2)/Цены!AA$2</f>
        <v>0.10344827586206906</v>
      </c>
      <c r="AB26">
        <f>(Цены!AB26-Цены!AB$2)/Цены!AB$2</f>
        <v>-2.5466893039049237E-2</v>
      </c>
      <c r="AC26">
        <f>(Цены!AD26-Цены!AD$2)/Цены!AD$2</f>
        <v>-6.1153846153846246E-2</v>
      </c>
      <c r="AD26">
        <f>(Цены!AE26-Цены!AE$2)/Цены!AE$2</f>
        <v>9.337349397590361E-2</v>
      </c>
      <c r="AE26">
        <f>(Цены!AF26-Цены!AF$2)/Цены!AF$2</f>
        <v>3.2357473035439198E-2</v>
      </c>
      <c r="AF26">
        <f>(Цены!AG26-Цены!AG$2)/Цены!AG$2</f>
        <v>-4.2592592592592626E-2</v>
      </c>
      <c r="AG26">
        <f>(Цены!AH26-Цены!AH$2)/Цены!AH$2</f>
        <v>1.1436740528949208E-2</v>
      </c>
      <c r="AH26">
        <f>(Цены!AI26-Цены!AI$2)/Цены!AI$2</f>
        <v>4.5951859956236248E-2</v>
      </c>
      <c r="AI26">
        <f>(Цены!AJ26-Цены!AJ$2)/Цены!AJ$2</f>
        <v>7.5697211155378488E-2</v>
      </c>
      <c r="AJ26">
        <f>(Цены!AK26-Цены!AK$2)/Цены!AK$2</f>
        <v>8.7255534064044835E-2</v>
      </c>
      <c r="AK26">
        <f>(Цены!AL26-Цены!AL$2)/Цены!AL$2</f>
        <v>1.6923076923076836E-2</v>
      </c>
      <c r="AL26">
        <f>(Цены!AM26-Цены!AM$2)/Цены!AM$2</f>
        <v>-5.3333333333333337E-2</v>
      </c>
      <c r="AM26">
        <f>(Цены!AN26-Цены!AN$2)/Цены!AN$2</f>
        <v>8.442906574394464E-2</v>
      </c>
      <c r="AN26">
        <f>(Цены!AO26-Цены!AO$2)/Цены!AO$2</f>
        <v>-3.7037037037037125E-2</v>
      </c>
      <c r="AO26">
        <f>(Цены!AP26-Цены!AP$2)/Цены!AP$2</f>
        <v>-1.0577705451586655E-2</v>
      </c>
      <c r="AP26">
        <f>(Цены!AQ26-Цены!AQ$2)/Цены!AQ$2</f>
        <v>-3.663003663003663E-3</v>
      </c>
      <c r="AQ26">
        <f>(Цены!AR26-Цены!AR$2)/Цены!AR$2</f>
        <v>6.9767441860465115E-2</v>
      </c>
      <c r="AR26">
        <f>(Цены!AS26-Цены!AS$2)/Цены!AS$2</f>
        <v>3.9830508474576296E-2</v>
      </c>
      <c r="AS26">
        <f>(Цены!AU26-Цены!AU$2)/Цены!AU$2</f>
        <v>5.6213017751479175E-2</v>
      </c>
      <c r="AT26">
        <f>(Цены!AV26-Цены!AV$2)/Цены!AV$2</f>
        <v>0.22825892056661282</v>
      </c>
      <c r="AU26">
        <f>(Цены!AW26-Цены!AW$2)/Цены!AW$2</f>
        <v>0.17994858611825193</v>
      </c>
      <c r="AV26">
        <f>(Цены!AX26-Цены!AX$2)/Цены!AX$2</f>
        <v>-6.7294751009421266E-3</v>
      </c>
    </row>
    <row r="27" spans="1:48" x14ac:dyDescent="0.2">
      <c r="A27" s="1" t="s">
        <v>93</v>
      </c>
      <c r="B27" s="2">
        <v>25</v>
      </c>
      <c r="C27">
        <f>(Цены!B27-Цены!B$2)/Цены!B$2</f>
        <v>4.0231715993925679E-2</v>
      </c>
      <c r="D27">
        <f>(Цены!C27-Цены!C$2)/Цены!C$2</f>
        <v>7.8931592619729526E-2</v>
      </c>
      <c r="E27">
        <f>(Цены!D27-Цены!D$2)/Цены!D$2</f>
        <v>3.8506224066390045E-2</v>
      </c>
      <c r="F27">
        <f>(Цены!E27-Цены!E$2)/Цены!E$2</f>
        <v>3.8211968276856523E-2</v>
      </c>
      <c r="G27">
        <f>(Цены!F27-Цены!F$2)/Цены!F$2</f>
        <v>6.0864197530864195E-2</v>
      </c>
      <c r="H27">
        <f>(Цены!G27-Цены!G$2)/Цены!G$2</f>
        <v>-1.4661831940721985E-2</v>
      </c>
      <c r="I27">
        <f>(Цены!H27-Цены!H$2)/Цены!H$2</f>
        <v>2.363705680518494E-2</v>
      </c>
      <c r="J27">
        <f>(Цены!J27-Цены!J$2)/Цены!J$2</f>
        <v>4.8055555555555587E-2</v>
      </c>
      <c r="K27">
        <f>(Цены!K27-Цены!K$2)/Цены!K$2</f>
        <v>3.2352941176470515E-2</v>
      </c>
      <c r="L27">
        <f>(Цены!L27-Цены!L$2)/Цены!L$2</f>
        <v>1.9395917636373793E-2</v>
      </c>
      <c r="M27">
        <f>(Цены!M27-Цены!M$2)/Цены!M$2</f>
        <v>-6.9177403369672902E-2</v>
      </c>
      <c r="N27">
        <f>(Цены!N27-Цены!N$2)/Цены!N$2</f>
        <v>5.511069241639184E-2</v>
      </c>
      <c r="O27">
        <f>(Цены!O27-Цены!O$2)/Цены!O$2</f>
        <v>-3.4231974921630055E-2</v>
      </c>
      <c r="P27">
        <f>(Цены!P27-Цены!P$2)/Цены!P$2</f>
        <v>0.13563513142229144</v>
      </c>
      <c r="Q27">
        <f>(Цены!Q27-Цены!Q$2)/Цены!Q$2</f>
        <v>0.12807365108961652</v>
      </c>
      <c r="R27">
        <f>(Цены!R27-Цены!R$2)/Цены!R$2</f>
        <v>0.14024306978014481</v>
      </c>
      <c r="S27">
        <f>(Цены!S27-Цены!S$2)/Цены!S$2</f>
        <v>-2.1164750957854302E-2</v>
      </c>
      <c r="T27">
        <f>(Цены!T27-Цены!T$2)/Цены!T$2</f>
        <v>-5.3314527503526103E-2</v>
      </c>
      <c r="U27">
        <f>(Цены!U27-Цены!U$2)/Цены!U$2</f>
        <v>3.2743362831858407E-2</v>
      </c>
      <c r="V27">
        <f>(Цены!V27-Цены!V$2)/Цены!V$2</f>
        <v>-9.6498054474708189E-2</v>
      </c>
      <c r="W27">
        <f>(Цены!W27-Цены!W$2)/Цены!W$2</f>
        <v>0.21048210986057453</v>
      </c>
      <c r="X27">
        <f>(Цены!X27-Цены!X$2)/Цены!X$2</f>
        <v>-1.3811246300559176E-2</v>
      </c>
      <c r="Y27">
        <f>(Цены!Y27-Цены!Y$2)/Цены!Y$2</f>
        <v>-6.5499433177983284E-3</v>
      </c>
      <c r="Z27">
        <f>(Цены!Z27-Цены!Z$2)/Цены!Z$2</f>
        <v>8.6969883220651481E-2</v>
      </c>
      <c r="AA27">
        <f>(Цены!AA27-Цены!AA$2)/Цены!AA$2</f>
        <v>8.4780917811770773E-2</v>
      </c>
      <c r="AB27">
        <f>(Цены!AB27-Цены!AB$2)/Цены!AB$2</f>
        <v>-2.7164685908319185E-2</v>
      </c>
      <c r="AC27">
        <f>(Цены!AD27-Цены!AD$2)/Цены!AD$2</f>
        <v>-6.153846153846159E-2</v>
      </c>
      <c r="AD27">
        <f>(Цены!AE27-Цены!AE$2)/Цены!AE$2</f>
        <v>0.11144578313253012</v>
      </c>
      <c r="AE27">
        <f>(Цены!AF27-Цены!AF$2)/Цены!AF$2</f>
        <v>5.264509501797638E-2</v>
      </c>
      <c r="AF27">
        <f>(Цены!AG27-Цены!AG$2)/Цены!AG$2</f>
        <v>-4.1358024691357957E-2</v>
      </c>
      <c r="AG27">
        <f>(Цены!AH27-Цены!AH$2)/Цены!AH$2</f>
        <v>2.4660471765546737E-2</v>
      </c>
      <c r="AH27">
        <f>(Цены!AI27-Цены!AI$2)/Цены!AI$2</f>
        <v>2.917578409919756E-2</v>
      </c>
      <c r="AI27">
        <f>(Цены!AJ27-Цены!AJ$2)/Цены!AJ$2</f>
        <v>7.0385126162018599E-2</v>
      </c>
      <c r="AJ27">
        <f>(Цены!AK27-Цены!AK$2)/Цены!AK$2</f>
        <v>6.8128089404685191E-2</v>
      </c>
      <c r="AK27">
        <f>(Цены!AL27-Цены!AL$2)/Цены!AL$2</f>
        <v>1.1538461538461539E-2</v>
      </c>
      <c r="AL27">
        <f>(Цены!AM27-Цены!AM$2)/Цены!AM$2</f>
        <v>-6.933333333333333E-2</v>
      </c>
      <c r="AM27">
        <f>(Цены!AN27-Цены!AN$2)/Цены!AN$2</f>
        <v>9.1349480968858129E-2</v>
      </c>
      <c r="AN27">
        <f>(Цены!AO27-Цены!AO$2)/Цены!AO$2</f>
        <v>-1.0288065843621399E-2</v>
      </c>
      <c r="AO27">
        <f>(Цены!AP27-Цены!AP$2)/Цены!AP$2</f>
        <v>-7.3230268510984537E-3</v>
      </c>
      <c r="AP27">
        <f>(Цены!AQ27-Цены!AQ$2)/Цены!AQ$2</f>
        <v>-2.0146520146520148E-2</v>
      </c>
      <c r="AQ27">
        <f>(Цены!AR27-Цены!AR$2)/Цены!AR$2</f>
        <v>-1.8604651162790697E-2</v>
      </c>
      <c r="AR27">
        <f>(Цены!AS27-Цены!AS$2)/Цены!AS$2</f>
        <v>2.372881355932201E-2</v>
      </c>
      <c r="AS27">
        <f>(Цены!AU27-Цены!AU$2)/Цены!AU$2</f>
        <v>6.5088757396449648E-2</v>
      </c>
      <c r="AT27">
        <f>(Цены!AV27-Цены!AV$2)/Цены!AV$2</f>
        <v>0.25497579343733173</v>
      </c>
      <c r="AU27">
        <f>(Цены!AW27-Цены!AW$2)/Цены!AW$2</f>
        <v>0.20025706940874027</v>
      </c>
      <c r="AV27">
        <f>(Цены!AX27-Цены!AX$2)/Цены!AX$2</f>
        <v>-3.3647375504710633E-3</v>
      </c>
    </row>
    <row r="28" spans="1:48" x14ac:dyDescent="0.2">
      <c r="A28" s="1" t="s">
        <v>94</v>
      </c>
      <c r="B28" s="2">
        <v>26</v>
      </c>
      <c r="C28">
        <f>(Цены!B28-Цены!B$2)/Цены!B$2</f>
        <v>3.4178640075610417E-2</v>
      </c>
      <c r="D28">
        <f>(Цены!C28-Цены!C$2)/Цены!C$2</f>
        <v>7.7066542329980642E-2</v>
      </c>
      <c r="E28">
        <f>(Цены!D28-Цены!D$2)/Цены!D$2</f>
        <v>3.3112033195020707E-2</v>
      </c>
      <c r="F28">
        <f>(Цены!E28-Цены!E$2)/Цены!E$2</f>
        <v>2.3792357606344627E-2</v>
      </c>
      <c r="G28">
        <f>(Цены!F28-Цены!F$2)/Цены!F$2</f>
        <v>5.8518518518518518E-2</v>
      </c>
      <c r="H28">
        <f>(Цены!G28-Цены!G$2)/Цены!G$2</f>
        <v>-2.7274160491880743E-2</v>
      </c>
      <c r="I28">
        <f>(Цены!H28-Цены!H$2)/Цены!H$2</f>
        <v>6.8623713305375417E-3</v>
      </c>
      <c r="J28">
        <f>(Цены!J28-Цены!J$2)/Цены!J$2</f>
        <v>3.2638888888888891E-2</v>
      </c>
      <c r="K28">
        <f>(Цены!K28-Цены!K$2)/Цены!K$2</f>
        <v>2.9738562091503343E-2</v>
      </c>
      <c r="L28">
        <f>(Цены!L28-Цены!L$2)/Цены!L$2</f>
        <v>1.7488838952588414E-2</v>
      </c>
      <c r="M28">
        <f>(Цены!M28-Цены!M$2)/Цены!M$2</f>
        <v>-7.7106045589692723E-2</v>
      </c>
      <c r="N28">
        <f>(Цены!N28-Цены!N$2)/Цены!N$2</f>
        <v>4.569006123410263E-2</v>
      </c>
      <c r="O28">
        <f>(Цены!O28-Цены!O$2)/Цены!O$2</f>
        <v>-4.2633228840125374E-2</v>
      </c>
      <c r="P28">
        <f>(Цены!P28-Цены!P$2)/Цены!P$2</f>
        <v>0.15642458100558657</v>
      </c>
      <c r="Q28">
        <f>(Цены!Q28-Цены!Q$2)/Цены!Q$2</f>
        <v>0.11875072835333875</v>
      </c>
      <c r="R28">
        <f>(Цены!R28-Цены!R$2)/Цены!R$2</f>
        <v>0.14201829851153899</v>
      </c>
      <c r="S28">
        <f>(Цены!S28-Цены!S$2)/Цены!S$2</f>
        <v>-2.6819923371647531E-2</v>
      </c>
      <c r="T28">
        <f>(Цены!T28-Цены!T$2)/Цены!T$2</f>
        <v>-5.8533145275035336E-2</v>
      </c>
      <c r="U28">
        <f>(Цены!U28-Цены!U$2)/Цены!U$2</f>
        <v>4.0707964601769911E-2</v>
      </c>
      <c r="V28">
        <f>(Цены!V28-Цены!V$2)/Цены!V$2</f>
        <v>-0.11245136186770431</v>
      </c>
      <c r="W28">
        <f>(Цены!W28-Цены!W$2)/Цены!W$2</f>
        <v>0.19418780446833533</v>
      </c>
      <c r="X28">
        <f>(Цены!X28-Цены!X$2)/Цены!X$2</f>
        <v>-2.8609010194015273E-2</v>
      </c>
      <c r="Y28">
        <f>(Цены!Y28-Цены!Y$2)/Цены!Y$2</f>
        <v>-6.1720619725406413E-3</v>
      </c>
      <c r="Z28">
        <f>(Цены!Z28-Цены!Z$2)/Цены!Z$2</f>
        <v>3.7185003073140745E-2</v>
      </c>
      <c r="AA28">
        <f>(Цены!AA28-Цены!AA$2)/Цены!AA$2</f>
        <v>8.2188229193673815E-2</v>
      </c>
      <c r="AB28">
        <f>(Цены!AB28-Цены!AB$2)/Цены!AB$2</f>
        <v>-2.5466893039049237E-2</v>
      </c>
      <c r="AC28">
        <f>(Цены!AD28-Цены!AD$2)/Цены!AD$2</f>
        <v>-5.5769230769230772E-2</v>
      </c>
      <c r="AD28">
        <f>(Цены!AE28-Цены!AE$2)/Цены!AE$2</f>
        <v>0.10542168674698796</v>
      </c>
      <c r="AE28">
        <f>(Цены!AF28-Цены!AF$2)/Цены!AF$2</f>
        <v>6.6769388803287116E-2</v>
      </c>
      <c r="AF28">
        <f>(Цены!AG28-Цены!AG$2)/Цены!AG$2</f>
        <v>-3.9999999999999938E-2</v>
      </c>
      <c r="AG28">
        <f>(Цены!AH28-Цены!AH$2)/Цены!AH$2</f>
        <v>3.7169406719084981E-2</v>
      </c>
      <c r="AH28">
        <f>(Цены!AI28-Цены!AI$2)/Цены!AI$2</f>
        <v>3.7199124726477004E-2</v>
      </c>
      <c r="AI28">
        <f>(Цены!AJ28-Цены!AJ$2)/Цены!AJ$2</f>
        <v>0.10225763612217796</v>
      </c>
      <c r="AJ28">
        <f>(Цены!AK28-Цены!AK$2)/Цены!AK$2</f>
        <v>8.9834515366430306E-2</v>
      </c>
      <c r="AK28">
        <f>(Цены!AL28-Цены!AL$2)/Цены!AL$2</f>
        <v>1.192307692307701E-2</v>
      </c>
      <c r="AL28">
        <f>(Цены!AM28-Цены!AM$2)/Цены!AM$2</f>
        <v>-6.9714285714285715E-2</v>
      </c>
      <c r="AM28">
        <f>(Цены!AN28-Цены!AN$2)/Цены!AN$2</f>
        <v>9.2733564013840836E-2</v>
      </c>
      <c r="AN28">
        <f>(Цены!AO28-Цены!AO$2)/Цены!AO$2</f>
        <v>-8.2304526748970906E-3</v>
      </c>
      <c r="AO28">
        <f>(Цены!AP28-Цены!AP$2)/Цены!AP$2</f>
        <v>-1.1391375101708706E-2</v>
      </c>
      <c r="AP28">
        <f>(Цены!AQ28-Цены!AQ$2)/Цены!AQ$2</f>
        <v>-1.8315018315018316E-2</v>
      </c>
      <c r="AQ28">
        <f>(Цены!AR28-Цены!AR$2)/Цены!AR$2</f>
        <v>-1.4883720930232505E-2</v>
      </c>
      <c r="AR28">
        <f>(Цены!AS28-Цены!AS$2)/Цены!AS$2</f>
        <v>1.4406779661016974E-2</v>
      </c>
      <c r="AS28">
        <f>(Цены!AU28-Цены!AU$2)/Цены!AU$2</f>
        <v>5.1282051282051169E-2</v>
      </c>
      <c r="AT28">
        <f>(Цены!AV28-Цены!AV$2)/Цены!AV$2</f>
        <v>0.27129280975434827</v>
      </c>
      <c r="AU28">
        <f>(Цены!AW28-Цены!AW$2)/Цены!AW$2</f>
        <v>0.2133676092544986</v>
      </c>
      <c r="AV28">
        <f>(Цены!AX28-Цены!AX$2)/Цены!AX$2</f>
        <v>-8.0753701211305519E-3</v>
      </c>
    </row>
    <row r="29" spans="1:48" x14ac:dyDescent="0.2">
      <c r="A29" s="1" t="s">
        <v>95</v>
      </c>
      <c r="B29" s="2">
        <v>27</v>
      </c>
      <c r="C29">
        <f>(Цены!B29-Цены!B$2)/Цены!B$2</f>
        <v>3.6398101245659405E-2</v>
      </c>
      <c r="D29">
        <f>(Цены!C29-Цены!C$2)/Цены!C$2</f>
        <v>9.4651302204755941E-2</v>
      </c>
      <c r="E29">
        <f>(Цены!D29-Цены!D$2)/Цены!D$2</f>
        <v>-3.2365145228215814E-3</v>
      </c>
      <c r="F29">
        <f>(Цены!E29-Цены!E$2)/Цены!E$2</f>
        <v>4.3979812545061281E-2</v>
      </c>
      <c r="G29">
        <f>(Цены!F29-Цены!F$2)/Цены!F$2</f>
        <v>7.3209876543209873E-2</v>
      </c>
      <c r="H29">
        <f>(Цены!G29-Цены!G$2)/Цены!G$2</f>
        <v>-1.4977140154501026E-2</v>
      </c>
      <c r="I29">
        <f>(Цены!H29-Цены!H$2)/Цены!H$2</f>
        <v>2.6686999618757121E-2</v>
      </c>
      <c r="J29">
        <f>(Цены!J29-Цены!J$2)/Цены!J$2</f>
        <v>7.3611111111111113E-2</v>
      </c>
      <c r="K29">
        <f>(Цены!K29-Цены!K$2)/Цены!K$2</f>
        <v>4.084967320261438E-2</v>
      </c>
      <c r="L29">
        <f>(Цены!L29-Цены!L$2)/Цены!L$2</f>
        <v>1.0069460730595461E-2</v>
      </c>
      <c r="M29">
        <f>(Цены!M29-Цены!M$2)/Цены!M$2</f>
        <v>-8.424182358771061E-2</v>
      </c>
      <c r="N29">
        <f>(Цены!N29-Цены!N$2)/Цены!N$2</f>
        <v>7.272727272727271E-2</v>
      </c>
      <c r="O29">
        <f>(Цены!O29-Цены!O$2)/Цены!O$2</f>
        <v>-4.1755485893416842E-2</v>
      </c>
      <c r="P29">
        <f>(Цены!P29-Цены!P$2)/Цены!P$2</f>
        <v>0.16082058796593096</v>
      </c>
      <c r="Q29">
        <f>(Цены!Q29-Цены!Q$2)/Цены!Q$2</f>
        <v>4.1137396573825903E-2</v>
      </c>
      <c r="R29">
        <f>(Цены!R29-Цены!R$2)/Цены!R$2</f>
        <v>0.17438208384541862</v>
      </c>
      <c r="S29">
        <f>(Цены!S29-Цены!S$2)/Цены!S$2</f>
        <v>-1.7624521072796908E-2</v>
      </c>
      <c r="T29">
        <f>(Цены!T29-Цены!T$2)/Цены!T$2</f>
        <v>-5.6558533145275106E-2</v>
      </c>
      <c r="U29">
        <f>(Цены!U29-Цены!U$2)/Цены!U$2</f>
        <v>4.247787610619469E-2</v>
      </c>
      <c r="V29">
        <f>(Цены!V29-Цены!V$2)/Цены!V$2</f>
        <v>-0.12062256809338513</v>
      </c>
      <c r="W29">
        <f>(Цены!W29-Цены!W$2)/Цены!W$2</f>
        <v>0.2054426339660676</v>
      </c>
      <c r="X29">
        <f>(Цены!X29-Цены!X$2)/Цены!X$2</f>
        <v>-2.2689904636632795E-2</v>
      </c>
      <c r="Y29">
        <f>(Цены!Y29-Цены!Y$2)/Цены!Y$2</f>
        <v>8.9431918377627963E-3</v>
      </c>
      <c r="Z29">
        <f>(Цены!Z29-Цены!Z$2)/Цены!Z$2</f>
        <v>5.9926244622003563E-2</v>
      </c>
      <c r="AA29">
        <f>(Цены!AA29-Цены!AA$2)/Цены!AA$2</f>
        <v>0.10292973813844955</v>
      </c>
      <c r="AB29">
        <f>(Цены!AB29-Цены!AB$2)/Цены!AB$2</f>
        <v>-6.2818336162988112E-2</v>
      </c>
      <c r="AC29">
        <f>(Цены!AD29-Цены!AD$2)/Цены!AD$2</f>
        <v>-4.9230769230769272E-2</v>
      </c>
      <c r="AD29">
        <f>(Цены!AE29-Цены!AE$2)/Цены!AE$2</f>
        <v>0.10692771084337349</v>
      </c>
      <c r="AE29">
        <f>(Цены!AF29-Цены!AF$2)/Цены!AF$2</f>
        <v>5.2901900359527541E-2</v>
      </c>
      <c r="AF29">
        <f>(Цены!AG29-Цены!AG$2)/Цены!AG$2</f>
        <v>-2.2222222222222188E-2</v>
      </c>
      <c r="AG29">
        <f>(Цены!AH29-Цены!AH$2)/Цены!AH$2</f>
        <v>3.7169406719084981E-2</v>
      </c>
      <c r="AH29">
        <f>(Цены!AI29-Цены!AI$2)/Цены!AI$2</f>
        <v>3.7928519328956932E-2</v>
      </c>
      <c r="AI29">
        <f>(Цены!AJ29-Цены!AJ$2)/Цены!AJ$2</f>
        <v>8.565737051792828E-2</v>
      </c>
      <c r="AJ29">
        <f>(Цены!AK29-Цены!AK$2)/Цены!AK$2</f>
        <v>9.1553836234687339E-2</v>
      </c>
      <c r="AK29">
        <f>(Цены!AL29-Цены!AL$2)/Цены!AL$2</f>
        <v>1.1538461538461539E-2</v>
      </c>
      <c r="AL29">
        <f>(Цены!AM29-Цены!AM$2)/Цены!AM$2</f>
        <v>-7.5047619047619044E-2</v>
      </c>
      <c r="AM29">
        <f>(Цены!AN29-Цены!AN$2)/Цены!AN$2</f>
        <v>9.2041522491349476E-2</v>
      </c>
      <c r="AN29">
        <f>(Цены!AO29-Цены!AO$2)/Цены!AO$2</f>
        <v>-1.4403292181070016E-2</v>
      </c>
      <c r="AO29">
        <f>(Цены!AP29-Цены!AP$2)/Цены!AP$2</f>
        <v>1.5459723352318959E-2</v>
      </c>
      <c r="AP29">
        <f>(Цены!AQ29-Цены!AQ$2)/Цены!AQ$2</f>
        <v>5.4945054945054949E-3</v>
      </c>
      <c r="AQ29">
        <f>(Цены!AR29-Цены!AR$2)/Цены!AR$2</f>
        <v>5.5813953488371565E-3</v>
      </c>
      <c r="AR29">
        <f>(Цены!AS29-Цены!AS$2)/Цены!AS$2</f>
        <v>3.3898305084745763E-2</v>
      </c>
      <c r="AS29">
        <f>(Цены!AU29-Цены!AU$2)/Цены!AU$2</f>
        <v>4.9309664694280074E-2</v>
      </c>
      <c r="AT29">
        <f>(Цены!AV29-Цены!AV$2)/Цены!AV$2</f>
        <v>0.28205128205128199</v>
      </c>
      <c r="AU29">
        <f>(Цены!AW29-Цены!AW$2)/Цены!AW$2</f>
        <v>0.21850899742930582</v>
      </c>
      <c r="AV29">
        <f>(Цены!AX29-Цены!AX$2)/Цены!AX$2</f>
        <v>-7.4024226110363392E-3</v>
      </c>
    </row>
    <row r="30" spans="1:48" x14ac:dyDescent="0.2">
      <c r="A30" s="1" t="s">
        <v>96</v>
      </c>
      <c r="B30" s="2">
        <v>28</v>
      </c>
      <c r="C30">
        <f>(Цены!B30-Цены!B$2)/Цены!B$2</f>
        <v>3.3541474189471933E-2</v>
      </c>
      <c r="D30">
        <f>(Цены!C30-Цены!C$2)/Цены!C$2</f>
        <v>9.1920335709052239E-2</v>
      </c>
      <c r="E30">
        <f>(Цены!D30-Цены!D$2)/Цены!D$2</f>
        <v>8.2987551867215199E-4</v>
      </c>
      <c r="F30">
        <f>(Цены!E30-Цены!E$2)/Цены!E$2</f>
        <v>4.3979812545061281E-2</v>
      </c>
      <c r="G30">
        <f>(Цены!F30-Цены!F$2)/Цены!F$2</f>
        <v>3.8271604938271607E-2</v>
      </c>
      <c r="H30">
        <f>(Цены!G30-Цены!G$2)/Цены!G$2</f>
        <v>-1.0562825161595353E-2</v>
      </c>
      <c r="I30">
        <f>(Цены!H30-Цены!H$2)/Цены!H$2</f>
        <v>1.7918414029736898E-2</v>
      </c>
      <c r="J30">
        <f>(Цены!J30-Цены!J$2)/Цены!J$2</f>
        <v>7.4166666666666631E-2</v>
      </c>
      <c r="K30">
        <f>(Цены!K30-Цены!K$2)/Цены!K$2</f>
        <v>3.8725490196078509E-2</v>
      </c>
      <c r="L30">
        <f>(Цены!L30-Цены!L$2)/Цены!L$2</f>
        <v>7.3138439628008343E-3</v>
      </c>
      <c r="M30">
        <f>(Цены!M30-Цены!M$2)/Цены!M$2</f>
        <v>-7.5322101090188304E-2</v>
      </c>
      <c r="N30">
        <f>(Цены!N30-Цены!N$2)/Цены!N$2</f>
        <v>5.6994818652849714E-2</v>
      </c>
      <c r="O30">
        <f>(Цены!O30-Цены!O$2)/Цены!O$2</f>
        <v>-5.9435736677115901E-2</v>
      </c>
      <c r="P30">
        <f>(Цены!P30-Цены!P$2)/Цены!P$2</f>
        <v>0.13426137924718379</v>
      </c>
      <c r="Q30">
        <f>(Цены!Q30-Цены!Q$2)/Цены!Q$2</f>
        <v>2.0860039622421535E-2</v>
      </c>
      <c r="R30">
        <f>(Цены!R30-Цены!R$2)/Цены!R$2</f>
        <v>0.15799535709408719</v>
      </c>
      <c r="S30">
        <f>(Цены!S30-Цены!S$2)/Цены!S$2</f>
        <v>-5.3639846743295493E-3</v>
      </c>
      <c r="T30">
        <f>(Цены!T30-Цены!T$2)/Цены!T$2</f>
        <v>-5.3737658674189025E-2</v>
      </c>
      <c r="U30">
        <f>(Цены!U30-Цены!U$2)/Цены!U$2</f>
        <v>5.0442477876106194E-2</v>
      </c>
      <c r="V30">
        <f>(Цены!V30-Цены!V$2)/Цены!V$2</f>
        <v>-0.13540856031128407</v>
      </c>
      <c r="W30">
        <f>(Цены!W30-Цены!W$2)/Цены!W$2</f>
        <v>0.17923735931463131</v>
      </c>
      <c r="X30">
        <f>(Цены!X30-Цены!X$2)/Цены!X$2</f>
        <v>-2.6964814205853484E-2</v>
      </c>
      <c r="Y30">
        <f>(Цены!Y30-Цены!Y$2)/Цены!Y$2</f>
        <v>1.6500818742914723E-2</v>
      </c>
      <c r="Z30">
        <f>(Цены!Z30-Цены!Z$2)/Цены!Z$2</f>
        <v>5.1014136447449301E-2</v>
      </c>
      <c r="AA30">
        <f>(Цены!AA30-Цены!AA$2)/Цены!AA$2</f>
        <v>0.11330049261083741</v>
      </c>
      <c r="AB30">
        <f>(Цены!AB30-Цены!AB$2)/Цены!AB$2</f>
        <v>-9.7906055461233724E-2</v>
      </c>
      <c r="AC30">
        <f>(Цены!AD30-Цены!AD$2)/Цены!AD$2</f>
        <v>-5.9230769230769198E-2</v>
      </c>
      <c r="AD30">
        <f>(Цены!AE30-Цены!AE$2)/Цены!AE$2</f>
        <v>9.1867469879518077E-2</v>
      </c>
      <c r="AE30">
        <f>(Цены!AF30-Цены!AF$2)/Цены!AF$2</f>
        <v>5.3929121725731902E-2</v>
      </c>
      <c r="AF30">
        <f>(Цены!AG30-Цены!AG$2)/Цены!AG$2</f>
        <v>-2.96296296296297E-2</v>
      </c>
      <c r="AG30">
        <f>(Цены!AH30-Цены!AH$2)/Цены!AH$2</f>
        <v>3.7169406719084981E-2</v>
      </c>
      <c r="AH30">
        <f>(Цены!AI30-Цены!AI$2)/Цены!AI$2</f>
        <v>3.7199124726477004E-2</v>
      </c>
      <c r="AI30">
        <f>(Цены!AJ30-Цены!AJ$2)/Цены!AJ$2</f>
        <v>9.49535192563081E-2</v>
      </c>
      <c r="AJ30">
        <f>(Цены!AK30-Цены!AK$2)/Цены!AK$2</f>
        <v>9.1983666451751739E-2</v>
      </c>
      <c r="AK30">
        <f>(Цены!AL30-Цены!AL$2)/Цены!AL$2</f>
        <v>1.192307692307701E-2</v>
      </c>
      <c r="AL30">
        <f>(Цены!AM30-Цены!AM$2)/Цены!AM$2</f>
        <v>-5.219047619047619E-2</v>
      </c>
      <c r="AM30">
        <f>(Цены!AN30-Цены!AN$2)/Цены!AN$2</f>
        <v>0.12249134948096886</v>
      </c>
      <c r="AN30">
        <f>(Цены!AO30-Цены!AO$2)/Цены!AO$2</f>
        <v>2.8806584362139887E-2</v>
      </c>
      <c r="AO30">
        <f>(Цены!AP30-Цены!AP$2)/Цены!AP$2</f>
        <v>2.3596419853539462E-2</v>
      </c>
      <c r="AP30">
        <f>(Цены!AQ30-Цены!AQ$2)/Цены!AQ$2</f>
        <v>4.9450549450549448E-2</v>
      </c>
      <c r="AQ30">
        <f>(Цены!AR30-Цены!AR$2)/Цены!AR$2</f>
        <v>2.7906976744185782E-3</v>
      </c>
      <c r="AR30">
        <f>(Цены!AS30-Цены!AS$2)/Цены!AS$2</f>
        <v>1.7796610169491477E-2</v>
      </c>
      <c r="AS30">
        <f>(Цены!AU30-Цены!AU$2)/Цены!AU$2</f>
        <v>3.6489151873767146E-2</v>
      </c>
      <c r="AT30">
        <f>(Цены!AV30-Цены!AV$2)/Цены!AV$2</f>
        <v>0.28599605522682436</v>
      </c>
      <c r="AU30">
        <f>(Цены!AW30-Цены!AW$2)/Цены!AW$2</f>
        <v>0.21876606683804628</v>
      </c>
      <c r="AV30">
        <f>(Цены!AX30-Цены!AX$2)/Цены!AX$2</f>
        <v>-6.7294751009421266E-4</v>
      </c>
    </row>
    <row r="31" spans="1:48" x14ac:dyDescent="0.2">
      <c r="A31" s="1" t="s">
        <v>97</v>
      </c>
      <c r="B31" s="2">
        <v>29</v>
      </c>
      <c r="C31">
        <f>(Цены!B31-Цены!B$2)/Цены!B$2</f>
        <v>2.2189301984771839E-2</v>
      </c>
      <c r="D31">
        <f>(Цены!C31-Цены!C$2)/Цены!C$2</f>
        <v>7.9730899886764794E-2</v>
      </c>
      <c r="E31">
        <f>(Цены!D31-Цены!D$2)/Цены!D$2</f>
        <v>-1.2863070539419064E-2</v>
      </c>
      <c r="F31">
        <f>(Цены!E31-Цены!E$2)/Цены!E$2</f>
        <v>2.4513338139870222E-2</v>
      </c>
      <c r="G31">
        <f>(Цены!F31-Цены!F$2)/Цены!F$2</f>
        <v>3.5555555555555556E-2</v>
      </c>
      <c r="H31">
        <f>(Цены!G31-Цены!G$2)/Цены!G$2</f>
        <v>-2.7116506384991225E-2</v>
      </c>
      <c r="I31">
        <f>(Цены!H31-Цены!H$2)/Цены!H$2</f>
        <v>8.9592070148684488E-3</v>
      </c>
      <c r="J31">
        <f>(Цены!J31-Цены!J$2)/Цены!J$2</f>
        <v>6.9722222222222283E-2</v>
      </c>
      <c r="K31">
        <f>(Цены!K31-Цены!K$2)/Цены!K$2</f>
        <v>3.7254901960784237E-2</v>
      </c>
      <c r="L31">
        <f>(Цены!L31-Цены!L$2)/Цены!L$2</f>
        <v>-3.1788198071814153E-3</v>
      </c>
      <c r="M31">
        <f>(Цены!M31-Цены!M$2)/Цены!M$2</f>
        <v>-8.6025768087215015E-2</v>
      </c>
      <c r="N31">
        <f>(Цены!N31-Цены!N$2)/Цены!N$2</f>
        <v>3.5327366933584549E-2</v>
      </c>
      <c r="O31">
        <f>(Цены!O31-Цены!O$2)/Цены!O$2</f>
        <v>-4.6520376175548536E-2</v>
      </c>
      <c r="P31">
        <f>(Цены!P31-Цены!P$2)/Цены!P$2</f>
        <v>0.13581829837897241</v>
      </c>
      <c r="Q31">
        <f>(Цены!Q31-Цены!Q$2)/Цены!Q$2</f>
        <v>5.8268267101733084E-4</v>
      </c>
      <c r="R31">
        <f>(Цены!R31-Цены!R$2)/Цены!R$2</f>
        <v>0.11975966134098054</v>
      </c>
      <c r="S31">
        <f>(Цены!S31-Цены!S$2)/Цены!S$2</f>
        <v>-2.3279693486590137E-2</v>
      </c>
      <c r="T31">
        <f>(Цены!T31-Цены!T$2)/Цены!T$2</f>
        <v>-6.6149506346967729E-2</v>
      </c>
      <c r="U31">
        <f>(Цены!U31-Цены!U$2)/Цены!U$2</f>
        <v>5.7522123893805309E-2</v>
      </c>
      <c r="V31">
        <f>(Цены!V31-Цены!V$2)/Цены!V$2</f>
        <v>-0.12684824902723729</v>
      </c>
      <c r="W31">
        <f>(Цены!W31-Цены!W$2)/Цены!W$2</f>
        <v>0.15807156055770194</v>
      </c>
      <c r="X31">
        <f>(Цены!X31-Цены!X$2)/Цены!X$2</f>
        <v>-3.1568562972706417E-2</v>
      </c>
      <c r="Y31">
        <f>(Цены!Y31-Цены!Y$2)/Цены!Y$2</f>
        <v>1.2722005290338831E-2</v>
      </c>
      <c r="Z31">
        <f>(Цены!Z31-Цены!Z$2)/Цены!Z$2</f>
        <v>3.5341118623232803E-2</v>
      </c>
      <c r="AA31">
        <f>(Цены!AA31-Цены!AA$2)/Цены!AA$2</f>
        <v>8.1151153746435084E-2</v>
      </c>
      <c r="AB31">
        <f>(Цены!AB31-Цены!AB$2)/Цены!AB$2</f>
        <v>-0.10639501980758348</v>
      </c>
      <c r="AC31">
        <f>(Цены!AD31-Цены!AD$2)/Цены!AD$2</f>
        <v>-5.5384615384615435E-2</v>
      </c>
      <c r="AD31">
        <f>(Цены!AE31-Цены!AE$2)/Цены!AE$2</f>
        <v>7.8313253012048195E-2</v>
      </c>
      <c r="AE31">
        <f>(Цены!AF31-Цены!AF$2)/Цены!AF$2</f>
        <v>7.2162300975860363E-2</v>
      </c>
      <c r="AF31">
        <f>(Цены!AG31-Цены!AG$2)/Цены!AG$2</f>
        <v>-3.7037037037037035E-2</v>
      </c>
      <c r="AG31">
        <f>(Цены!AH31-Цены!AH$2)/Цены!AH$2</f>
        <v>3.6097212294495945E-2</v>
      </c>
      <c r="AH31">
        <f>(Цены!AI31-Цены!AI$2)/Цены!AI$2</f>
        <v>6.491611962071471E-2</v>
      </c>
      <c r="AI31">
        <f>(Цены!AJ31-Цены!AJ$2)/Цены!AJ$2</f>
        <v>8.2005312084993356E-2</v>
      </c>
      <c r="AJ31">
        <f>(Цены!AK31-Цены!AK$2)/Цены!AK$2</f>
        <v>8.7900279389641248E-2</v>
      </c>
      <c r="AK31">
        <f>(Цены!AL31-Цены!AL$2)/Цены!AL$2</f>
        <v>1.1153846153846066E-2</v>
      </c>
      <c r="AL31">
        <f>(Цены!AM31-Цены!AM$2)/Цены!AM$2</f>
        <v>-7.1238095238095239E-2</v>
      </c>
      <c r="AM31">
        <f>(Цены!AN31-Цены!AN$2)/Цены!AN$2</f>
        <v>0.11764705882352941</v>
      </c>
      <c r="AN31">
        <f>(Цены!AO31-Цены!AO$2)/Цены!AO$2</f>
        <v>6.1728395061727811E-3</v>
      </c>
      <c r="AO31">
        <f>(Цены!AP31-Цены!AP$2)/Цены!AP$2</f>
        <v>1.5459723352318959E-2</v>
      </c>
      <c r="AP31">
        <f>(Цены!AQ31-Цены!AQ$2)/Цены!AQ$2</f>
        <v>4.2124542124542128E-2</v>
      </c>
      <c r="AQ31">
        <f>(Цены!AR31-Цены!AR$2)/Цены!AR$2</f>
        <v>-2.7906976744185782E-3</v>
      </c>
      <c r="AR31">
        <f>(Цены!AS31-Цены!AS$2)/Цены!AS$2</f>
        <v>8.474576271185959E-4</v>
      </c>
      <c r="AS31">
        <f>(Цены!AU31-Цены!AU$2)/Цены!AU$2</f>
        <v>1.4792899408284023E-2</v>
      </c>
      <c r="AT31">
        <f>(Цены!AV31-Цены!AV$2)/Цены!AV$2</f>
        <v>0.26358257127487889</v>
      </c>
      <c r="AU31">
        <f>(Цены!AW31-Цены!AW$2)/Цены!AW$2</f>
        <v>0.20642673521850893</v>
      </c>
      <c r="AV31">
        <f>(Цены!AX31-Цены!AX$2)/Цены!AX$2</f>
        <v>-6.7294751009421266E-4</v>
      </c>
    </row>
    <row r="32" spans="1:48" x14ac:dyDescent="0.2">
      <c r="A32" s="1" t="s">
        <v>98</v>
      </c>
      <c r="B32" s="2">
        <v>30</v>
      </c>
      <c r="C32">
        <f>(Цены!B32-Цены!B$2)/Цены!B$2</f>
        <v>2.570433378996893E-2</v>
      </c>
      <c r="D32">
        <f>(Цены!C32-Цены!C$2)/Цены!C$2</f>
        <v>7.4602011589955483E-2</v>
      </c>
      <c r="E32">
        <f>(Цены!D32-Цены!D$2)/Цены!D$2</f>
        <v>-1.1037344398340235E-2</v>
      </c>
      <c r="F32">
        <f>(Цены!E32-Цены!E$2)/Цены!E$2</f>
        <v>1.8925739005046863E-2</v>
      </c>
      <c r="G32">
        <f>(Цены!F32-Цены!F$2)/Цены!F$2</f>
        <v>5.9876543209876544E-2</v>
      </c>
      <c r="H32">
        <f>(Цены!G32-Цены!G$2)/Цены!G$2</f>
        <v>-1.5765410688948447E-2</v>
      </c>
      <c r="I32">
        <f>(Цены!H32-Цены!H$2)/Цены!H$2</f>
        <v>2.6305756767060665E-2</v>
      </c>
      <c r="J32">
        <f>(Цены!J32-Цены!J$2)/Цены!J$2</f>
        <v>7.4305555555555555E-2</v>
      </c>
      <c r="K32">
        <f>(Цены!K32-Цены!K$2)/Цены!K$2</f>
        <v>2.3856209150326834E-2</v>
      </c>
      <c r="L32">
        <f>(Цены!L32-Цены!L$2)/Цены!L$2</f>
        <v>1.7276704431586052E-2</v>
      </c>
      <c r="M32">
        <f>(Цены!M32-Цены!M$2)/Цены!M$2</f>
        <v>-6.9970267591674948E-2</v>
      </c>
      <c r="N32">
        <f>(Цены!N32-Цены!N$2)/Цены!N$2</f>
        <v>3.6269430051813413E-2</v>
      </c>
      <c r="O32">
        <f>(Цены!O32-Цены!O$2)/Цены!O$2</f>
        <v>-3.8244514106583041E-2</v>
      </c>
      <c r="P32">
        <f>(Цены!P32-Цены!P$2)/Цены!P$2</f>
        <v>0.14158805751442446</v>
      </c>
      <c r="Q32">
        <f>(Цены!Q32-Цены!Q$2)/Цены!Q$2</f>
        <v>-5.9433632443771714E-3</v>
      </c>
      <c r="R32">
        <f>(Цены!R32-Цены!R$2)/Цены!R$2</f>
        <v>0.14311074696162784</v>
      </c>
      <c r="S32">
        <f>(Цены!S32-Цены!S$2)/Цены!S$2</f>
        <v>-2.6819923371647531E-2</v>
      </c>
      <c r="T32">
        <f>(Цены!T32-Цены!T$2)/Цены!T$2</f>
        <v>-6.6854724964739196E-2</v>
      </c>
      <c r="U32">
        <f>(Цены!U32-Цены!U$2)/Цены!U$2</f>
        <v>6.637168141592921E-2</v>
      </c>
      <c r="V32">
        <f>(Цены!V32-Цены!V$2)/Цены!V$2</f>
        <v>-0.13385214007782092</v>
      </c>
      <c r="W32">
        <f>(Цены!W32-Цены!W$2)/Цены!W$2</f>
        <v>0.13925751721820917</v>
      </c>
      <c r="X32">
        <f>(Цены!X32-Цены!X$2)/Цены!X$2</f>
        <v>-3.3212758960868206E-2</v>
      </c>
      <c r="Y32">
        <f>(Цены!Y32-Цены!Y$2)/Цены!Y$2</f>
        <v>9.5729940798588483E-3</v>
      </c>
      <c r="Z32">
        <f>(Цены!Z32-Цены!Z$2)/Цены!Z$2</f>
        <v>2.4585125998770593E-2</v>
      </c>
      <c r="AA32">
        <f>(Цены!AA32-Цены!AA$2)/Цены!AA$2</f>
        <v>6.0928182525278714E-2</v>
      </c>
      <c r="AB32">
        <f>(Цены!AB32-Цены!AB$2)/Цены!AB$2</f>
        <v>-0.11941143180531975</v>
      </c>
      <c r="AC32">
        <f>(Цены!AD32-Цены!AD$2)/Цены!AD$2</f>
        <v>-5.5384615384615435E-2</v>
      </c>
      <c r="AD32">
        <f>(Цены!AE32-Цены!AE$2)/Цены!AE$2</f>
        <v>5.4216867469879519E-2</v>
      </c>
      <c r="AE32">
        <f>(Цены!AF32-Цены!AF$2)/Цены!AF$2</f>
        <v>9.6558808423215264E-2</v>
      </c>
      <c r="AF32">
        <f>(Цены!AG32-Цены!AG$2)/Цены!AG$2</f>
        <v>-3.7037037037037035E-2</v>
      </c>
      <c r="AG32">
        <f>(Цены!AH32-Цены!AH$2)/Цены!AH$2</f>
        <v>3.0736240171550983E-2</v>
      </c>
      <c r="AH32">
        <f>(Цены!AI32-Цены!AI$2)/Цены!AI$2</f>
        <v>6.491611962071471E-2</v>
      </c>
      <c r="AI32">
        <f>(Цены!AJ32-Цены!AJ$2)/Цены!AJ$2</f>
        <v>8.2005312084993356E-2</v>
      </c>
      <c r="AJ32">
        <f>(Цены!AK32-Цены!AK$2)/Цены!AK$2</f>
        <v>8.3172147001934343E-2</v>
      </c>
      <c r="AK32">
        <f>(Цены!AL32-Цены!AL$2)/Цены!AL$2</f>
        <v>1.1538461538461539E-2</v>
      </c>
      <c r="AL32">
        <f>(Цены!AM32-Цены!AM$2)/Цены!AM$2</f>
        <v>-5.9428571428571428E-2</v>
      </c>
      <c r="AM32">
        <f>(Цены!AN32-Цены!AN$2)/Цены!AN$2</f>
        <v>0.12110726643598616</v>
      </c>
      <c r="AN32">
        <f>(Цены!AO32-Цены!AO$2)/Цены!AO$2</f>
        <v>1.4403292181069871E-2</v>
      </c>
      <c r="AO32">
        <f>(Цены!AP32-Цены!AP$2)/Цены!AP$2</f>
        <v>3.2546786004882017E-3</v>
      </c>
      <c r="AP32">
        <f>(Цены!AQ32-Цены!AQ$2)/Цены!AQ$2</f>
        <v>4.9450549450549448E-2</v>
      </c>
      <c r="AQ32">
        <f>(Цены!AR32-Цены!AR$2)/Цены!AR$2</f>
        <v>5.5813953488371565E-3</v>
      </c>
      <c r="AR32">
        <f>(Цены!AS32-Цены!AS$2)/Цены!AS$2</f>
        <v>-1.7796610169491477E-2</v>
      </c>
      <c r="AS32">
        <f>(Цены!AU32-Цены!AU$2)/Цены!AU$2</f>
        <v>2.4654832347140037E-2</v>
      </c>
      <c r="AT32">
        <f>(Цены!AV32-Цены!AV$2)/Цены!AV$2</f>
        <v>0.25802402725479634</v>
      </c>
      <c r="AU32">
        <f>(Цены!AW32-Цены!AW$2)/Цены!AW$2</f>
        <v>0.22107969151670942</v>
      </c>
      <c r="AV32">
        <f>(Цены!AX32-Цены!AX$2)/Цены!AX$2</f>
        <v>-3.2974427994616418E-2</v>
      </c>
    </row>
    <row r="33" spans="1:48" x14ac:dyDescent="0.2">
      <c r="A33" s="1" t="s">
        <v>99</v>
      </c>
      <c r="B33" s="2">
        <v>31</v>
      </c>
      <c r="C33">
        <f>(Цены!B33-Цены!B$2)/Цены!B$2</f>
        <v>2.1445941784276924E-2</v>
      </c>
      <c r="D33">
        <f>(Цены!C33-Цены!C$2)/Цены!C$2</f>
        <v>6.7208419369879466E-2</v>
      </c>
      <c r="E33">
        <f>(Цены!D33-Цены!D$2)/Цены!D$2</f>
        <v>-1.7427385892116135E-2</v>
      </c>
      <c r="F33">
        <f>(Цены!E33-Цены!E$2)/Цены!E$2</f>
        <v>2.198990627253064E-2</v>
      </c>
      <c r="G33">
        <f>(Цены!F33-Цены!F$2)/Цены!F$2</f>
        <v>7.098765432098765E-2</v>
      </c>
      <c r="H33">
        <f>(Цены!G33-Цены!G$2)/Цены!G$2</f>
        <v>-3.2003783698565276E-2</v>
      </c>
      <c r="I33">
        <f>(Цены!H33-Цены!H$2)/Цены!H$2</f>
        <v>9.9123141441097226E-3</v>
      </c>
      <c r="J33">
        <f>(Цены!J33-Цены!J$2)/Цены!J$2</f>
        <v>5.6111111111111077E-2</v>
      </c>
      <c r="K33">
        <f>(Цены!K33-Цены!K$2)/Цены!K$2</f>
        <v>2.6633986928104501E-2</v>
      </c>
      <c r="L33">
        <f>(Цены!L33-Цены!L$2)/Цены!L$2</f>
        <v>1.1129067332989332E-2</v>
      </c>
      <c r="M33">
        <f>(Цены!M33-Цены!M$2)/Цены!M$2</f>
        <v>-6.2834489593657061E-2</v>
      </c>
      <c r="N33">
        <f>(Цены!N33-Цены!N$2)/Цены!N$2</f>
        <v>3.5609985869053236E-2</v>
      </c>
      <c r="O33">
        <f>(Цены!O33-Цены!O$2)/Цены!O$2</f>
        <v>-6.0815047021943507E-2</v>
      </c>
      <c r="P33">
        <f>(Цены!P33-Цены!P$2)/Цены!P$2</f>
        <v>0.12885795402509395</v>
      </c>
      <c r="Q33">
        <f>(Цены!Q33-Цены!Q$2)/Цены!Q$2</f>
        <v>-1.7597016664724449E-2</v>
      </c>
      <c r="R33">
        <f>(Цены!R33-Цены!R$2)/Цены!R$2</f>
        <v>0.1480267649870273</v>
      </c>
      <c r="S33">
        <f>(Цены!S33-Цены!S$2)/Цены!S$2</f>
        <v>-2.6819923371647531E-2</v>
      </c>
      <c r="T33">
        <f>(Цены!T33-Цены!T$2)/Цены!T$2</f>
        <v>-6.868829337094505E-2</v>
      </c>
      <c r="U33">
        <f>(Цены!U33-Цены!U$2)/Цены!U$2</f>
        <v>6.0619469026548675E-2</v>
      </c>
      <c r="V33">
        <f>(Цены!V33-Цены!V$2)/Цены!V$2</f>
        <v>-0.14319066147859921</v>
      </c>
      <c r="W33">
        <f>(Цены!W33-Цены!W$2)/Цены!W$2</f>
        <v>0.14832857382832182</v>
      </c>
      <c r="X33">
        <f>(Цены!X33-Цены!X$2)/Цены!X$2</f>
        <v>-7.5304176257810038E-2</v>
      </c>
      <c r="Y33">
        <f>(Цены!Y33-Цены!Y$2)/Цены!Y$2</f>
        <v>-5.4162992820255464E-3</v>
      </c>
      <c r="Z33">
        <f>(Цены!Z33-Цены!Z$2)/Цены!Z$2</f>
        <v>2.7350952673632339E-2</v>
      </c>
      <c r="AA33">
        <f>(Цены!AA33-Цены!AA$2)/Цены!AA$2</f>
        <v>6.0668913663469111E-2</v>
      </c>
      <c r="AB33">
        <f>(Цены!AB33-Цены!AB$2)/Цены!AB$2</f>
        <v>-0.11488398415393322</v>
      </c>
      <c r="AC33">
        <f>(Цены!AD33-Цены!AD$2)/Цены!AD$2</f>
        <v>-6.807692307692309E-2</v>
      </c>
      <c r="AD33">
        <f>(Цены!AE33-Цены!AE$2)/Цены!AE$2</f>
        <v>4.6686746987951805E-2</v>
      </c>
      <c r="AE33">
        <f>(Цены!AF33-Цены!AF$2)/Цены!AF$2</f>
        <v>0.10734463276836162</v>
      </c>
      <c r="AF33">
        <f>(Цены!AG33-Цены!AG$2)/Цены!AG$2</f>
        <v>-3.5802469135802539E-2</v>
      </c>
      <c r="AG33">
        <f>(Цены!AH33-Цены!AH$2)/Цены!AH$2</f>
        <v>2.5375268048606025E-2</v>
      </c>
      <c r="AH33">
        <f>(Цены!AI33-Цены!AI$2)/Цены!AI$2</f>
        <v>7.2210065645514104E-2</v>
      </c>
      <c r="AI33">
        <f>(Цены!AJ33-Цены!AJ$2)/Цены!AJ$2</f>
        <v>7.5697211155378488E-2</v>
      </c>
      <c r="AJ33">
        <f>(Цены!AK33-Цены!AK$2)/Цены!AK$2</f>
        <v>8.7470449172576847E-2</v>
      </c>
      <c r="AK33">
        <f>(Цены!AL33-Цены!AL$2)/Цены!AL$2</f>
        <v>-3.461538461538374E-3</v>
      </c>
      <c r="AL33">
        <f>(Цены!AM33-Цены!AM$2)/Цены!AM$2</f>
        <v>-0.10057142857142858</v>
      </c>
      <c r="AM33">
        <f>(Цены!AN33-Цены!AN$2)/Цены!AN$2</f>
        <v>0.14117647058823529</v>
      </c>
      <c r="AN33">
        <f>(Цены!AO33-Цены!AO$2)/Цены!AO$2</f>
        <v>-1.2345679012345708E-2</v>
      </c>
      <c r="AO33">
        <f>(Цены!AP33-Цены!AP$2)/Цены!AP$2</f>
        <v>8.1366965012205042E-4</v>
      </c>
      <c r="AP33">
        <f>(Цены!AQ33-Цены!AQ$2)/Цены!AQ$2</f>
        <v>1.282051282051282E-2</v>
      </c>
      <c r="AQ33">
        <f>(Цены!AR33-Цены!AR$2)/Цены!AR$2</f>
        <v>8.3720930232558666E-3</v>
      </c>
      <c r="AR33">
        <f>(Цены!AS33-Цены!AS$2)/Цены!AS$2</f>
        <v>-6.7796610169491281E-3</v>
      </c>
      <c r="AS33">
        <f>(Цены!AU33-Цены!AU$2)/Цены!AU$2</f>
        <v>3.9447731755423224E-3</v>
      </c>
      <c r="AT33">
        <f>(Цены!AV33-Цены!AV$2)/Цены!AV$2</f>
        <v>0.24798278644432473</v>
      </c>
      <c r="AU33">
        <f>(Цены!AW33-Цены!AW$2)/Цены!AW$2</f>
        <v>0.23213367609254495</v>
      </c>
      <c r="AV33">
        <f>(Цены!AX33-Цены!AX$2)/Цены!AX$2</f>
        <v>-3.6339165545087482E-2</v>
      </c>
    </row>
    <row r="34" spans="1:48" x14ac:dyDescent="0.2">
      <c r="A34" s="1" t="s">
        <v>100</v>
      </c>
      <c r="B34" s="2">
        <v>32</v>
      </c>
      <c r="C34">
        <f>(Цены!B34-Цены!B$2)/Цены!B$2</f>
        <v>2.6421145411874646E-2</v>
      </c>
      <c r="D34">
        <f>(Цены!C34-Цены!C$2)/Цены!C$2</f>
        <v>7.6067408246186741E-2</v>
      </c>
      <c r="E34">
        <f>(Цены!D34-Цены!D$2)/Цены!D$2</f>
        <v>-1.2448132780082987E-2</v>
      </c>
      <c r="F34">
        <f>(Цены!E34-Цены!E$2)/Цены!E$2</f>
        <v>2.1268925739005046E-2</v>
      </c>
      <c r="G34">
        <f>(Цены!F34-Цены!F$2)/Цены!F$2</f>
        <v>6.7407407407407402E-2</v>
      </c>
      <c r="H34">
        <f>(Цены!G34-Цены!G$2)/Цены!G$2</f>
        <v>-3.4368595301907542E-2</v>
      </c>
      <c r="I34">
        <f>(Цены!H34-Цены!H$2)/Цены!H$2</f>
        <v>7.2436141822341321E-3</v>
      </c>
      <c r="J34">
        <f>(Цены!J34-Цены!J$2)/Цены!J$2</f>
        <v>8.2777777777777811E-2</v>
      </c>
      <c r="K34">
        <f>(Цены!K34-Цены!K$2)/Цены!K$2</f>
        <v>1.3071895424836602E-2</v>
      </c>
      <c r="L34">
        <f>(Цены!L34-Цены!L$2)/Цены!L$2</f>
        <v>3.3386135996350062E-2</v>
      </c>
      <c r="M34">
        <f>(Цены!M34-Цены!M$2)/Цены!M$2</f>
        <v>-5.9464816650148661E-2</v>
      </c>
      <c r="N34">
        <f>(Цены!N34-Цены!N$2)/Цены!N$2</f>
        <v>3.5233160621761607E-2</v>
      </c>
      <c r="O34">
        <f>(Цены!O34-Цены!O$2)/Цены!O$2</f>
        <v>-4.3510971786833802E-2</v>
      </c>
      <c r="P34">
        <f>(Цены!P34-Цены!P$2)/Цены!P$2</f>
        <v>0.16311017492444366</v>
      </c>
      <c r="Q34">
        <f>(Цены!Q34-Цены!Q$2)/Цены!Q$2</f>
        <v>-3.4960960261043163E-4</v>
      </c>
      <c r="R34">
        <f>(Цены!R34-Цены!R$2)/Цены!R$2</f>
        <v>0.14980199371842148</v>
      </c>
      <c r="S34">
        <f>(Цены!S34-Цены!S$2)/Цены!S$2</f>
        <v>-2.5287356321839059E-2</v>
      </c>
      <c r="T34">
        <f>(Цены!T34-Цены!T$2)/Цены!T$2</f>
        <v>-7.0098730606487983E-2</v>
      </c>
      <c r="U34">
        <f>(Цены!U34-Цены!U$2)/Цены!U$2</f>
        <v>6.4159292035398233E-2</v>
      </c>
      <c r="V34">
        <f>(Цены!V34-Цены!V$2)/Цены!V$2</f>
        <v>-0.14357976653696489</v>
      </c>
      <c r="W34">
        <f>(Цены!W34-Цены!W$2)/Цены!W$2</f>
        <v>0.15336804972282875</v>
      </c>
      <c r="X34">
        <f>(Цены!X34-Цены!X$2)/Цены!X$2</f>
        <v>-5.3600789214074351E-2</v>
      </c>
      <c r="Y34">
        <f>(Цены!Y34-Цены!Y$2)/Цены!Y$2</f>
        <v>4.030734349414259E-3</v>
      </c>
      <c r="Z34">
        <f>(Цены!Z34-Цены!Z$2)/Цены!Z$2</f>
        <v>2.7965580823601711E-2</v>
      </c>
      <c r="AA34">
        <f>(Цены!AA34-Цены!AA$2)/Цены!AA$2</f>
        <v>7.8558465128338112E-2</v>
      </c>
      <c r="AB34">
        <f>(Цены!AB34-Цены!AB$2)/Цены!AB$2</f>
        <v>-0.13412563667232597</v>
      </c>
      <c r="AC34">
        <f>(Цены!AD34-Цены!AD$2)/Цены!AD$2</f>
        <v>-6.538461538461536E-2</v>
      </c>
      <c r="AD34">
        <f>(Цены!AE34-Цены!AE$2)/Цены!AE$2</f>
        <v>6.0240963855421686E-2</v>
      </c>
      <c r="AE34">
        <f>(Цены!AF34-Цены!AF$2)/Цены!AF$2</f>
        <v>0.10862865947611713</v>
      </c>
      <c r="AF34">
        <f>(Цены!AG34-Цены!AG$2)/Цены!AG$2</f>
        <v>-5.4320987654321057E-2</v>
      </c>
      <c r="AG34">
        <f>(Цены!AH34-Цены!AH$2)/Цены!AH$2</f>
        <v>2.7162258756254345E-2</v>
      </c>
      <c r="AH34">
        <f>(Цены!AI34-Цены!AI$2)/Цены!AI$2</f>
        <v>9.8468271334792093E-2</v>
      </c>
      <c r="AI34">
        <f>(Цены!AJ34-Цены!AJ$2)/Цены!AJ$2</f>
        <v>8.6985391766268266E-2</v>
      </c>
      <c r="AJ34">
        <f>(Цены!AK34-Цены!AK$2)/Цены!AK$2</f>
        <v>0.14055448098001308</v>
      </c>
      <c r="AK34">
        <f>(Цены!AL34-Цены!AL$2)/Цены!AL$2</f>
        <v>-8.8461538461538907E-3</v>
      </c>
      <c r="AL34">
        <f>(Цены!AM34-Цены!AM$2)/Цены!AM$2</f>
        <v>-0.11466666666666667</v>
      </c>
      <c r="AM34">
        <f>(Цены!AN34-Цены!AN$2)/Цены!AN$2</f>
        <v>0.1245674740484429</v>
      </c>
      <c r="AN34">
        <f>(Цены!AO34-Цены!AO$2)/Цены!AO$2</f>
        <v>3.9094650205761285E-2</v>
      </c>
      <c r="AO34">
        <f>(Цены!AP34-Цены!AP$2)/Цены!AP$2</f>
        <v>1.4646053702196907E-2</v>
      </c>
      <c r="AP34">
        <f>(Цены!AQ34-Цены!AQ$2)/Цены!AQ$2</f>
        <v>-1.4652014652014652E-2</v>
      </c>
      <c r="AQ34">
        <f>(Цены!AR34-Цены!AR$2)/Цены!AR$2</f>
        <v>1.3953488372093023E-2</v>
      </c>
      <c r="AR34">
        <f>(Цены!AS34-Цены!AS$2)/Цены!AS$2</f>
        <v>-3.2203389830508453E-2</v>
      </c>
      <c r="AS34">
        <f>(Цены!AU34-Цены!AU$2)/Цены!AU$2</f>
        <v>1.3806706114398336E-2</v>
      </c>
      <c r="AT34">
        <f>(Цены!AV34-Цены!AV$2)/Цены!AV$2</f>
        <v>0.31970593509055029</v>
      </c>
      <c r="AU34">
        <f>(Цены!AW34-Цены!AW$2)/Цены!AW$2</f>
        <v>0.30334190231362468</v>
      </c>
      <c r="AV34">
        <f>(Цены!AX34-Цены!AX$2)/Цены!AX$2</f>
        <v>-7.6716016150740238E-2</v>
      </c>
    </row>
    <row r="35" spans="1:48" x14ac:dyDescent="0.2">
      <c r="A35" s="1" t="s">
        <v>101</v>
      </c>
      <c r="B35" s="2">
        <v>33</v>
      </c>
      <c r="C35">
        <f>(Цены!B35-Цены!B$2)/Цены!B$2</f>
        <v>3.2803423704694835E-2</v>
      </c>
      <c r="D35">
        <f>(Цены!C35-Цены!C$2)/Цены!C$2</f>
        <v>0.10570838606541001</v>
      </c>
      <c r="E35">
        <f>(Цены!D35-Цены!D$2)/Цены!D$2</f>
        <v>-1.5103734439833968E-2</v>
      </c>
      <c r="F35">
        <f>(Цены!E35-Цены!E$2)/Цены!E$2</f>
        <v>2.7937995674116797E-2</v>
      </c>
      <c r="G35">
        <f>(Цены!F35-Цены!F$2)/Цены!F$2</f>
        <v>9.4444444444444442E-2</v>
      </c>
      <c r="H35">
        <f>(Цены!G35-Цены!G$2)/Цены!G$2</f>
        <v>-2.900835566766511E-2</v>
      </c>
      <c r="I35">
        <f>(Цены!H35-Цены!H$2)/Цены!H$2</f>
        <v>2.6686999618757254E-3</v>
      </c>
      <c r="J35">
        <f>(Цены!J35-Цены!J$2)/Цены!J$2</f>
        <v>7.8055555555555614E-2</v>
      </c>
      <c r="K35">
        <f>(Цены!K35-Цены!K$2)/Цены!K$2</f>
        <v>1.3071895424836602E-2</v>
      </c>
      <c r="L35">
        <f>(Цены!L35-Цены!L$2)/Цены!L$2</f>
        <v>3.8368632233360796E-2</v>
      </c>
      <c r="M35">
        <f>(Цены!M35-Цены!M$2)/Цены!M$2</f>
        <v>-5.7284440039643163E-2</v>
      </c>
      <c r="N35">
        <f>(Цены!N35-Цены!N$2)/Цены!N$2</f>
        <v>3.3537447008949485E-2</v>
      </c>
      <c r="O35">
        <f>(Цены!O35-Цены!O$2)/Цены!O$2</f>
        <v>-4.250783699059555E-2</v>
      </c>
      <c r="P35">
        <f>(Цены!P35-Цены!P$2)/Цены!P$2</f>
        <v>0.14754098360655737</v>
      </c>
      <c r="Q35">
        <f>(Цены!Q35-Цены!Q$2)/Цены!Q$2</f>
        <v>1.0488288078312948E-3</v>
      </c>
      <c r="R35">
        <f>(Цены!R35-Цены!R$2)/Цены!R$2</f>
        <v>0.14843643315581054</v>
      </c>
      <c r="S35">
        <f>(Цены!S35-Цены!S$2)/Цены!S$2</f>
        <v>-2.8153256704980922E-2</v>
      </c>
      <c r="T35">
        <f>(Цены!T35-Цены!T$2)/Цены!T$2</f>
        <v>-6.2764456981664357E-2</v>
      </c>
      <c r="U35">
        <f>(Цены!U35-Цены!U$2)/Цены!U$2</f>
        <v>5.7079646017699118E-2</v>
      </c>
      <c r="V35">
        <f>(Цены!V35-Цены!V$2)/Цены!V$2</f>
        <v>-0.13151750972762644</v>
      </c>
      <c r="W35">
        <f>(Цены!W35-Цены!W$2)/Цены!W$2</f>
        <v>0.13959348227784313</v>
      </c>
      <c r="X35">
        <f>(Цены!X35-Цены!X$2)/Цены!X$2</f>
        <v>-4.4722130878000727E-2</v>
      </c>
      <c r="Y35">
        <f>(Цены!Y35-Цены!Y$2)/Цены!Y$2</f>
        <v>2.2672880715454246E-3</v>
      </c>
      <c r="Z35">
        <f>(Цены!Z35-Цены!Z$2)/Цены!Z$2</f>
        <v>5.6853103872157223E-2</v>
      </c>
      <c r="AA35">
        <f>(Цены!AA35-Цены!AA$2)/Цены!AA$2</f>
        <v>7.726212081928964E-2</v>
      </c>
      <c r="AB35">
        <f>(Цены!AB35-Цены!AB$2)/Цены!AB$2</f>
        <v>-0.14148273910582909</v>
      </c>
      <c r="AC35">
        <f>(Цены!AD35-Цены!AD$2)/Цены!AD$2</f>
        <v>-5.6923076923076972E-2</v>
      </c>
      <c r="AD35">
        <f>(Цены!AE35-Цены!AE$2)/Цены!AE$2</f>
        <v>5.4216867469879519E-2</v>
      </c>
      <c r="AE35">
        <f>(Цены!AF35-Цены!AF$2)/Цены!AF$2</f>
        <v>4.5454545454545574E-2</v>
      </c>
      <c r="AF35">
        <f>(Цены!AG35-Цены!AG$2)/Цены!AG$2</f>
        <v>-5.728395061728396E-2</v>
      </c>
      <c r="AG35">
        <f>(Цены!AH35-Цены!AH$2)/Цены!AH$2</f>
        <v>3.2523230879199304E-2</v>
      </c>
      <c r="AH35">
        <f>(Цены!AI35-Цены!AI$2)/Цены!AI$2</f>
        <v>0.11159737417943102</v>
      </c>
      <c r="AI35">
        <f>(Цены!AJ35-Цены!AJ$2)/Цены!AJ$2</f>
        <v>8.6653386454183273E-2</v>
      </c>
      <c r="AJ35">
        <f>(Цены!AK35-Цены!AK$2)/Цены!AK$2</f>
        <v>0.13539651837524197</v>
      </c>
      <c r="AK35">
        <f>(Цены!AL35-Цены!AL$2)/Цены!AL$2</f>
        <v>-7.6923076923072554E-4</v>
      </c>
      <c r="AL35">
        <f>(Цены!AM35-Цены!AM$2)/Цены!AM$2</f>
        <v>-0.11390476190476191</v>
      </c>
      <c r="AM35">
        <f>(Цены!AN35-Цены!AN$2)/Цены!AN$2</f>
        <v>0.11349480968858132</v>
      </c>
      <c r="AN35">
        <f>(Цены!AO35-Цены!AO$2)/Цены!AO$2</f>
        <v>3.9094650205761285E-2</v>
      </c>
      <c r="AO35">
        <f>(Цены!AP35-Цены!AP$2)/Цены!AP$2</f>
        <v>1.627339300244101E-2</v>
      </c>
      <c r="AP35">
        <f>(Цены!AQ35-Цены!AQ$2)/Цены!AQ$2</f>
        <v>-1.6483516483516484E-2</v>
      </c>
      <c r="AQ35">
        <f>(Цены!AR35-Цены!AR$2)/Цены!AR$2</f>
        <v>1.3953488372093023E-2</v>
      </c>
      <c r="AR35">
        <f>(Цены!AS35-Цены!AS$2)/Цены!AS$2</f>
        <v>-3.9830508474576296E-2</v>
      </c>
      <c r="AS35">
        <f>(Цены!AU35-Цены!AU$2)/Цены!AU$2</f>
        <v>2.5641025641025585E-2</v>
      </c>
      <c r="AT35">
        <f>(Цены!AV35-Цены!AV$2)/Цены!AV$2</f>
        <v>0.33351264120494889</v>
      </c>
      <c r="AU35">
        <f>(Цены!AW35-Цены!AW$2)/Цены!AW$2</f>
        <v>0.29820051413881743</v>
      </c>
      <c r="AV35">
        <f>(Цены!AX35-Цены!AX$2)/Цены!AX$2</f>
        <v>-0.10026917900403769</v>
      </c>
    </row>
    <row r="36" spans="1:48" x14ac:dyDescent="0.2">
      <c r="A36" s="1" t="s">
        <v>102</v>
      </c>
      <c r="B36" s="2">
        <v>34</v>
      </c>
      <c r="C36">
        <f>(Цены!B36-Цены!B$2)/Цены!B$2</f>
        <v>1.7739760213238226E-2</v>
      </c>
      <c r="D36">
        <f>(Цены!C36-Цены!C$2)/Цены!C$2</f>
        <v>0.10171184973023387</v>
      </c>
      <c r="E36">
        <f>(Цены!D36-Цены!D$2)/Цены!D$2</f>
        <v>-2.9875518672199123E-2</v>
      </c>
      <c r="F36">
        <f>(Цены!E36-Цены!E$2)/Цены!E$2</f>
        <v>7.2098053352559477E-3</v>
      </c>
      <c r="G36">
        <f>(Цены!F36-Цены!F$2)/Цены!F$2</f>
        <v>9.0246913580246918E-2</v>
      </c>
      <c r="H36">
        <f>(Цены!G36-Цены!G$2)/Цены!G$2</f>
        <v>-4.63503074255084E-2</v>
      </c>
      <c r="I36">
        <f>(Цены!H36-Цены!H$2)/Цены!H$2</f>
        <v>-3.0499428135723158E-3</v>
      </c>
      <c r="J36">
        <f>(Цены!J36-Цены!J$2)/Цены!J$2</f>
        <v>5.2777777777777778E-2</v>
      </c>
      <c r="K36">
        <f>(Цены!K36-Цены!K$2)/Цены!K$2</f>
        <v>-3.2679738562098933E-4</v>
      </c>
      <c r="L36">
        <f>(Цены!L36-Цены!L$2)/Цены!L$2</f>
        <v>2.5967823776975235E-2</v>
      </c>
      <c r="M36">
        <f>(Цены!M36-Цены!M$2)/Цены!M$2</f>
        <v>-6.0654112983151681E-2</v>
      </c>
      <c r="N36">
        <f>(Цены!N36-Цены!N$2)/Цены!N$2</f>
        <v>2.5906735751295335E-2</v>
      </c>
      <c r="O36">
        <f>(Цены!O36-Цены!O$2)/Цены!O$2</f>
        <v>-6.4576802507836956E-2</v>
      </c>
      <c r="P36">
        <f>(Цены!P36-Цены!P$2)/Цены!P$2</f>
        <v>0.13169704185364955</v>
      </c>
      <c r="Q36">
        <f>(Цены!Q36-Цены!Q$2)/Цены!Q$2</f>
        <v>-3.2863302645379414E-2</v>
      </c>
      <c r="R36">
        <f>(Цены!R36-Цены!R$2)/Цены!R$2</f>
        <v>0.12044244162228601</v>
      </c>
      <c r="S36">
        <f>(Цены!S36-Цены!S$2)/Цены!S$2</f>
        <v>-6.6666666666666666E-2</v>
      </c>
      <c r="T36">
        <f>(Цены!T36-Цены!T$2)/Цены!T$2</f>
        <v>-6.7700987306065039E-2</v>
      </c>
      <c r="U36">
        <f>(Цены!U36-Цены!U$2)/Цены!U$2</f>
        <v>4.3362831858407079E-2</v>
      </c>
      <c r="V36">
        <f>(Цены!V36-Цены!V$2)/Цены!V$2</f>
        <v>-0.13579766536964974</v>
      </c>
      <c r="W36">
        <f>(Цены!W36-Цены!W$2)/Цены!W$2</f>
        <v>0.12985049554846304</v>
      </c>
      <c r="X36">
        <f>(Цены!X36-Цены!X$2)/Цены!X$2</f>
        <v>-5.557382439986857E-2</v>
      </c>
      <c r="Y36">
        <f>(Цены!Y36-Цены!Y$2)/Цены!Y$2</f>
        <v>-1.0454717218793406E-2</v>
      </c>
      <c r="Z36">
        <f>(Цены!Z36-Цены!Z$2)/Цены!Z$2</f>
        <v>4.4867854947756608E-2</v>
      </c>
      <c r="AA36">
        <f>(Цены!AA36-Цены!AA$2)/Цены!AA$2</f>
        <v>5.4446460980036297E-2</v>
      </c>
      <c r="AB36">
        <f>(Цены!AB36-Цены!AB$2)/Цены!AB$2</f>
        <v>-0.17543859649122806</v>
      </c>
      <c r="AC36">
        <f>(Цены!AD36-Цены!AD$2)/Цены!AD$2</f>
        <v>-6.538461538461536E-2</v>
      </c>
      <c r="AD36">
        <f>(Цены!AE36-Цены!AE$2)/Цены!AE$2</f>
        <v>7.2289156626506021E-2</v>
      </c>
      <c r="AE36">
        <f>(Цены!AF36-Цены!AF$2)/Цены!AF$2</f>
        <v>4.6481766820749934E-2</v>
      </c>
      <c r="AF36">
        <f>(Цены!AG36-Цены!AG$2)/Цены!AG$2</f>
        <v>-3.0864197530864196E-2</v>
      </c>
      <c r="AG36">
        <f>(Цены!AH36-Цены!AH$2)/Цены!AH$2</f>
        <v>-1.5725518227305339E-2</v>
      </c>
      <c r="AH36">
        <f>(Цены!AI36-Цены!AI$2)/Цены!AI$2</f>
        <v>9.9927060539751936E-2</v>
      </c>
      <c r="AI36">
        <f>(Цены!AJ36-Цены!AJ$2)/Цены!AJ$2</f>
        <v>6.9057104913678613E-2</v>
      </c>
      <c r="AJ36">
        <f>(Цены!AK36-Цены!AK$2)/Цены!AK$2</f>
        <v>0.11626907371588231</v>
      </c>
      <c r="AK36">
        <f>(Цены!AL36-Цены!AL$2)/Цены!AL$2</f>
        <v>-3.8461538461547206E-4</v>
      </c>
      <c r="AL36">
        <f>(Цены!AM36-Цены!AM$2)/Цены!AM$2</f>
        <v>-0.11885714285714286</v>
      </c>
      <c r="AM36">
        <f>(Цены!AN36-Цены!AN$2)/Цены!AN$2</f>
        <v>0.11349480968858132</v>
      </c>
      <c r="AN36">
        <f>(Цены!AO36-Цены!AO$2)/Цены!AO$2</f>
        <v>2.469135802469127E-2</v>
      </c>
      <c r="AO36">
        <f>(Цены!AP36-Цены!AP$2)/Цены!AP$2</f>
        <v>1.3018714401952807E-2</v>
      </c>
      <c r="AP36">
        <f>(Цены!AQ36-Цены!AQ$2)/Цены!AQ$2</f>
        <v>-3.663003663003663E-3</v>
      </c>
      <c r="AQ36">
        <f>(Цены!AR36-Цены!AR$2)/Цены!AR$2</f>
        <v>3.7209302325581922E-3</v>
      </c>
      <c r="AR36">
        <f>(Цены!AS36-Цены!AS$2)/Цены!AS$2</f>
        <v>-5.3389830508474553E-2</v>
      </c>
      <c r="AS36">
        <f>(Цены!AU36-Цены!AU$2)/Цены!AU$2</f>
        <v>2.0710059171597576E-2</v>
      </c>
      <c r="AT36">
        <f>(Цены!AV36-Цены!AV$2)/Цены!AV$2</f>
        <v>0.32651963421194191</v>
      </c>
      <c r="AU36">
        <f>(Цены!AW36-Цены!AW$2)/Цены!AW$2</f>
        <v>0.22159383033419022</v>
      </c>
      <c r="AV36">
        <f>(Цены!AX36-Цены!AX$2)/Цены!AX$2</f>
        <v>-0.13593539703903096</v>
      </c>
    </row>
    <row r="37" spans="1:48" x14ac:dyDescent="0.2">
      <c r="A37" s="1" t="s">
        <v>103</v>
      </c>
      <c r="B37" s="2">
        <v>35</v>
      </c>
      <c r="C37">
        <f>(Цены!B37-Цены!B$2)/Цены!B$2</f>
        <v>1.9215861182792303E-2</v>
      </c>
      <c r="D37">
        <f>(Цены!C37-Цены!C$2)/Цены!C$2</f>
        <v>9.5916872044228371E-2</v>
      </c>
      <c r="E37">
        <f>(Цены!D37-Цены!D$2)/Цены!D$2</f>
        <v>-3.6514522821576807E-2</v>
      </c>
      <c r="F37">
        <f>(Цены!E37-Цены!E$2)/Цены!E$2</f>
        <v>8.4715212689257385E-3</v>
      </c>
      <c r="G37">
        <f>(Цены!F37-Цены!F$2)/Цены!F$2</f>
        <v>0.10246913580246914</v>
      </c>
      <c r="H37">
        <f>(Цены!G37-Цены!G$2)/Цены!G$2</f>
        <v>-4.193599243260273E-2</v>
      </c>
      <c r="I37">
        <f>(Цены!H37-Цены!H$2)/Цены!H$2</f>
        <v>1.4868471216164717E-2</v>
      </c>
      <c r="J37">
        <f>(Цены!J37-Цены!J$2)/Цены!J$2</f>
        <v>8.3611111111111178E-2</v>
      </c>
      <c r="K37">
        <f>(Цены!K37-Цены!K$2)/Цены!K$2</f>
        <v>1.7320261437908532E-2</v>
      </c>
      <c r="L37">
        <f>(Цены!L37-Цены!L$2)/Цены!L$2</f>
        <v>9.5396574293986226E-3</v>
      </c>
      <c r="M37">
        <f>(Цены!M37-Цены!M$2)/Цены!M$2</f>
        <v>-6.3627353815659107E-2</v>
      </c>
      <c r="N37">
        <f>(Цены!N37-Цены!N$2)/Цены!N$2</f>
        <v>8.4785680640602108E-3</v>
      </c>
      <c r="O37">
        <f>(Цены!O37-Цены!O$2)/Цены!O$2</f>
        <v>-5.2037617554858938E-2</v>
      </c>
      <c r="P37">
        <f>(Цены!P37-Цены!P$2)/Цены!P$2</f>
        <v>0.14479347925634217</v>
      </c>
      <c r="Q37">
        <f>(Цены!Q37-Цены!Q$2)/Цены!Q$2</f>
        <v>-2.5171891387950084E-2</v>
      </c>
      <c r="R37">
        <f>(Цены!R37-Цены!R$2)/Цены!R$2</f>
        <v>0.13846784104875065</v>
      </c>
      <c r="S37">
        <f>(Цены!S37-Цены!S$2)/Цены!S$2</f>
        <v>-8.5241379310344895E-2</v>
      </c>
      <c r="T37">
        <f>(Цены!T37-Цены!T$2)/Цены!T$2</f>
        <v>-8.1100141043723553E-2</v>
      </c>
      <c r="U37">
        <f>(Цены!U37-Цены!U$2)/Цены!U$2</f>
        <v>5.5309734513274339E-2</v>
      </c>
      <c r="V37">
        <f>(Цены!V37-Цены!V$2)/Цены!V$2</f>
        <v>-6.6147859922178961E-2</v>
      </c>
      <c r="W37">
        <f>(Цены!W37-Цены!W$2)/Цены!W$2</f>
        <v>0.13556190156223741</v>
      </c>
      <c r="X37">
        <f>(Цены!X37-Цены!X$2)/Цены!X$2</f>
        <v>-3.8474186122986004E-2</v>
      </c>
      <c r="Y37">
        <f>(Цены!Y37-Цены!Y$2)/Цены!Y$2</f>
        <v>-3.4387202418440739E-2</v>
      </c>
      <c r="Z37">
        <f>(Цены!Z37-Цены!Z$2)/Цены!Z$2</f>
        <v>2.6429010448678538E-2</v>
      </c>
      <c r="AA37">
        <f>(Цены!AA37-Цены!AA$2)/Цены!AA$2</f>
        <v>4.5890588540316281E-2</v>
      </c>
      <c r="AB37">
        <f>(Цены!AB37-Цены!AB$2)/Цены!AB$2</f>
        <v>-0.17940011318619128</v>
      </c>
      <c r="AC37">
        <f>(Цены!AD37-Цены!AD$2)/Цены!AD$2</f>
        <v>-5.8076923076923172E-2</v>
      </c>
      <c r="AD37">
        <f>(Цены!AE37-Цены!AE$2)/Цены!AE$2</f>
        <v>9.036144578313253E-2</v>
      </c>
      <c r="AE37">
        <f>(Цены!AF37-Цены!AF$2)/Цены!AF$2</f>
        <v>4.5454545454545574E-2</v>
      </c>
      <c r="AF37">
        <f>(Цены!AG37-Цены!AG$2)/Цены!AG$2</f>
        <v>-3.8271604938271538E-2</v>
      </c>
      <c r="AG37">
        <f>(Цены!AH37-Цены!AH$2)/Цены!AH$2</f>
        <v>2.4660471765546737E-2</v>
      </c>
      <c r="AH37">
        <f>(Цены!AI37-Цены!AI$2)/Цены!AI$2</f>
        <v>0.11086797957695109</v>
      </c>
      <c r="AI37">
        <f>(Цены!AJ37-Цены!AJ$2)/Цены!AJ$2</f>
        <v>0.10391766268260293</v>
      </c>
      <c r="AJ37">
        <f>(Цены!AK37-Цены!AK$2)/Цены!AK$2</f>
        <v>0.12207178164624985</v>
      </c>
      <c r="AK37">
        <f>(Цены!AL37-Цены!AL$2)/Цены!AL$2</f>
        <v>3.0769230769231207E-3</v>
      </c>
      <c r="AL37">
        <f>(Цены!AM37-Цены!AM$2)/Цены!AM$2</f>
        <v>-0.13714285714285715</v>
      </c>
      <c r="AM37">
        <f>(Цены!AN37-Цены!AN$2)/Цены!AN$2</f>
        <v>0.1245674740484429</v>
      </c>
      <c r="AN37">
        <f>(Цены!AO37-Цены!AO$2)/Цены!AO$2</f>
        <v>3.2921810699588508E-2</v>
      </c>
      <c r="AO37">
        <f>(Цены!AP37-Цены!AP$2)/Цены!AP$2</f>
        <v>1.3018714401952807E-2</v>
      </c>
      <c r="AP37">
        <f>(Цены!AQ37-Цены!AQ$2)/Цены!AQ$2</f>
        <v>-3.8461538461538464E-2</v>
      </c>
      <c r="AQ37">
        <f>(Цены!AR37-Цены!AR$2)/Цены!AR$2</f>
        <v>3.7209302325581922E-3</v>
      </c>
      <c r="AR37">
        <f>(Цены!AS37-Цены!AS$2)/Цены!AS$2</f>
        <v>-5.9322033898305086E-2</v>
      </c>
      <c r="AS37">
        <f>(Цены!AU37-Цены!AU$2)/Цены!AU$2</f>
        <v>1.8737672583826345E-2</v>
      </c>
      <c r="AT37">
        <f>(Цены!AV37-Цены!AV$2)/Цены!AV$2</f>
        <v>0.31934731934731925</v>
      </c>
      <c r="AU37">
        <f>(Цены!AW37-Цены!AW$2)/Цены!AW$2</f>
        <v>0.26221079691516702</v>
      </c>
      <c r="AV37">
        <f>(Цены!AX37-Цены!AX$2)/Цены!AX$2</f>
        <v>-0.1601615074024226</v>
      </c>
    </row>
    <row r="38" spans="1:48" x14ac:dyDescent="0.2">
      <c r="A38" s="1" t="s">
        <v>104</v>
      </c>
      <c r="B38" s="2">
        <v>36</v>
      </c>
      <c r="C38">
        <f>(Цены!B38-Цены!B$2)/Цены!B$2</f>
        <v>3.0159185277220356E-2</v>
      </c>
      <c r="D38">
        <f>(Цены!C38-Цены!C$2)/Цены!C$2</f>
        <v>0.10777326317191772</v>
      </c>
      <c r="E38">
        <f>(Цены!D38-Цены!D$2)/Цены!D$2</f>
        <v>-2.0829875518672242E-2</v>
      </c>
      <c r="F38">
        <f>(Цены!E38-Цены!E$2)/Цены!E$2</f>
        <v>3.2624369142033163E-2</v>
      </c>
      <c r="G38">
        <f>(Цены!F38-Цены!F$2)/Цены!F$2</f>
        <v>0.11790123456790123</v>
      </c>
      <c r="H38">
        <f>(Цены!G38-Цены!G$2)/Цены!G$2</f>
        <v>-3.34226706605706E-2</v>
      </c>
      <c r="I38">
        <f>(Цены!H38-Цены!H$2)/Цены!H$2</f>
        <v>5.1086542127335106E-2</v>
      </c>
      <c r="J38">
        <f>(Цены!J38-Цены!J$2)/Цены!J$2</f>
        <v>8.2777777777777811E-2</v>
      </c>
      <c r="K38">
        <f>(Цены!K38-Цены!K$2)/Цены!K$2</f>
        <v>3.3006535947712495E-2</v>
      </c>
      <c r="L38">
        <f>(Цены!L38-Цены!L$2)/Цены!L$2</f>
        <v>-6.67744039979356E-3</v>
      </c>
      <c r="M38">
        <f>(Цены!M38-Цены!M$2)/Цены!M$2</f>
        <v>-6.1645193260654159E-2</v>
      </c>
      <c r="N38">
        <f>(Цены!N38-Цены!N$2)/Цены!N$2</f>
        <v>2.8732925105982073E-2</v>
      </c>
      <c r="O38">
        <f>(Цены!O38-Цены!O$2)/Цены!O$2</f>
        <v>-6.4576802507836956E-2</v>
      </c>
      <c r="P38">
        <f>(Цены!P38-Цены!P$2)/Цены!P$2</f>
        <v>0.15331074274200943</v>
      </c>
      <c r="Q38">
        <f>(Цены!Q38-Цены!Q$2)/Цены!Q$2</f>
        <v>-9.6725323388882206E-3</v>
      </c>
      <c r="R38">
        <f>(Цены!R38-Цены!R$2)/Цены!R$2</f>
        <v>0.14911921343711601</v>
      </c>
      <c r="S38">
        <f>(Цены!S38-Цены!S$2)/Цены!S$2</f>
        <v>-7.9693486590038359E-2</v>
      </c>
      <c r="T38">
        <f>(Цены!T38-Цены!T$2)/Цены!T$2</f>
        <v>-7.7150916784203077E-2</v>
      </c>
      <c r="U38">
        <f>(Цены!U38-Цены!U$2)/Цены!U$2</f>
        <v>3.9823008849557522E-2</v>
      </c>
      <c r="V38">
        <f>(Цены!V38-Цены!V$2)/Цены!V$2</f>
        <v>-7.3929961089494109E-2</v>
      </c>
      <c r="W38">
        <f>(Цены!W38-Цены!W$2)/Цены!W$2</f>
        <v>0.15403997984209644</v>
      </c>
      <c r="X38">
        <f>(Цены!X38-Цены!X$2)/Цены!X$2</f>
        <v>-4.1433738901677154E-2</v>
      </c>
      <c r="Y38">
        <f>(Цены!Y38-Цены!Y$2)/Цены!Y$2</f>
        <v>-4.270059201410762E-2</v>
      </c>
      <c r="Z38">
        <f>(Цены!Z38-Цены!Z$2)/Цены!Z$2</f>
        <v>3.2575291948371228E-2</v>
      </c>
      <c r="AA38">
        <f>(Цены!AA38-Цены!AA$2)/Цены!AA$2</f>
        <v>7.0261861550427851E-2</v>
      </c>
      <c r="AB38">
        <f>(Цены!AB38-Цены!AB$2)/Цены!AB$2</f>
        <v>-0.17034521788341822</v>
      </c>
      <c r="AC38">
        <f>(Цены!AD38-Цены!AD$2)/Цены!AD$2</f>
        <v>-4.9999999999999954E-2</v>
      </c>
      <c r="AD38">
        <f>(Цены!AE38-Цены!AE$2)/Цены!AE$2</f>
        <v>8.1325301204819275E-2</v>
      </c>
      <c r="AE38">
        <f>(Цены!AF38-Цены!AF$2)/Цены!AF$2</f>
        <v>5.0333846944016498E-2</v>
      </c>
      <c r="AF38">
        <f>(Цены!AG38-Цены!AG$2)/Цены!AG$2</f>
        <v>-2.9012345679012275E-2</v>
      </c>
      <c r="AG38">
        <f>(Цены!AH38-Цены!AH$2)/Цены!AH$2</f>
        <v>2.0729092208720556E-2</v>
      </c>
      <c r="AH38">
        <f>(Цены!AI38-Цены!AI$2)/Цены!AI$2</f>
        <v>0.10357403355215145</v>
      </c>
      <c r="AI38">
        <f>(Цены!AJ38-Цены!AJ$2)/Цены!AJ$2</f>
        <v>0.10192563081009297</v>
      </c>
      <c r="AJ38">
        <f>(Цены!AK38-Цены!AK$2)/Цены!AK$2</f>
        <v>0.13797549967762743</v>
      </c>
      <c r="AK38">
        <f>(Цены!AL38-Цены!AL$2)/Цены!AL$2</f>
        <v>7.6923076923076927E-3</v>
      </c>
      <c r="AL38">
        <f>(Цены!AM38-Цены!AM$2)/Цены!AM$2</f>
        <v>-0.12076190476190476</v>
      </c>
      <c r="AM38">
        <f>(Цены!AN38-Цены!AN$2)/Цены!AN$2</f>
        <v>0.11764705882352941</v>
      </c>
      <c r="AN38">
        <f>(Цены!AO38-Цены!AO$2)/Цены!AO$2</f>
        <v>4.5267489711934068E-2</v>
      </c>
      <c r="AO38">
        <f>(Цены!AP38-Цены!AP$2)/Цены!AP$2</f>
        <v>1.3018714401952807E-2</v>
      </c>
      <c r="AP38">
        <f>(Цены!AQ38-Цены!AQ$2)/Цены!AQ$2</f>
        <v>-3.6630036630036632E-2</v>
      </c>
      <c r="AQ38">
        <f>(Цены!AR38-Цены!AR$2)/Цены!AR$2</f>
        <v>1.1162790697674445E-2</v>
      </c>
      <c r="AR38">
        <f>(Цены!AS38-Цены!AS$2)/Цены!AS$2</f>
        <v>-5.9322033898305086E-2</v>
      </c>
      <c r="AS38">
        <f>(Цены!AU38-Цены!AU$2)/Цены!AU$2</f>
        <v>2.2682445759368806E-2</v>
      </c>
      <c r="AT38">
        <f>(Цены!AV38-Цены!AV$2)/Цены!AV$2</f>
        <v>0.32687824995517295</v>
      </c>
      <c r="AU38">
        <f>(Цены!AW38-Цены!AW$2)/Цены!AW$2</f>
        <v>0.25012853470437019</v>
      </c>
      <c r="AV38">
        <f>(Цены!AX38-Цены!AX$2)/Цены!AX$2</f>
        <v>-0.16823687752355315</v>
      </c>
    </row>
    <row r="39" spans="1:48" x14ac:dyDescent="0.2">
      <c r="A39" s="1" t="s">
        <v>105</v>
      </c>
      <c r="B39" s="2">
        <v>37</v>
      </c>
      <c r="C39">
        <f>(Цены!B39-Цены!B$2)/Цены!B$2</f>
        <v>4.3614004906177381E-2</v>
      </c>
      <c r="D39">
        <f>(Цены!C39-Цены!C$2)/Цены!C$2</f>
        <v>0.13168587224405523</v>
      </c>
      <c r="E39">
        <f>(Цены!D39-Цены!D$2)/Цены!D$2</f>
        <v>-1.1701244813277979E-2</v>
      </c>
      <c r="F39">
        <f>(Цены!E39-Цены!E$2)/Цены!E$2</f>
        <v>5.9120403749098771E-2</v>
      </c>
      <c r="G39">
        <f>(Цены!F39-Цены!F$2)/Цены!F$2</f>
        <v>0.12864197530864196</v>
      </c>
      <c r="H39">
        <f>(Цены!G39-Цены!G$2)/Цены!G$2</f>
        <v>-2.0337379788743462E-2</v>
      </c>
      <c r="I39">
        <f>(Цены!H39-Цены!H$2)/Цены!H$2</f>
        <v>5.0705299275638514E-2</v>
      </c>
      <c r="J39">
        <f>(Цены!J39-Цены!J$2)/Цены!J$2</f>
        <v>8.8888888888888892E-2</v>
      </c>
      <c r="K39">
        <f>(Цены!K39-Цены!K$2)/Цены!K$2</f>
        <v>5.2287581699346407E-2</v>
      </c>
      <c r="L39">
        <f>(Цены!L39-Цены!L$2)/Цены!L$2</f>
        <v>3.7096891109963791E-3</v>
      </c>
      <c r="M39">
        <f>(Цены!M39-Цены!M$2)/Цены!M$2</f>
        <v>-4.8166501486620439E-2</v>
      </c>
      <c r="N39">
        <f>(Цены!N39-Цены!N$2)/Цены!N$2</f>
        <v>4.3146490814884579E-2</v>
      </c>
      <c r="O39">
        <f>(Цены!O39-Цены!O$2)/Цены!O$2</f>
        <v>-3.5736677115987367E-2</v>
      </c>
      <c r="P39">
        <f>(Цены!P39-Цены!P$2)/Цены!P$2</f>
        <v>0.17226852275849439</v>
      </c>
      <c r="Q39">
        <f>(Цены!Q39-Цены!Q$2)/Цены!Q$2</f>
        <v>-9.4394592704813221E-3</v>
      </c>
      <c r="R39">
        <f>(Цены!R39-Цены!R$2)/Цены!R$2</f>
        <v>0.163457599344531</v>
      </c>
      <c r="S39">
        <f>(Цены!S39-Цены!S$2)/Цены!S$2</f>
        <v>-5.4206896551724219E-2</v>
      </c>
      <c r="T39">
        <f>(Цены!T39-Цены!T$2)/Цены!T$2</f>
        <v>-7.4612129760225757E-2</v>
      </c>
      <c r="U39">
        <f>(Цены!U39-Цены!U$2)/Цены!U$2</f>
        <v>5.9734513274336286E-2</v>
      </c>
      <c r="V39">
        <f>(Цены!V39-Цены!V$2)/Цены!V$2</f>
        <v>-6.1089494163424136E-2</v>
      </c>
      <c r="W39">
        <f>(Цены!W39-Цены!W$2)/Цены!W$2</f>
        <v>0.15756761296825122</v>
      </c>
      <c r="X39">
        <f>(Цены!X39-Цены!X$2)/Цены!X$2</f>
        <v>-2.9924366984544631E-2</v>
      </c>
      <c r="Y39">
        <f>(Цены!Y39-Цены!Y$2)/Цены!Y$2</f>
        <v>-3.3001637485829446E-2</v>
      </c>
      <c r="Z39">
        <f>(Цены!Z39-Цены!Z$2)/Цены!Z$2</f>
        <v>3.3804548248309627E-2</v>
      </c>
      <c r="AA39">
        <f>(Цены!AA39-Цены!AA$2)/Цены!AA$2</f>
        <v>6.5854290899663034E-2</v>
      </c>
      <c r="AB39">
        <f>(Цены!AB39-Цены!AB$2)/Цены!AB$2</f>
        <v>-0.16411997736276174</v>
      </c>
      <c r="AC39">
        <f>(Цены!AD39-Цены!AD$2)/Цены!AD$2</f>
        <v>-6.7307692307692402E-2</v>
      </c>
      <c r="AD39">
        <f>(Цены!AE39-Цены!AE$2)/Цены!AE$2</f>
        <v>8.7349397590361449E-2</v>
      </c>
      <c r="AE39">
        <f>(Цены!AF39-Цены!AF$2)/Цены!AF$2</f>
        <v>4.4940934771443251E-2</v>
      </c>
      <c r="AF39">
        <f>(Цены!AG39-Цены!AG$2)/Цены!AG$2</f>
        <v>-2.8024691358024642E-2</v>
      </c>
      <c r="AG39">
        <f>(Цены!AH39-Цены!AH$2)/Цены!AH$2</f>
        <v>2.751965689778409E-2</v>
      </c>
      <c r="AH39">
        <f>(Цены!AI39-Цены!AI$2)/Цены!AI$2</f>
        <v>9.7738876732312158E-2</v>
      </c>
      <c r="AI39">
        <f>(Цены!AJ39-Цены!AJ$2)/Цены!AJ$2</f>
        <v>9.9933598937582996E-2</v>
      </c>
      <c r="AJ39">
        <f>(Цены!AK39-Цены!AK$2)/Цены!AK$2</f>
        <v>0.1237911025145069</v>
      </c>
      <c r="AK39">
        <f>(Цены!AL39-Цены!AL$2)/Цены!AL$2</f>
        <v>1.3846153846153933E-2</v>
      </c>
      <c r="AL39">
        <f>(Цены!AM39-Цены!AM$2)/Цены!AM$2</f>
        <v>-0.13828571428571429</v>
      </c>
      <c r="AM39">
        <f>(Цены!AN39-Цены!AN$2)/Цены!AN$2</f>
        <v>0.11972318339100346</v>
      </c>
      <c r="AN39">
        <f>(Цены!AO39-Цены!AO$2)/Цены!AO$2</f>
        <v>4.7325102880658373E-2</v>
      </c>
      <c r="AO39">
        <f>(Цены!AP39-Цены!AP$2)/Цены!AP$2</f>
        <v>1.3018714401952807E-2</v>
      </c>
      <c r="AP39">
        <f>(Цены!AQ39-Цены!AQ$2)/Цены!AQ$2</f>
        <v>-3.1135531135531136E-2</v>
      </c>
      <c r="AQ39">
        <f>(Цены!AR39-Цены!AR$2)/Цены!AR$2</f>
        <v>1.4883720930232505E-2</v>
      </c>
      <c r="AR39">
        <f>(Цены!AS39-Цены!AS$2)/Цены!AS$2</f>
        <v>-3.5593220338983073E-2</v>
      </c>
      <c r="AS39">
        <f>(Цены!AU39-Цены!AU$2)/Цены!AU$2</f>
        <v>3.5502958579881602E-2</v>
      </c>
      <c r="AT39">
        <f>(Цены!AV39-Цены!AV$2)/Цены!AV$2</f>
        <v>0.34319526627218921</v>
      </c>
      <c r="AU39">
        <f>(Цены!AW39-Цены!AW$2)/Цены!AW$2</f>
        <v>0.26658097686375326</v>
      </c>
      <c r="AV39">
        <f>(Цены!AX39-Цены!AX$2)/Цены!AX$2</f>
        <v>-0.16083445491251683</v>
      </c>
    </row>
    <row r="40" spans="1:48" x14ac:dyDescent="0.2">
      <c r="A40" s="1" t="s">
        <v>106</v>
      </c>
      <c r="B40" s="2">
        <v>38</v>
      </c>
      <c r="C40">
        <f>(Цены!B40-Цены!B$2)/Цены!B$2</f>
        <v>4.3513120307538761E-2</v>
      </c>
      <c r="D40">
        <f>(Цены!C40-Цены!C$2)/Цены!C$2</f>
        <v>0.13235196163325122</v>
      </c>
      <c r="E40">
        <f>(Цены!D40-Цены!D$2)/Цены!D$2</f>
        <v>-7.6348547717842467E-3</v>
      </c>
      <c r="F40">
        <f>(Цены!E40-Цены!E$2)/Цены!E$2</f>
        <v>5.6236481614996392E-2</v>
      </c>
      <c r="G40">
        <f>(Цены!F40-Цены!F$2)/Цены!F$2</f>
        <v>0.12283950617283951</v>
      </c>
      <c r="H40">
        <f>(Цены!G40-Цены!G$2)/Цены!G$2</f>
        <v>-2.5855273529875419E-2</v>
      </c>
      <c r="I40">
        <f>(Цены!H40-Цены!H$2)/Цены!H$2</f>
        <v>5.2992756385817789E-2</v>
      </c>
      <c r="J40">
        <f>(Цены!J40-Цены!J$2)/Цены!J$2</f>
        <v>9.0555555555555625E-2</v>
      </c>
      <c r="K40">
        <f>(Цены!K40-Цены!K$2)/Цены!K$2</f>
        <v>3.5947712418300651E-2</v>
      </c>
      <c r="L40">
        <f>(Цены!L40-Цены!L$2)/Цены!L$2</f>
        <v>-7.4193782219939214E-4</v>
      </c>
      <c r="M40">
        <f>(Цены!M40-Цены!M$2)/Цены!M$2</f>
        <v>-3.5480673934588654E-2</v>
      </c>
      <c r="N40">
        <f>(Цены!N40-Цены!N$2)/Цены!N$2</f>
        <v>3.0805463966085689E-2</v>
      </c>
      <c r="O40">
        <f>(Цены!O40-Цены!O$2)/Цены!O$2</f>
        <v>-4.0752351097178598E-2</v>
      </c>
      <c r="P40">
        <f>(Цены!P40-Цены!P$2)/Цены!P$2</f>
        <v>0.18417437494276045</v>
      </c>
      <c r="Q40">
        <f>(Цены!Q40-Цены!Q$2)/Цены!Q$2</f>
        <v>-2.0976576156625067E-2</v>
      </c>
      <c r="R40">
        <f>(Цены!R40-Цены!R$2)/Цены!R$2</f>
        <v>0.15703946470025948</v>
      </c>
      <c r="S40">
        <f>(Цены!S40-Цены!S$2)/Цены!S$2</f>
        <v>-5.1908045977011506E-2</v>
      </c>
      <c r="T40">
        <f>(Цены!T40-Цены!T$2)/Цены!T$2</f>
        <v>-6.4880112834978965E-2</v>
      </c>
      <c r="U40">
        <f>(Цены!U40-Цены!U$2)/Цены!U$2</f>
        <v>5.4867256637168141E-2</v>
      </c>
      <c r="V40">
        <f>(Цены!V40-Цены!V$2)/Цены!V$2</f>
        <v>-6.3813229571984459E-2</v>
      </c>
      <c r="W40">
        <f>(Цены!W40-Цены!W$2)/Цены!W$2</f>
        <v>0.15471190996136391</v>
      </c>
      <c r="X40">
        <f>(Цены!X40-Цены!X$2)/Цены!X$2</f>
        <v>-3.2226241367971094E-2</v>
      </c>
      <c r="Y40">
        <f>(Цены!Y40-Цены!Y$2)/Цены!Y$2</f>
        <v>-3.3379518831087134E-2</v>
      </c>
      <c r="Z40">
        <f>(Цены!Z40-Цены!Z$2)/Цены!Z$2</f>
        <v>3.841425937307915E-2</v>
      </c>
      <c r="AA40">
        <f>(Цены!AA40-Цены!AA$2)/Цены!AA$2</f>
        <v>5.9372569354420625E-2</v>
      </c>
      <c r="AB40">
        <f>(Цены!AB40-Цены!AB$2)/Цены!AB$2</f>
        <v>-0.13978494623655913</v>
      </c>
      <c r="AC40">
        <f>(Цены!AD40-Цены!AD$2)/Цены!AD$2</f>
        <v>-6.5000000000000016E-2</v>
      </c>
      <c r="AD40">
        <f>(Цены!AE40-Цены!AE$2)/Цены!AE$2</f>
        <v>8.7349397590361449E-2</v>
      </c>
      <c r="AE40">
        <f>(Цены!AF40-Цены!AF$2)/Цены!AF$2</f>
        <v>4.0575243965074503E-2</v>
      </c>
      <c r="AF40">
        <f>(Цены!AG40-Цены!AG$2)/Цены!AG$2</f>
        <v>-2.2962962962962956E-2</v>
      </c>
      <c r="AG40">
        <f>(Цены!AH40-Цены!AH$2)/Цены!AH$2</f>
        <v>3.0021443888491699E-2</v>
      </c>
      <c r="AH40">
        <f>(Цены!AI40-Цены!AI$2)/Цены!AI$2</f>
        <v>9.5550692924872255E-2</v>
      </c>
      <c r="AI40">
        <f>(Цены!AJ40-Цены!AJ$2)/Цены!AJ$2</f>
        <v>9.7609561752988044E-2</v>
      </c>
      <c r="AJ40">
        <f>(Цены!AK40-Цены!AK$2)/Цены!AK$2</f>
        <v>0.12765957446808518</v>
      </c>
      <c r="AK40">
        <f>(Цены!AL40-Цены!AL$2)/Цены!AL$2</f>
        <v>6.1538461538462414E-3</v>
      </c>
      <c r="AL40">
        <f>(Цены!AM40-Цены!AM$2)/Цены!AM$2</f>
        <v>-0.13904761904761906</v>
      </c>
      <c r="AM40">
        <f>(Цены!AN40-Цены!AN$2)/Цены!AN$2</f>
        <v>0.12041522491349481</v>
      </c>
      <c r="AN40">
        <f>(Цены!AO40-Цены!AO$2)/Цены!AO$2</f>
        <v>5.7613168724279774E-2</v>
      </c>
      <c r="AO40">
        <f>(Цены!AP40-Цены!AP$2)/Цены!AP$2</f>
        <v>1.7087062652563059E-2</v>
      </c>
      <c r="AP40">
        <f>(Цены!AQ40-Цены!AQ$2)/Цены!AQ$2</f>
        <v>-4.0293040293040296E-2</v>
      </c>
      <c r="AQ40">
        <f>(Цены!AR40-Цены!AR$2)/Цены!AR$2</f>
        <v>3.0697674418604624E-2</v>
      </c>
      <c r="AR40">
        <f>(Цены!AS40-Цены!AS$2)/Цены!AS$2</f>
        <v>-3.2203389830508453E-2</v>
      </c>
      <c r="AS40">
        <f>(Цены!AU40-Цены!AU$2)/Цены!AU$2</f>
        <v>2.7613412228796815E-2</v>
      </c>
      <c r="AT40">
        <f>(Цены!AV40-Цены!AV$2)/Цены!AV$2</f>
        <v>0.351981351981352</v>
      </c>
      <c r="AU40">
        <f>(Цены!AW40-Цены!AW$2)/Цены!AW$2</f>
        <v>0.27249357326478146</v>
      </c>
      <c r="AV40">
        <f>(Цены!AX40-Цены!AX$2)/Цены!AX$2</f>
        <v>-0.18438761776581428</v>
      </c>
    </row>
    <row r="41" spans="1:48" x14ac:dyDescent="0.2">
      <c r="A41" s="1" t="s">
        <v>107</v>
      </c>
      <c r="B41" s="2">
        <v>39</v>
      </c>
      <c r="C41">
        <f>(Цены!B41-Цены!B$2)/Цены!B$2</f>
        <v>3.7247655760510631E-2</v>
      </c>
      <c r="D41">
        <f>(Цены!C41-Цены!C$2)/Цены!C$2</f>
        <v>0.13055352028242187</v>
      </c>
      <c r="E41">
        <f>(Цены!D41-Цены!D$2)/Цены!D$2</f>
        <v>-8.7136929460580673E-3</v>
      </c>
      <c r="F41">
        <f>(Цены!E41-Цены!E$2)/Цены!E$2</f>
        <v>4.6503244412400863E-2</v>
      </c>
      <c r="G41">
        <f>(Цены!F41-Цены!F$2)/Цены!F$2</f>
        <v>0.12333333333333334</v>
      </c>
      <c r="H41">
        <f>(Цены!G41-Цены!G$2)/Цены!G$2</f>
        <v>-3.98864890430395E-2</v>
      </c>
      <c r="I41">
        <f>(Цены!H41-Цены!H$2)/Цены!H$2</f>
        <v>3.2024399542508575E-2</v>
      </c>
      <c r="J41">
        <f>(Цены!J41-Цены!J$2)/Цены!J$2</f>
        <v>6.3749999999999973E-2</v>
      </c>
      <c r="K41">
        <f>(Цены!K41-Цены!K$2)/Цены!K$2</f>
        <v>3.2679738562091505E-2</v>
      </c>
      <c r="L41">
        <f>(Цены!L41-Цены!L$2)/Цены!L$2</f>
        <v>-1.2082073673572958E-2</v>
      </c>
      <c r="M41">
        <f>(Цены!M41-Цены!M$2)/Цены!M$2</f>
        <v>-4.4400396432110953E-2</v>
      </c>
      <c r="N41">
        <f>(Цены!N41-Цены!N$2)/Цены!N$2</f>
        <v>2.882713141780488E-2</v>
      </c>
      <c r="O41">
        <f>(Цены!O41-Цены!O$2)/Цены!O$2</f>
        <v>-3.761755485893415E-2</v>
      </c>
      <c r="P41">
        <f>(Цены!P41-Цены!P$2)/Цены!P$2</f>
        <v>0.17913728363403245</v>
      </c>
      <c r="Q41">
        <f>(Цены!Q41-Цены!Q$2)/Цены!Q$2</f>
        <v>-2.983335275608906E-2</v>
      </c>
      <c r="R41">
        <f>(Цены!R41-Цены!R$2)/Цены!R$2</f>
        <v>0.15430834357503756</v>
      </c>
      <c r="S41">
        <f>(Цены!S41-Цены!S$2)/Цены!S$2</f>
        <v>-6.7908045977011347E-2</v>
      </c>
      <c r="T41">
        <f>(Цены!T41-Цены!T$2)/Цены!T$2</f>
        <v>-6.6290550070521898E-2</v>
      </c>
      <c r="U41">
        <f>(Цены!U41-Цены!U$2)/Цены!U$2</f>
        <v>5.1769911504424782E-2</v>
      </c>
      <c r="V41">
        <f>(Цены!V41-Цены!V$2)/Цены!V$2</f>
        <v>-7.8988326848248941E-2</v>
      </c>
      <c r="W41">
        <f>(Цены!W41-Цены!W$2)/Цены!W$2</f>
        <v>0.18763648580547626</v>
      </c>
      <c r="X41">
        <f>(Цены!X41-Цены!X$2)/Цены!X$2</f>
        <v>-3.6501150937191786E-2</v>
      </c>
      <c r="Y41">
        <f>(Цены!Y41-Цены!Y$2)/Цены!Y$2</f>
        <v>-3.4513162866859917E-2</v>
      </c>
      <c r="Z41">
        <f>(Цены!Z41-Цены!Z$2)/Цены!Z$2</f>
        <v>4.4867854947756608E-2</v>
      </c>
      <c r="AA41">
        <f>(Цены!AA41-Цены!AA$2)/Цены!AA$2</f>
        <v>6.5335753176043523E-2</v>
      </c>
      <c r="AB41">
        <f>(Цены!AB41-Цены!AB$2)/Цены!AB$2</f>
        <v>-0.14770797962648557</v>
      </c>
      <c r="AC41">
        <f>(Цены!AD41-Цены!AD$2)/Цены!AD$2</f>
        <v>-7.2307692307692364E-2</v>
      </c>
      <c r="AD41">
        <f>(Цены!AE41-Цены!AE$2)/Цены!AE$2</f>
        <v>8.4337349397590355E-2</v>
      </c>
      <c r="AE41">
        <f>(Цены!AF41-Цены!AF$2)/Цены!AF$2</f>
        <v>4.3143297380585546E-2</v>
      </c>
      <c r="AF41">
        <f>(Цены!AG41-Цены!AG$2)/Цены!AG$2</f>
        <v>-2.4691358024691357E-2</v>
      </c>
      <c r="AG41">
        <f>(Цены!AH41-Цены!AH$2)/Цены!AH$2</f>
        <v>4.1458184417440903E-2</v>
      </c>
      <c r="AH41">
        <f>(Цены!AI41-Цены!AI$2)/Цены!AI$2</f>
        <v>7.8045222465353642E-2</v>
      </c>
      <c r="AI41">
        <f>(Цены!AJ41-Цены!AJ$2)/Цены!AJ$2</f>
        <v>9.7277556440903051E-2</v>
      </c>
      <c r="AJ41">
        <f>(Цены!AK41-Цены!AK$2)/Цены!AK$2</f>
        <v>0.13647109391790258</v>
      </c>
      <c r="AK41">
        <f>(Цены!AL41-Цены!AL$2)/Цены!AL$2</f>
        <v>1.0000000000000087E-2</v>
      </c>
      <c r="AL41">
        <f>(Цены!AM41-Цены!AM$2)/Цены!AM$2</f>
        <v>-0.15428571428571428</v>
      </c>
      <c r="AM41">
        <f>(Цены!AN41-Цены!AN$2)/Цены!AN$2</f>
        <v>0.11695501730103806</v>
      </c>
      <c r="AN41">
        <f>(Цены!AO41-Цены!AO$2)/Цены!AO$2</f>
        <v>4.5267489711934068E-2</v>
      </c>
      <c r="AO41">
        <f>(Цены!AP41-Цены!AP$2)/Цены!AP$2</f>
        <v>1.7087062652563059E-2</v>
      </c>
      <c r="AP41">
        <f>(Цены!AQ41-Цены!AQ$2)/Цены!AQ$2</f>
        <v>-3.6630036630036632E-2</v>
      </c>
      <c r="AQ41">
        <f>(Цены!AR41-Цены!AR$2)/Цены!AR$2</f>
        <v>4.7441860465116226E-2</v>
      </c>
      <c r="AR41">
        <f>(Цены!AS41-Цены!AS$2)/Цены!AS$2</f>
        <v>-1.1864406779661066E-2</v>
      </c>
      <c r="AS41">
        <f>(Цены!AU41-Цены!AU$2)/Цены!AU$2</f>
        <v>5.2268244575936852E-2</v>
      </c>
      <c r="AT41">
        <f>(Цены!AV41-Цены!AV$2)/Цены!AV$2</f>
        <v>0.34337457414380484</v>
      </c>
      <c r="AU41">
        <f>(Цены!AW41-Цены!AW$2)/Цены!AW$2</f>
        <v>0.27249357326478146</v>
      </c>
      <c r="AV41">
        <f>(Цены!AX41-Цены!AX$2)/Цены!AX$2</f>
        <v>-0.19448183041722747</v>
      </c>
    </row>
    <row r="42" spans="1:48" x14ac:dyDescent="0.2">
      <c r="A42" s="1" t="s">
        <v>108</v>
      </c>
      <c r="B42" s="2">
        <v>40</v>
      </c>
      <c r="C42">
        <f>(Цены!B42-Цены!B$2)/Цены!B$2</f>
        <v>4.621045589219152E-2</v>
      </c>
      <c r="D42">
        <f>(Цены!C42-Цены!C$2)/Цены!C$2</f>
        <v>0.15093585559182041</v>
      </c>
      <c r="E42">
        <f>(Цены!D42-Цены!D$2)/Цены!D$2</f>
        <v>-8.2987551867219917E-3</v>
      </c>
      <c r="F42">
        <f>(Цены!E42-Цены!E$2)/Цены!E$2</f>
        <v>5.1730353280461425E-2</v>
      </c>
      <c r="G42">
        <f>(Цены!F42-Цены!F$2)/Цены!F$2</f>
        <v>0.14444444444444443</v>
      </c>
      <c r="H42">
        <f>(Цены!G42-Цены!G$2)/Цены!G$2</f>
        <v>-3.1846129591675758E-2</v>
      </c>
      <c r="I42">
        <f>(Цены!H42-Цены!H$2)/Цены!H$2</f>
        <v>3.6980556614563433E-2</v>
      </c>
      <c r="J42">
        <f>(Цены!J42-Цены!J$2)/Цены!J$2</f>
        <v>7.4999999999999997E-2</v>
      </c>
      <c r="K42">
        <f>(Цены!K42-Цены!K$2)/Цены!K$2</f>
        <v>3.349673202614379E-2</v>
      </c>
      <c r="L42">
        <f>(Цены!L42-Цены!L$2)/Цены!L$2</f>
        <v>-3.6030888491861359E-3</v>
      </c>
      <c r="M42">
        <f>(Цены!M42-Цены!M$2)/Цены!M$2</f>
        <v>-4.2220019821605573E-2</v>
      </c>
      <c r="N42">
        <f>(Цены!N42-Цены!N$2)/Цены!N$2</f>
        <v>4.3334903438530324E-2</v>
      </c>
      <c r="O42">
        <f>(Цены!O42-Цены!O$2)/Цены!O$2</f>
        <v>-2.7210031347962339E-2</v>
      </c>
      <c r="P42">
        <f>(Цены!P42-Цены!P$2)/Цены!P$2</f>
        <v>0.22254785236743302</v>
      </c>
      <c r="Q42">
        <f>(Цены!Q42-Цены!Q$2)/Цены!Q$2</f>
        <v>-4.3817736860505829E-2</v>
      </c>
      <c r="R42">
        <f>(Цены!R42-Цены!R$2)/Цены!R$2</f>
        <v>0.1650962720196642</v>
      </c>
      <c r="S42">
        <f>(Цены!S42-Цены!S$2)/Цены!S$2</f>
        <v>-4.8076628352490436E-2</v>
      </c>
      <c r="T42">
        <f>(Цены!T42-Цены!T$2)/Цены!T$2</f>
        <v>-6.8829337094499426E-2</v>
      </c>
      <c r="U42">
        <f>(Цены!U42-Цены!U$2)/Цены!U$2</f>
        <v>5.3097345132743362E-2</v>
      </c>
      <c r="V42">
        <f>(Цены!V42-Цены!V$2)/Цены!V$2</f>
        <v>-9.727626459143969E-2</v>
      </c>
      <c r="W42">
        <f>(Цены!W42-Цены!W$2)/Цены!W$2</f>
        <v>0.20947421468167307</v>
      </c>
      <c r="X42">
        <f>(Цены!X42-Цены!X$2)/Цены!X$2</f>
        <v>-4.6366326866162516E-2</v>
      </c>
      <c r="Y42">
        <f>(Цены!Y42-Цены!Y$2)/Цены!Y$2</f>
        <v>-3.0230507620607153E-2</v>
      </c>
      <c r="Z42">
        <f>(Цены!Z42-Цены!Z$2)/Цены!Z$2</f>
        <v>4.5482483097725811E-2</v>
      </c>
      <c r="AA42">
        <f>(Цены!AA42-Цены!AA$2)/Цены!AA$2</f>
        <v>6.5076484314233921E-2</v>
      </c>
      <c r="AB42">
        <f>(Цены!AB42-Цены!AB$2)/Цены!AB$2</f>
        <v>-0.1284663271080928</v>
      </c>
      <c r="AC42">
        <f>(Цены!AD42-Цены!AD$2)/Цены!AD$2</f>
        <v>-5.5769230769230772E-2</v>
      </c>
      <c r="AD42">
        <f>(Цены!AE42-Цены!AE$2)/Цены!AE$2</f>
        <v>8.4337349397590355E-2</v>
      </c>
      <c r="AE42">
        <f>(Цены!AF42-Цены!AF$2)/Цены!AF$2</f>
        <v>4.1088854648176687E-2</v>
      </c>
      <c r="AF42">
        <f>(Цены!AG42-Цены!AG$2)/Цены!AG$2</f>
        <v>-2.5308641975308608E-2</v>
      </c>
      <c r="AG42">
        <f>(Цены!AH42-Цены!AH$2)/Цены!AH$2</f>
        <v>7.5768406004288733E-2</v>
      </c>
      <c r="AH42">
        <f>(Цены!AI42-Цены!AI$2)/Цены!AI$2</f>
        <v>6.7833698030634548E-2</v>
      </c>
      <c r="AI42">
        <f>(Цены!AJ42-Цены!AJ$2)/Цены!AJ$2</f>
        <v>9.926958831341301E-2</v>
      </c>
      <c r="AJ42">
        <f>(Цены!AK42-Цены!AK$2)/Цены!AK$2</f>
        <v>0.13905007522028806</v>
      </c>
      <c r="AK42">
        <f>(Цены!AL42-Цены!AL$2)/Цены!AL$2</f>
        <v>9.2307692307691432E-3</v>
      </c>
      <c r="AL42">
        <f>(Цены!AM42-Цены!AM$2)/Цены!AM$2</f>
        <v>-0.16304761904761905</v>
      </c>
      <c r="AM42">
        <f>(Цены!AN42-Цены!AN$2)/Цены!AN$2</f>
        <v>0.10311418685121107</v>
      </c>
      <c r="AN42">
        <f>(Цены!AO42-Цены!AO$2)/Цены!AO$2</f>
        <v>4.9382716049382686E-2</v>
      </c>
      <c r="AO42">
        <f>(Цены!AP42-Цены!AP$2)/Цены!AP$2</f>
        <v>1.7900732302685109E-2</v>
      </c>
      <c r="AP42">
        <f>(Цены!AQ42-Цены!AQ$2)/Цены!AQ$2</f>
        <v>-2.9304029304029304E-2</v>
      </c>
      <c r="AQ42">
        <f>(Цены!AR42-Цены!AR$2)/Цены!AR$2</f>
        <v>5.1162790697674418E-2</v>
      </c>
      <c r="AR42">
        <f>(Цены!AS42-Цены!AS$2)/Цены!AS$2</f>
        <v>-2.5423728813559324E-2</v>
      </c>
      <c r="AS42">
        <f>(Цены!AU42-Цены!AU$2)/Цены!AU$2</f>
        <v>6.4102564102564097E-2</v>
      </c>
      <c r="AT42">
        <f>(Цены!AV42-Цены!AV$2)/Цены!AV$2</f>
        <v>0.36022951407566783</v>
      </c>
      <c r="AU42">
        <f>(Цены!AW42-Цены!AW$2)/Цены!AW$2</f>
        <v>0.27249357326478146</v>
      </c>
      <c r="AV42">
        <f>(Цены!AX42-Цены!AX$2)/Цены!AX$2</f>
        <v>-0.19448183041722747</v>
      </c>
    </row>
    <row r="43" spans="1:48" x14ac:dyDescent="0.2">
      <c r="A43" s="1" t="s">
        <v>109</v>
      </c>
      <c r="B43" s="2">
        <v>41</v>
      </c>
      <c r="C43">
        <f>(Цены!B43-Цены!B$2)/Цены!B$2</f>
        <v>5.6426348933278102E-2</v>
      </c>
      <c r="D43">
        <f>(Цены!C43-Цены!C$2)/Цены!C$2</f>
        <v>0.17065210151202295</v>
      </c>
      <c r="E43">
        <f>(Цены!D43-Цены!D$2)/Цены!D$2</f>
        <v>-6.8879668049792392E-3</v>
      </c>
      <c r="F43">
        <f>(Цены!E43-Цены!E$2)/Цены!E$2</f>
        <v>7.2098053352559477E-2</v>
      </c>
      <c r="G43">
        <f>(Цены!F43-Цены!F$2)/Цены!F$2</f>
        <v>0.13580246913580246</v>
      </c>
      <c r="H43">
        <f>(Цены!G43-Цены!G$2)/Цены!G$2</f>
        <v>-1.5134794261390368E-2</v>
      </c>
      <c r="I43">
        <f>(Цены!H43-Цены!H$2)/Цены!H$2</f>
        <v>4.8417842165459378E-2</v>
      </c>
      <c r="J43">
        <f>(Цены!J43-Цены!J$2)/Цены!J$2</f>
        <v>0.11388888888888889</v>
      </c>
      <c r="K43">
        <f>(Цены!K43-Цены!K$2)/Цены!K$2</f>
        <v>2.9411764705882353E-2</v>
      </c>
      <c r="L43">
        <f>(Цены!L43-Цены!L$2)/Цены!L$2</f>
        <v>6.5719061406014426E-3</v>
      </c>
      <c r="M43">
        <f>(Цены!M43-Цены!M$2)/Цены!M$2</f>
        <v>-3.4489593657086176E-2</v>
      </c>
      <c r="N43">
        <f>(Цены!N43-Цены!N$2)/Цены!N$2</f>
        <v>8.2901554404145053E-2</v>
      </c>
      <c r="O43">
        <f>(Цены!O43-Цены!O$2)/Цены!O$2</f>
        <v>-2.4702194357366779E-2</v>
      </c>
      <c r="P43">
        <f>(Цены!P43-Цены!P$2)/Цены!P$2</f>
        <v>0.22163201758402773</v>
      </c>
      <c r="Q43">
        <f>(Цены!Q43-Цены!Q$2)/Цены!Q$2</f>
        <v>-3.9855494697587715E-2</v>
      </c>
      <c r="R43">
        <f>(Цены!R43-Цены!R$2)/Цены!R$2</f>
        <v>0.1767035368018573</v>
      </c>
      <c r="S43">
        <f>(Цены!S43-Цены!S$2)/Цены!S$2</f>
        <v>-4.8842911877394667E-2</v>
      </c>
      <c r="T43">
        <f>(Цены!T43-Цены!T$2)/Цены!T$2</f>
        <v>-8.0959097320169371E-2</v>
      </c>
      <c r="U43">
        <f>(Цены!U43-Цены!U$2)/Цены!U$2</f>
        <v>6.637168141592921E-2</v>
      </c>
      <c r="V43">
        <f>(Цены!V43-Цены!V$2)/Цены!V$2</f>
        <v>-0.11284046692606998</v>
      </c>
      <c r="W43">
        <f>(Цены!W43-Цены!W$2)/Цены!W$2</f>
        <v>0.23500755921384167</v>
      </c>
      <c r="X43">
        <f>(Цены!X43-Цены!X$2)/Цены!X$2</f>
        <v>-3.9789542913515365E-2</v>
      </c>
      <c r="Y43">
        <f>(Цены!Y43-Цены!Y$2)/Цены!Y$2</f>
        <v>-2.6199773271192894E-2</v>
      </c>
      <c r="Z43">
        <f>(Цены!Z43-Цены!Z$2)/Цены!Z$2</f>
        <v>6.9452980946527201E-2</v>
      </c>
      <c r="AA43">
        <f>(Цены!AA43-Цены!AA$2)/Цены!AA$2</f>
        <v>8.9188488462535742E-2</v>
      </c>
      <c r="AB43">
        <f>(Цены!AB43-Цены!AB$2)/Цены!AB$2</f>
        <v>-0.11601584606677985</v>
      </c>
      <c r="AC43">
        <f>(Цены!AD43-Цены!AD$2)/Цены!AD$2</f>
        <v>-0.10000000000000009</v>
      </c>
      <c r="AD43">
        <f>(Цены!AE43-Цены!AE$2)/Цены!AE$2</f>
        <v>8.1325301204819275E-2</v>
      </c>
      <c r="AE43">
        <f>(Цены!AF43-Цены!AF$2)/Цены!AF$2</f>
        <v>4.0832049306625665E-2</v>
      </c>
      <c r="AF43">
        <f>(Цены!AG43-Цены!AG$2)/Цены!AG$2</f>
        <v>-4.8148148148148218E-2</v>
      </c>
      <c r="AG43">
        <f>(Цены!AH43-Цены!AH$2)/Цены!AH$2</f>
        <v>0.10507505360972115</v>
      </c>
      <c r="AH43">
        <f>(Цены!AI43-Цены!AI$2)/Цены!AI$2</f>
        <v>7.8045222465353642E-2</v>
      </c>
      <c r="AI43">
        <f>(Цены!AJ43-Цены!AJ$2)/Цены!AJ$2</f>
        <v>9.9601593625498003E-2</v>
      </c>
      <c r="AJ43">
        <f>(Цены!AK43-Цены!AK$2)/Цены!AK$2</f>
        <v>0.12572533849129613</v>
      </c>
      <c r="AK43">
        <f>(Цены!AL43-Цены!AL$2)/Цены!AL$2</f>
        <v>1.2307692307692264E-2</v>
      </c>
      <c r="AL43">
        <f>(Цены!AM43-Цены!AM$2)/Цены!AM$2</f>
        <v>-0.17904761904761904</v>
      </c>
      <c r="AM43">
        <f>(Цены!AN43-Цены!AN$2)/Цены!AN$2</f>
        <v>0.11072664359861592</v>
      </c>
      <c r="AN43">
        <f>(Цены!AO43-Цены!AO$2)/Цены!AO$2</f>
        <v>2.8806584362139887E-2</v>
      </c>
      <c r="AO43">
        <f>(Цены!AP43-Цены!AP$2)/Цены!AP$2</f>
        <v>1.9528071602929211E-2</v>
      </c>
      <c r="AP43">
        <f>(Цены!AQ43-Цены!AQ$2)/Цены!AQ$2</f>
        <v>-1.6483516483516484E-2</v>
      </c>
      <c r="AQ43">
        <f>(Цены!AR43-Цены!AR$2)/Цены!AR$2</f>
        <v>6.4186046511627959E-2</v>
      </c>
      <c r="AR43">
        <f>(Цены!AS43-Цены!AS$2)/Цены!AS$2</f>
        <v>-5.0847457627118647E-2</v>
      </c>
      <c r="AS43">
        <f>(Цены!AU43-Цены!AU$2)/Цены!AU$2</f>
        <v>6.6074950690335185E-2</v>
      </c>
      <c r="AT43">
        <f>(Цены!AV43-Цены!AV$2)/Цены!AV$2</f>
        <v>0.4057737134660212</v>
      </c>
      <c r="AU43">
        <f>(Цены!AW43-Цены!AW$2)/Цены!AW$2</f>
        <v>0.25115681233933163</v>
      </c>
      <c r="AV43">
        <f>(Цены!AX43-Цены!AX$2)/Цены!AX$2</f>
        <v>-0.17900403768506057</v>
      </c>
    </row>
    <row r="44" spans="1:48" x14ac:dyDescent="0.2">
      <c r="A44" s="1" t="s">
        <v>110</v>
      </c>
      <c r="B44" s="2">
        <v>42</v>
      </c>
      <c r="C44">
        <f>(Цены!B44-Цены!B$2)/Цены!B$2</f>
        <v>4.9152038399864158E-2</v>
      </c>
      <c r="D44">
        <f>(Цены!C44-Цены!C$2)/Цены!C$2</f>
        <v>0.15499900086591628</v>
      </c>
      <c r="E44">
        <f>(Цены!D44-Цены!D$2)/Цены!D$2</f>
        <v>-1.5103734439833968E-2</v>
      </c>
      <c r="F44">
        <f>(Цены!E44-Цены!E$2)/Цены!E$2</f>
        <v>5.9480894015861568E-2</v>
      </c>
      <c r="G44">
        <f>(Цены!F44-Цены!F$2)/Цены!F$2</f>
        <v>0.144320987654321</v>
      </c>
      <c r="H44">
        <f>(Цены!G44-Цены!G$2)/Цены!G$2</f>
        <v>-3.0427242629670434E-2</v>
      </c>
      <c r="I44">
        <f>(Цены!H44-Цены!H$2)/Цены!H$2</f>
        <v>3.5455585207777342E-2</v>
      </c>
      <c r="J44">
        <f>(Цены!J44-Цены!J$2)/Цены!J$2</f>
        <v>8.3055555555555494E-2</v>
      </c>
      <c r="K44">
        <f>(Цены!K44-Цены!K$2)/Цены!K$2</f>
        <v>1.0620915032679739E-2</v>
      </c>
      <c r="L44">
        <f>(Цены!L44-Цены!L$2)/Цены!L$2</f>
        <v>-2.9677512887971809E-3</v>
      </c>
      <c r="M44">
        <f>(Цены!M44-Цены!M$2)/Цены!M$2</f>
        <v>-4.0634291377601585E-2</v>
      </c>
      <c r="N44">
        <f>(Цены!N44-Цены!N$2)/Цены!N$2</f>
        <v>8.3372585963259485E-2</v>
      </c>
      <c r="O44">
        <f>(Цены!O44-Цены!O$2)/Цены!O$2</f>
        <v>-4.9153605015673917E-2</v>
      </c>
      <c r="P44">
        <f>(Цены!P44-Цены!P$2)/Цены!P$2</f>
        <v>0.23271361846322922</v>
      </c>
      <c r="Q44">
        <f>(Цены!Q44-Цены!Q$2)/Цены!Q$2</f>
        <v>-2.9017597016664828E-2</v>
      </c>
      <c r="R44">
        <f>(Цены!R44-Цены!R$2)/Цены!R$2</f>
        <v>0.17110473849515237</v>
      </c>
      <c r="S44">
        <f>(Цены!S44-Цены!S$2)/Цены!S$2</f>
        <v>-4.9992337164750975E-2</v>
      </c>
      <c r="T44">
        <f>(Цены!T44-Цены!T$2)/Цены!T$2</f>
        <v>-8.3921015514809627E-2</v>
      </c>
      <c r="U44">
        <f>(Цены!U44-Цены!U$2)/Цены!U$2</f>
        <v>7.0796460176991149E-2</v>
      </c>
      <c r="V44">
        <f>(Цены!V44-Цены!V$2)/Цены!V$2</f>
        <v>-0.10661478599221784</v>
      </c>
      <c r="W44">
        <f>(Цены!W44-Цены!W$2)/Цены!W$2</f>
        <v>0.24508651100285575</v>
      </c>
      <c r="X44">
        <f>(Цены!X44-Цены!X$2)/Цены!X$2</f>
        <v>-4.4393291680368298E-2</v>
      </c>
      <c r="Y44">
        <f>(Цены!Y44-Цены!Y$2)/Цены!Y$2</f>
        <v>9.1951127346013E-3</v>
      </c>
      <c r="Z44">
        <f>(Цены!Z44-Цены!Z$2)/Цены!Z$2</f>
        <v>5.6853103872157223E-2</v>
      </c>
      <c r="AA44">
        <f>(Цены!AA44-Цены!AA$2)/Цены!AA$2</f>
        <v>8.3225304640912684E-2</v>
      </c>
      <c r="AB44">
        <f>(Цены!AB44-Цены!AB$2)/Цены!AB$2</f>
        <v>-0.11714770797962648</v>
      </c>
      <c r="AC44">
        <f>(Цены!AD44-Цены!AD$2)/Цены!AD$2</f>
        <v>-0.12692307692307694</v>
      </c>
      <c r="AD44">
        <f>(Цены!AE44-Цены!AE$2)/Цены!AE$2</f>
        <v>6.9277108433734941E-2</v>
      </c>
      <c r="AE44">
        <f>(Цены!AF44-Цены!AF$2)/Цены!AF$2</f>
        <v>4.0061633281972327E-2</v>
      </c>
      <c r="AF44">
        <f>(Цены!AG44-Цены!AG$2)/Цены!AG$2</f>
        <v>-4.345679012345674E-2</v>
      </c>
      <c r="AG44">
        <f>(Цены!AH44-Цены!AH$2)/Цены!AH$2</f>
        <v>0.11293781272337371</v>
      </c>
      <c r="AH44">
        <f>(Цены!AI44-Цены!AI$2)/Цены!AI$2</f>
        <v>5.5433989788475545E-2</v>
      </c>
      <c r="AI44">
        <f>(Цены!AJ44-Цены!AJ$2)/Цены!AJ$2</f>
        <v>9.4289508632138114E-2</v>
      </c>
      <c r="AJ44">
        <f>(Цены!AK44-Цены!AK$2)/Цены!AK$2</f>
        <v>0.16483988824414364</v>
      </c>
      <c r="AK44">
        <f>(Цены!AL44-Цены!AL$2)/Цены!AL$2</f>
        <v>6.5384615384614948E-3</v>
      </c>
      <c r="AL44">
        <f>(Цены!AM44-Цены!AM$2)/Цены!AM$2</f>
        <v>-0.18476190476190477</v>
      </c>
      <c r="AM44">
        <f>(Цены!AN44-Цены!AN$2)/Цены!AN$2</f>
        <v>0.10449826989619378</v>
      </c>
      <c r="AN44">
        <f>(Цены!AO44-Цены!AO$2)/Цены!AO$2</f>
        <v>4.7325102880658373E-2</v>
      </c>
      <c r="AO44">
        <f>(Цены!AP44-Цены!AP$2)/Цены!AP$2</f>
        <v>1.5459723352318959E-2</v>
      </c>
      <c r="AP44">
        <f>(Цены!AQ44-Цены!AQ$2)/Цены!AQ$2</f>
        <v>-2.564102564102564E-2</v>
      </c>
      <c r="AQ44">
        <f>(Цены!AR44-Цены!AR$2)/Цены!AR$2</f>
        <v>6.5116279069767441E-2</v>
      </c>
      <c r="AR44">
        <f>(Цены!AS44-Цены!AS$2)/Цены!AS$2</f>
        <v>-3.9830508474576296E-2</v>
      </c>
      <c r="AS44">
        <f>(Цены!AU44-Цены!AU$2)/Цены!AU$2</f>
        <v>3.5502958579881602E-2</v>
      </c>
      <c r="AT44">
        <f>(Цены!AV44-Цены!AV$2)/Цены!AV$2</f>
        <v>0.40075309306078538</v>
      </c>
      <c r="AU44">
        <f>(Цены!AW44-Цены!AW$2)/Цены!AW$2</f>
        <v>0.27120822622107965</v>
      </c>
      <c r="AV44">
        <f>(Цены!AX44-Цены!AX$2)/Цены!AX$2</f>
        <v>-0.17900403768506057</v>
      </c>
    </row>
    <row r="45" spans="1:48" x14ac:dyDescent="0.2">
      <c r="A45" s="1" t="s">
        <v>111</v>
      </c>
      <c r="B45" s="2">
        <v>43</v>
      </c>
      <c r="C45">
        <f>(Цены!B45-Цены!B$2)/Цены!B$2</f>
        <v>4.0826404154321635E-2</v>
      </c>
      <c r="D45">
        <f>(Цены!C45-Цены!C$2)/Цены!C$2</f>
        <v>0.1470059281955638</v>
      </c>
      <c r="E45">
        <f>(Цены!D45-Цены!D$2)/Цены!D$2</f>
        <v>-2.0331950207468905E-2</v>
      </c>
      <c r="F45">
        <f>(Цены!E45-Цены!E$2)/Цены!E$2</f>
        <v>4.5962509012256667E-2</v>
      </c>
      <c r="G45">
        <f>(Цены!F45-Цены!F$2)/Цены!F$2</f>
        <v>0.13333333333333333</v>
      </c>
      <c r="H45">
        <f>(Цены!G45-Цены!G$2)/Цены!G$2</f>
        <v>-3.2003783698565276E-2</v>
      </c>
      <c r="I45">
        <f>(Цены!H45-Цены!H$2)/Цены!H$2</f>
        <v>3.1261913839115529E-2</v>
      </c>
      <c r="J45">
        <f>(Цены!J45-Цены!J$2)/Цены!J$2</f>
        <v>7.8194444444444386E-2</v>
      </c>
      <c r="K45">
        <f>(Цены!K45-Цены!K$2)/Цены!K$2</f>
        <v>-3.2679738562091504E-3</v>
      </c>
      <c r="L45">
        <f>(Цены!L45-Цены!L$2)/Цены!L$2</f>
        <v>-1.0810332550176728E-2</v>
      </c>
      <c r="M45">
        <f>(Цены!M45-Цены!M$2)/Цены!M$2</f>
        <v>-4.6184340931615483E-2</v>
      </c>
      <c r="N45">
        <f>(Цены!N45-Цены!N$2)/Цены!N$2</f>
        <v>5.9915214319359388E-2</v>
      </c>
      <c r="O45">
        <f>(Цены!O45-Цены!O$2)/Цены!O$2</f>
        <v>-5.6927899686520345E-2</v>
      </c>
      <c r="P45">
        <f>(Цены!P45-Цены!P$2)/Цены!P$2</f>
        <v>0.22465427236926461</v>
      </c>
      <c r="Q45">
        <f>(Цены!Q45-Цены!Q$2)/Цены!Q$2</f>
        <v>-4.6031931010371785E-2</v>
      </c>
      <c r="R45">
        <f>(Цены!R45-Цены!R$2)/Цены!R$2</f>
        <v>0.16099959033183134</v>
      </c>
      <c r="S45">
        <f>(Цены!S45-Цены!S$2)/Цены!S$2</f>
        <v>-7.0022988505747286E-2</v>
      </c>
      <c r="T45">
        <f>(Цены!T45-Цены!T$2)/Цены!T$2</f>
        <v>-8.4344146685472549E-2</v>
      </c>
      <c r="U45">
        <f>(Цены!U45-Цены!U$2)/Цены!U$2</f>
        <v>7.1681415929203546E-2</v>
      </c>
      <c r="V45">
        <f>(Цены!V45-Цены!V$2)/Цены!V$2</f>
        <v>-0.11284046692606998</v>
      </c>
      <c r="W45">
        <f>(Цены!W45-Цены!W$2)/Цены!W$2</f>
        <v>0.21333781286746184</v>
      </c>
      <c r="X45">
        <f>(Цены!X45-Цены!X$2)/Цены!X$2</f>
        <v>-4.6366326866162516E-2</v>
      </c>
      <c r="Y45">
        <f>(Цены!Y45-Цены!Y$2)/Цены!Y$2</f>
        <v>2.0153671747070597E-3</v>
      </c>
      <c r="Z45">
        <f>(Цены!Z45-Цены!Z$2)/Цены!Z$2</f>
        <v>3.5341118623232803E-2</v>
      </c>
      <c r="AA45">
        <f>(Цены!AA45-Цены!AA$2)/Цены!AA$2</f>
        <v>6.7409904070521137E-2</v>
      </c>
      <c r="AB45">
        <f>(Цены!AB45-Цены!AB$2)/Цены!AB$2</f>
        <v>-0.12790039615166951</v>
      </c>
      <c r="AC45">
        <f>(Цены!AD45-Цены!AD$2)/Цены!AD$2</f>
        <v>-0.11923076923076925</v>
      </c>
      <c r="AD45">
        <f>(Цены!AE45-Цены!AE$2)/Цены!AE$2</f>
        <v>6.4759036144578314E-2</v>
      </c>
      <c r="AE45">
        <f>(Цены!AF45-Цены!AF$2)/Цены!AF$2</f>
        <v>4.262968669748337E-2</v>
      </c>
      <c r="AF45">
        <f>(Цены!AG45-Цены!AG$2)/Цены!AG$2</f>
        <v>-3.1358024691358101E-2</v>
      </c>
      <c r="AG45">
        <f>(Цены!AH45-Цены!AH$2)/Цены!AH$2</f>
        <v>7.4338813438170157E-2</v>
      </c>
      <c r="AH45">
        <f>(Цены!AI45-Цены!AI$2)/Цены!AI$2</f>
        <v>6.6374908825674567E-2</v>
      </c>
      <c r="AI45">
        <f>(Цены!AJ45-Цены!AJ$2)/Цены!AJ$2</f>
        <v>8.9309428950863218E-2</v>
      </c>
      <c r="AJ45">
        <f>(Цены!AK45-Цены!AK$2)/Цены!AK$2</f>
        <v>0.1715022566086396</v>
      </c>
      <c r="AK45">
        <f>(Цены!AL45-Цены!AL$2)/Цены!AL$2</f>
        <v>8.4615384615384179E-3</v>
      </c>
      <c r="AL45">
        <f>(Цены!AM45-Цены!AM$2)/Цены!AM$2</f>
        <v>-0.18933333333333333</v>
      </c>
      <c r="AM45">
        <f>(Цены!AN45-Цены!AN$2)/Цены!AN$2</f>
        <v>8.7889273356401384E-2</v>
      </c>
      <c r="AN45">
        <f>(Цены!AO45-Цены!AO$2)/Цены!AO$2</f>
        <v>5.5555555555555469E-2</v>
      </c>
      <c r="AO45">
        <f>(Цены!AP45-Цены!AP$2)/Цены!AP$2</f>
        <v>3.0919446704637917E-2</v>
      </c>
      <c r="AP45">
        <f>(Цены!AQ45-Цены!AQ$2)/Цены!AQ$2</f>
        <v>-3.47985347985348E-2</v>
      </c>
      <c r="AQ45">
        <f>(Цены!AR45-Цены!AR$2)/Цены!AR$2</f>
        <v>6.5116279069767441E-2</v>
      </c>
      <c r="AR45">
        <f>(Цены!AS45-Цены!AS$2)/Цены!AS$2</f>
        <v>-5.1694915254237243E-2</v>
      </c>
      <c r="AS45">
        <f>(Цены!AU45-Цены!AU$2)/Цены!AU$2</f>
        <v>6.213017751479287E-2</v>
      </c>
      <c r="AT45">
        <f>(Цены!AV45-Цены!AV$2)/Цены!AV$2</f>
        <v>0.42406311637080862</v>
      </c>
      <c r="AU45">
        <f>(Цены!AW45-Цены!AW$2)/Цены!AW$2</f>
        <v>0.24344473007712084</v>
      </c>
      <c r="AV45">
        <f>(Цены!AX45-Цены!AX$2)/Цены!AX$2</f>
        <v>-0.20861372812920592</v>
      </c>
    </row>
    <row r="46" spans="1:48" x14ac:dyDescent="0.2">
      <c r="A46" s="1" t="s">
        <v>112</v>
      </c>
      <c r="B46" s="2">
        <v>44</v>
      </c>
      <c r="C46">
        <f>(Цены!B46-Цены!B$2)/Цены!B$2</f>
        <v>3.2649441948878061E-2</v>
      </c>
      <c r="D46">
        <f>(Цены!C46-Цены!C$2)/Цены!C$2</f>
        <v>0.14600679411176992</v>
      </c>
      <c r="E46">
        <f>(Цены!D46-Цены!D$2)/Цены!D$2</f>
        <v>-2.9626556016597454E-2</v>
      </c>
      <c r="F46">
        <f>(Цены!E46-Цены!E$2)/Цены!E$2</f>
        <v>3.1002162941600575E-2</v>
      </c>
      <c r="G46">
        <f>(Цены!F46-Цены!F$2)/Цены!F$2</f>
        <v>0.1111111111111111</v>
      </c>
      <c r="H46">
        <f>(Цены!G46-Цены!G$2)/Цены!G$2</f>
        <v>-3.27920542330127E-2</v>
      </c>
      <c r="I46">
        <f>(Цены!H46-Цены!H$2)/Цены!H$2</f>
        <v>3.621807091116998E-3</v>
      </c>
      <c r="J46">
        <f>(Цены!J46-Цены!J$2)/Цены!J$2</f>
        <v>5.4027777777777744E-2</v>
      </c>
      <c r="K46">
        <f>(Цены!K46-Цены!K$2)/Цены!K$2</f>
        <v>-6.6993464052287951E-3</v>
      </c>
      <c r="L46">
        <f>(Цены!L46-Цены!L$2)/Цены!L$2</f>
        <v>-8.1602500415740246E-3</v>
      </c>
      <c r="M46">
        <f>(Цены!M46-Цены!M$2)/Цены!M$2</f>
        <v>-4.3409316154608475E-2</v>
      </c>
      <c r="N46">
        <f>(Цены!N46-Цены!N$2)/Цены!N$2</f>
        <v>5.4357041921808721E-2</v>
      </c>
      <c r="O46">
        <f>(Цены!O46-Цены!O$2)/Цены!O$2</f>
        <v>-4.8025078369905959E-2</v>
      </c>
      <c r="P46">
        <f>(Цены!P46-Цены!P$2)/Цены!P$2</f>
        <v>0.2208077662789634</v>
      </c>
      <c r="Q46">
        <f>(Цены!Q46-Цены!Q$2)/Цены!Q$2</f>
        <v>-6.5376995688148226E-2</v>
      </c>
      <c r="R46">
        <f>(Цены!R46-Цены!R$2)/Цены!R$2</f>
        <v>0.13068414584186816</v>
      </c>
      <c r="S46">
        <f>(Цены!S46-Цены!S$2)/Цены!S$2</f>
        <v>-8.0459770114942597E-2</v>
      </c>
      <c r="T46">
        <f>(Цены!T46-Цены!T$2)/Цены!T$2</f>
        <v>-9.8307475317348458E-2</v>
      </c>
      <c r="U46">
        <f>(Цены!U46-Цены!U$2)/Цены!U$2</f>
        <v>7.2566371681415928E-2</v>
      </c>
      <c r="V46">
        <f>(Цены!V46-Цены!V$2)/Цены!V$2</f>
        <v>-0.10038910505836569</v>
      </c>
      <c r="W46">
        <f>(Цены!W46-Цены!W$2)/Цены!W$2</f>
        <v>0.21434570804636327</v>
      </c>
      <c r="X46">
        <f>(Цены!X46-Цены!X$2)/Цены!X$2</f>
        <v>-3.4856954949029996E-2</v>
      </c>
      <c r="Y46">
        <f>(Цены!Y46-Цены!Y$2)/Цены!Y$2</f>
        <v>2.6577654616450303E-2</v>
      </c>
      <c r="Z46">
        <f>(Цены!Z46-Цены!Z$2)/Цены!Z$2</f>
        <v>4.3638598647818036E-2</v>
      </c>
      <c r="AA46">
        <f>(Цены!AA46-Цены!AA$2)/Цены!AA$2</f>
        <v>5.2113041223749088E-2</v>
      </c>
      <c r="AB46">
        <f>(Цены!AB46-Цены!AB$2)/Цены!AB$2</f>
        <v>-0.11997736276174306</v>
      </c>
      <c r="AC46">
        <f>(Цены!AD46-Цены!AD$2)/Цены!AD$2</f>
        <v>-0.11538461538461549</v>
      </c>
      <c r="AD46">
        <f>(Цены!AE46-Цены!AE$2)/Цены!AE$2</f>
        <v>6.3253012048192767E-2</v>
      </c>
      <c r="AE46">
        <f>(Цены!AF46-Цены!AF$2)/Цены!AF$2</f>
        <v>4.0318438623523488E-2</v>
      </c>
      <c r="AF46">
        <f>(Цены!AG46-Цены!AG$2)/Цены!AG$2</f>
        <v>-5.0987654320987598E-2</v>
      </c>
      <c r="AG46">
        <f>(Цены!AH46-Цены!AH$2)/Цены!AH$2</f>
        <v>4.9320943531093675E-2</v>
      </c>
      <c r="AH46">
        <f>(Цены!AI46-Цены!AI$2)/Цены!AI$2</f>
        <v>6.491611962071471E-2</v>
      </c>
      <c r="AI46">
        <f>(Цены!AJ46-Цены!AJ$2)/Цены!AJ$2</f>
        <v>8.5989375830013287E-2</v>
      </c>
      <c r="AJ46">
        <f>(Цены!AK46-Цены!AK$2)/Цены!AK$2</f>
        <v>0.15989684074790472</v>
      </c>
      <c r="AK46">
        <f>(Цены!AL46-Цены!AL$2)/Цены!AL$2</f>
        <v>1.1538461538461539E-2</v>
      </c>
      <c r="AL46">
        <f>(Цены!AM46-Цены!AM$2)/Цены!AM$2</f>
        <v>-0.19542857142857142</v>
      </c>
      <c r="AM46">
        <f>(Цены!AN46-Цены!AN$2)/Цены!AN$2</f>
        <v>8.3044982698961933E-2</v>
      </c>
      <c r="AN46">
        <f>(Цены!AO46-Цены!AO$2)/Цены!AO$2</f>
        <v>4.5267489711934068E-2</v>
      </c>
      <c r="AO46">
        <f>(Цены!AP46-Цены!AP$2)/Цены!AP$2</f>
        <v>2.034174125305126E-2</v>
      </c>
      <c r="AP46">
        <f>(Цены!AQ46-Цены!AQ$2)/Цены!AQ$2</f>
        <v>-3.6630036630036632E-2</v>
      </c>
      <c r="AQ46">
        <f>(Цены!AR46-Цены!AR$2)/Цены!AR$2</f>
        <v>5.9534883720930284E-2</v>
      </c>
      <c r="AR46">
        <f>(Цены!AS46-Цены!AS$2)/Цены!AS$2</f>
        <v>-4.8305084745762734E-2</v>
      </c>
      <c r="AS46">
        <f>(Цены!AU46-Цены!AU$2)/Цены!AU$2</f>
        <v>4.1420118343195152E-2</v>
      </c>
      <c r="AT46">
        <f>(Цены!AV46-Цены!AV$2)/Цены!AV$2</f>
        <v>0.41420118343195267</v>
      </c>
      <c r="AU46">
        <f>(Цены!AW46-Цены!AW$2)/Цены!AW$2</f>
        <v>0.22159383033419022</v>
      </c>
      <c r="AV46">
        <f>(Цены!AX46-Цены!AX$2)/Цены!AX$2</f>
        <v>-0.19246298788694483</v>
      </c>
    </row>
    <row r="47" spans="1:48" x14ac:dyDescent="0.2">
      <c r="A47" s="1" t="s">
        <v>113</v>
      </c>
      <c r="B47" s="2">
        <v>45</v>
      </c>
      <c r="C47">
        <f>(Цены!B47-Цены!B$2)/Цены!B$2</f>
        <v>3.6323765225609865E-2</v>
      </c>
      <c r="D47">
        <f>(Цены!C47-Цены!C$2)/Цены!C$2</f>
        <v>0.14907080530207151</v>
      </c>
      <c r="E47">
        <f>(Цены!D47-Цены!D$2)/Цены!D$2</f>
        <v>-2.5726141078838128E-2</v>
      </c>
      <c r="F47">
        <f>(Цены!E47-Цены!E$2)/Цены!E$2</f>
        <v>3.9473684210526314E-2</v>
      </c>
      <c r="G47">
        <f>(Цены!F47-Цены!F$2)/Цены!F$2</f>
        <v>0.11728395061728394</v>
      </c>
      <c r="H47">
        <f>(Цены!G47-Цены!G$2)/Цены!G$2</f>
        <v>-4.6980923853066306E-2</v>
      </c>
      <c r="I47">
        <f>(Цены!H47-Цены!H$2)/Цены!H$2</f>
        <v>-5.7186427754481769E-4</v>
      </c>
      <c r="J47">
        <f>(Цены!J47-Цены!J$2)/Цены!J$2</f>
        <v>4.7222222222222221E-2</v>
      </c>
      <c r="K47">
        <f>(Цены!K47-Цены!K$2)/Цены!K$2</f>
        <v>-3.2679738562091504E-3</v>
      </c>
      <c r="L47">
        <f>(Цены!L47-Цены!L$2)/Цены!L$2</f>
        <v>-6.8885089181779883E-3</v>
      </c>
      <c r="M47">
        <f>(Цены!M47-Цены!M$2)/Цены!M$2</f>
        <v>-3.3300297324083274E-2</v>
      </c>
      <c r="N47">
        <f>(Цены!N47-Цены!N$2)/Цены!N$2</f>
        <v>7.6307112576542574E-2</v>
      </c>
      <c r="O47">
        <f>(Цены!O47-Цены!O$2)/Цены!O$2</f>
        <v>-3.1974921630094029E-2</v>
      </c>
      <c r="P47">
        <f>(Цены!P47-Цены!P$2)/Цены!P$2</f>
        <v>0.20615440974448201</v>
      </c>
      <c r="Q47">
        <f>(Цены!Q47-Цены!Q$2)/Цены!Q$2</f>
        <v>-6.1065143922619844E-2</v>
      </c>
      <c r="R47">
        <f>(Цены!R47-Цены!R$2)/Цены!R$2</f>
        <v>0.14543219991806638</v>
      </c>
      <c r="S47">
        <f>(Цены!S47-Цены!S$2)/Цены!S$2</f>
        <v>-7.2796934865900442E-2</v>
      </c>
      <c r="T47">
        <f>(Цены!T47-Цены!T$2)/Цены!T$2</f>
        <v>-9.3794076163610796E-2</v>
      </c>
      <c r="U47">
        <f>(Цены!U47-Цены!U$2)/Цены!U$2</f>
        <v>7.4778761061946905E-2</v>
      </c>
      <c r="V47">
        <f>(Цены!V47-Цены!V$2)/Цены!V$2</f>
        <v>-8.0155642023346255E-2</v>
      </c>
      <c r="W47">
        <f>(Цены!W47-Цены!W$2)/Цены!W$2</f>
        <v>0.22828825802116584</v>
      </c>
      <c r="X47">
        <f>(Цены!X47-Цены!X$2)/Цены!X$2</f>
        <v>-3.0582045379809308E-2</v>
      </c>
      <c r="Y47">
        <f>(Цены!Y47-Цены!Y$2)/Цены!Y$2</f>
        <v>5.0384179367678451E-2</v>
      </c>
      <c r="Z47">
        <f>(Цены!Z47-Цены!Z$2)/Цены!Z$2</f>
        <v>4.1180086047940892E-2</v>
      </c>
      <c r="AA47">
        <f>(Цены!AA47-Цены!AA$2)/Цены!AA$2</f>
        <v>6.4298677728804807E-2</v>
      </c>
      <c r="AB47">
        <f>(Цены!AB47-Цены!AB$2)/Цены!AB$2</f>
        <v>-0.10752688172043011</v>
      </c>
      <c r="AC47">
        <f>(Цены!AD47-Цены!AD$2)/Цены!AD$2</f>
        <v>-0.1053846153846154</v>
      </c>
      <c r="AD47">
        <f>(Цены!AE47-Цены!AE$2)/Цены!AE$2</f>
        <v>7.0783132530120488E-2</v>
      </c>
      <c r="AE47">
        <f>(Цены!AF47-Цены!AF$2)/Цены!AF$2</f>
        <v>4.4684129429892229E-2</v>
      </c>
      <c r="AF47">
        <f>(Цены!AG47-Цены!AG$2)/Цены!AG$2</f>
        <v>-4.0987654320987568E-2</v>
      </c>
      <c r="AG47">
        <f>(Цены!AH47-Цены!AH$2)/Цены!AH$2</f>
        <v>6.4689063616869075E-2</v>
      </c>
      <c r="AH47">
        <f>(Цены!AI47-Цены!AI$2)/Цены!AI$2</f>
        <v>6.2727935813274932E-2</v>
      </c>
      <c r="AI47">
        <f>(Цены!AJ47-Цены!AJ$2)/Цены!AJ$2</f>
        <v>9.7609561752988044E-2</v>
      </c>
      <c r="AJ47">
        <f>(Цены!AK47-Цены!AK$2)/Цены!AK$2</f>
        <v>0.18289275736084248</v>
      </c>
      <c r="AK47">
        <f>(Цены!AL47-Цены!AL$2)/Цены!AL$2</f>
        <v>2.1538461538461624E-2</v>
      </c>
      <c r="AL47">
        <f>(Цены!AM47-Цены!AM$2)/Цены!AM$2</f>
        <v>-0.18095238095238095</v>
      </c>
      <c r="AM47">
        <f>(Цены!AN47-Цены!AN$2)/Цены!AN$2</f>
        <v>8.9965397923875437E-2</v>
      </c>
      <c r="AN47">
        <f>(Цены!AO47-Цены!AO$2)/Цены!AO$2</f>
        <v>5.9670781893004086E-2</v>
      </c>
      <c r="AO47">
        <f>(Цены!AP47-Цены!AP$2)/Цены!AP$2</f>
        <v>2.4410089503661515E-2</v>
      </c>
      <c r="AP47">
        <f>(Цены!AQ47-Цены!AQ$2)/Цены!AQ$2</f>
        <v>-4.2124542124542128E-2</v>
      </c>
      <c r="AQ47">
        <f>(Цены!AR47-Цены!AR$2)/Цены!AR$2</f>
        <v>0.11813953488372096</v>
      </c>
      <c r="AR47">
        <f>(Цены!AS47-Цены!AS$2)/Цены!AS$2</f>
        <v>-4.2372881355932202E-2</v>
      </c>
      <c r="AS47">
        <f>(Цены!AU47-Цены!AU$2)/Цены!AU$2</f>
        <v>3.1558185404339134E-2</v>
      </c>
      <c r="AT47">
        <f>(Цены!AV47-Цены!AV$2)/Цены!AV$2</f>
        <v>0.42872512103281341</v>
      </c>
      <c r="AU47">
        <f>(Цены!AW47-Цены!AW$2)/Цены!AW$2</f>
        <v>0.23367609254498709</v>
      </c>
      <c r="AV47">
        <f>(Цены!AX47-Цены!AX$2)/Цены!AX$2</f>
        <v>-0.20390309555854644</v>
      </c>
    </row>
    <row r="48" spans="1:48" x14ac:dyDescent="0.2">
      <c r="A48" s="1" t="s">
        <v>114</v>
      </c>
      <c r="B48" s="2">
        <v>46</v>
      </c>
      <c r="C48">
        <f>(Цены!B48-Цены!B$2)/Цены!B$2</f>
        <v>3.554323701509024E-2</v>
      </c>
      <c r="D48">
        <f>(Цены!C48-Цены!C$2)/Цены!C$2</f>
        <v>0.14787184440151879</v>
      </c>
      <c r="E48">
        <f>(Цены!D48-Цены!D$2)/Цены!D$2</f>
        <v>-2.4149377593360968E-2</v>
      </c>
      <c r="F48">
        <f>(Цены!E48-Цены!E$2)/Цены!E$2</f>
        <v>3.6049026676279738E-2</v>
      </c>
      <c r="G48">
        <f>(Цены!F48-Цены!F$2)/Цены!F$2</f>
        <v>0.10111111111111111</v>
      </c>
      <c r="H48">
        <f>(Цены!G48-Цены!G$2)/Цены!G$2</f>
        <v>-4.7926848494403249E-2</v>
      </c>
      <c r="I48">
        <f>(Цены!H48-Цены!H$2)/Цены!H$2</f>
        <v>1.1627906976744175E-2</v>
      </c>
      <c r="J48">
        <f>(Цены!J48-Цены!J$2)/Цены!J$2</f>
        <v>4.8194444444444505E-2</v>
      </c>
      <c r="K48">
        <f>(Цены!K48-Цены!K$2)/Цены!K$2</f>
        <v>-3.5947712418301398E-3</v>
      </c>
      <c r="L48">
        <f>(Цены!L48-Цены!L$2)/Цены!L$2</f>
        <v>-7.9491815231897897E-3</v>
      </c>
      <c r="M48">
        <f>(Цены!M48-Цены!M$2)/Цены!M$2</f>
        <v>-3.3498513379583698E-2</v>
      </c>
      <c r="N48">
        <f>(Цены!N48-Цены!N$2)/Цены!N$2</f>
        <v>7.9227508243052247E-2</v>
      </c>
      <c r="O48">
        <f>(Цены!O48-Цены!O$2)/Цены!O$2</f>
        <v>-3.4858934169278946E-2</v>
      </c>
      <c r="P48">
        <f>(Цены!P48-Цены!P$2)/Цены!P$2</f>
        <v>0.18985255059987169</v>
      </c>
      <c r="Q48">
        <f>(Цены!Q48-Цены!Q$2)/Цены!Q$2</f>
        <v>-6.3628947675096234E-2</v>
      </c>
      <c r="R48">
        <f>(Цены!R48-Цены!R$2)/Цены!R$2</f>
        <v>0.1474805407619828</v>
      </c>
      <c r="S48">
        <f>(Цены!S48-Цены!S$2)/Цены!S$2</f>
        <v>-6.4842911877394716E-2</v>
      </c>
      <c r="T48">
        <f>(Цены!T48-Цены!T$2)/Цены!T$2</f>
        <v>-8.6036671368124235E-2</v>
      </c>
      <c r="U48">
        <f>(Цены!U48-Цены!U$2)/Цены!U$2</f>
        <v>6.9469026548672569E-2</v>
      </c>
      <c r="V48">
        <f>(Цены!V48-Цены!V$2)/Цены!V$2</f>
        <v>-8.4046692607003898E-2</v>
      </c>
      <c r="W48">
        <f>(Цены!W48-Цены!W$2)/Цены!W$2</f>
        <v>0.21417772551654626</v>
      </c>
      <c r="X48">
        <f>(Цены!X48-Цены!X$2)/Цены!X$2</f>
        <v>-3.3541598158500642E-2</v>
      </c>
      <c r="Y48">
        <f>(Цены!Y48-Цены!Y$2)/Цены!Y$2</f>
        <v>4.8242851744552208E-2</v>
      </c>
      <c r="Z48">
        <f>(Цены!Z48-Цены!Z$2)/Цены!Z$2</f>
        <v>5.4701905347264844E-2</v>
      </c>
      <c r="AA48">
        <f>(Цены!AA48-Цены!AA$2)/Цены!AA$2</f>
        <v>7.2595281306715068E-2</v>
      </c>
      <c r="AB48">
        <f>(Цены!AB48-Цены!AB$2)/Цены!AB$2</f>
        <v>-0.10582908885116016</v>
      </c>
      <c r="AC48">
        <f>(Цены!AD48-Цены!AD$2)/Цены!AD$2</f>
        <v>-0.11038461538461534</v>
      </c>
      <c r="AD48">
        <f>(Цены!AE48-Цены!AE$2)/Цены!AE$2</f>
        <v>6.3253012048192767E-2</v>
      </c>
      <c r="AE48">
        <f>(Цены!AF48-Цены!AF$2)/Цены!AF$2</f>
        <v>4.7508988186954294E-2</v>
      </c>
      <c r="AF48">
        <f>(Цены!AG48-Цены!AG$2)/Цены!AG$2</f>
        <v>-4.555555555555553E-2</v>
      </c>
      <c r="AG48">
        <f>(Цены!AH48-Цены!AH$2)/Цены!AH$2</f>
        <v>8.7919942816297225E-2</v>
      </c>
      <c r="AH48">
        <f>(Цены!AI48-Цены!AI$2)/Цены!AI$2</f>
        <v>4.8869438366156079E-2</v>
      </c>
      <c r="AI48">
        <f>(Цены!AJ48-Цены!AJ$2)/Цены!AJ$2</f>
        <v>0.10557768924302789</v>
      </c>
      <c r="AJ48">
        <f>(Цены!AK48-Цены!AK$2)/Цены!AK$2</f>
        <v>0.18547173866322814</v>
      </c>
      <c r="AK48">
        <f>(Цены!AL48-Цены!AL$2)/Цены!AL$2</f>
        <v>4.4999999999999957E-2</v>
      </c>
      <c r="AL48">
        <f>(Цены!AM48-Цены!AM$2)/Цены!AM$2</f>
        <v>-0.192</v>
      </c>
      <c r="AM48">
        <f>(Цены!AN48-Цены!AN$2)/Цены!AN$2</f>
        <v>9.3425605536332182E-2</v>
      </c>
      <c r="AN48">
        <f>(Цены!AO48-Цены!AO$2)/Цены!AO$2</f>
        <v>5.1440329218106998E-2</v>
      </c>
      <c r="AO48">
        <f>(Цены!AP48-Цены!AP$2)/Цены!AP$2</f>
        <v>2.9292107404393815E-2</v>
      </c>
      <c r="AP48">
        <f>(Цены!AQ48-Цены!AQ$2)/Цены!AQ$2</f>
        <v>-4.2124542124542128E-2</v>
      </c>
      <c r="AQ48">
        <f>(Цены!AR48-Цены!AR$2)/Цены!AR$2</f>
        <v>0.23627906976744192</v>
      </c>
      <c r="AR48">
        <f>(Цены!AS48-Цены!AS$2)/Цены!AS$2</f>
        <v>-5.0847457627118647E-2</v>
      </c>
      <c r="AS48">
        <f>(Цены!AU48-Цены!AU$2)/Цены!AU$2</f>
        <v>3.1558185404339134E-2</v>
      </c>
      <c r="AT48">
        <f>(Цены!AV48-Цены!AV$2)/Цены!AV$2</f>
        <v>0.42944235251927548</v>
      </c>
      <c r="AU48">
        <f>(Цены!AW48-Цены!AW$2)/Цены!AW$2</f>
        <v>0.25192802056555264</v>
      </c>
      <c r="AV48">
        <f>(Цены!AX48-Цены!AX$2)/Цены!AX$2</f>
        <v>-0.21601615074024227</v>
      </c>
    </row>
    <row r="49" spans="1:48" x14ac:dyDescent="0.2">
      <c r="A49" s="1" t="s">
        <v>115</v>
      </c>
      <c r="B49" s="2">
        <v>47</v>
      </c>
      <c r="C49">
        <f>(Цены!B49-Цены!B$2)/Цены!B$2</f>
        <v>3.1614047383903165E-2</v>
      </c>
      <c r="D49">
        <f>(Цены!C49-Цены!C$2)/Цены!C$2</f>
        <v>0.15266768800373021</v>
      </c>
      <c r="E49">
        <f>(Цены!D49-Цены!D$2)/Цены!D$2</f>
        <v>-3.1120331950207469E-2</v>
      </c>
      <c r="F49">
        <f>(Цены!E49-Цены!E$2)/Цены!E$2</f>
        <v>2.613554434030281E-2</v>
      </c>
      <c r="G49">
        <f>(Цены!F49-Цены!F$2)/Цены!F$2</f>
        <v>7.716049382716049E-2</v>
      </c>
      <c r="H49">
        <f>(Цены!G49-Цены!G$2)/Цены!G$2</f>
        <v>-5.5651899731987947E-2</v>
      </c>
      <c r="I49">
        <f>(Цены!H49-Цены!H$2)/Цены!H$2</f>
        <v>3.2405642394205433E-3</v>
      </c>
      <c r="J49">
        <f>(Цены!J49-Цены!J$2)/Цены!J$2</f>
        <v>5.347222222222222E-2</v>
      </c>
      <c r="K49">
        <f>(Цены!K49-Цены!K$2)/Цены!K$2</f>
        <v>-1.2908496732026107E-2</v>
      </c>
      <c r="L49">
        <f>(Цены!L49-Цены!L$2)/Цены!L$2</f>
        <v>3.7096891109963791E-3</v>
      </c>
      <c r="M49">
        <f>(Цены!M49-Цены!M$2)/Цены!M$2</f>
        <v>-3.3498513379583698E-2</v>
      </c>
      <c r="N49">
        <f>(Цены!N49-Цены!N$2)/Цены!N$2</f>
        <v>7.3951954780970261E-2</v>
      </c>
      <c r="O49">
        <f>(Цены!O49-Цены!O$2)/Цены!O$2</f>
        <v>-3.1598746081504675E-2</v>
      </c>
      <c r="P49">
        <f>(Цены!P49-Цены!P$2)/Цены!P$2</f>
        <v>0.20404798974265045</v>
      </c>
      <c r="Q49">
        <f>(Цены!Q49-Цены!Q$2)/Цены!Q$2</f>
        <v>-7.3418016548187817E-2</v>
      </c>
      <c r="R49">
        <f>(Цены!R49-Цены!R$2)/Цены!R$2</f>
        <v>0.15307933906868773</v>
      </c>
      <c r="S49">
        <f>(Цены!S49-Цены!S$2)/Цены!S$2</f>
        <v>-7.4804597701149264E-2</v>
      </c>
      <c r="T49">
        <f>(Цены!T49-Цены!T$2)/Цены!T$2</f>
        <v>-7.9266572637517685E-2</v>
      </c>
      <c r="U49">
        <f>(Цены!U49-Цены!U$2)/Цены!U$2</f>
        <v>6.0619469026548675E-2</v>
      </c>
      <c r="V49">
        <f>(Цены!V49-Цены!V$2)/Цены!V$2</f>
        <v>-8.910505836575873E-2</v>
      </c>
      <c r="W49">
        <f>(Цены!W49-Цены!W$2)/Цены!W$2</f>
        <v>0.23534352427347563</v>
      </c>
      <c r="X49">
        <f>(Цены!X49-Цены!X$2)/Цены!X$2</f>
        <v>-3.9131864518250688E-2</v>
      </c>
      <c r="Y49">
        <f>(Цены!Y49-Цены!Y$2)/Цены!Y$2</f>
        <v>3.9299659906789131E-2</v>
      </c>
      <c r="Z49">
        <f>(Цены!Z49-Цены!Z$2)/Цены!Z$2</f>
        <v>6.2077443146896109E-2</v>
      </c>
      <c r="AA49">
        <f>(Цены!AA49-Цены!AA$2)/Цены!AA$2</f>
        <v>8.7373606429867745E-2</v>
      </c>
      <c r="AB49">
        <f>(Цены!AB49-Цены!AB$2)/Цены!AB$2</f>
        <v>-0.10526315789473684</v>
      </c>
      <c r="AC49">
        <f>(Цены!AD49-Цены!AD$2)/Цены!AD$2</f>
        <v>-0.11730769230769236</v>
      </c>
      <c r="AD49">
        <f>(Цены!AE49-Цены!AE$2)/Цены!AE$2</f>
        <v>7.2289156626506021E-2</v>
      </c>
      <c r="AE49">
        <f>(Цены!AF49-Цены!AF$2)/Цены!AF$2</f>
        <v>4.1345659989727848E-2</v>
      </c>
      <c r="AF49">
        <f>(Цены!AG49-Цены!AG$2)/Цены!AG$2</f>
        <v>-6.0617283950617239E-2</v>
      </c>
      <c r="AG49">
        <f>(Цены!AH49-Цены!AH$2)/Цены!AH$2</f>
        <v>8.0057183702644669E-2</v>
      </c>
      <c r="AH49">
        <f>(Цены!AI49-Цены!AI$2)/Цены!AI$2</f>
        <v>2.917578409919756E-2</v>
      </c>
      <c r="AI49">
        <f>(Цены!AJ49-Цены!AJ$2)/Цены!AJ$2</f>
        <v>0.1052456839309429</v>
      </c>
      <c r="AJ49">
        <f>(Цены!AK49-Цены!AK$2)/Цены!AK$2</f>
        <v>0.17794970986460357</v>
      </c>
      <c r="AK49">
        <f>(Цены!AL49-Цены!AL$2)/Цены!AL$2</f>
        <v>4.0769230769230856E-2</v>
      </c>
      <c r="AL49">
        <f>(Цены!AM49-Цены!AM$2)/Цены!AM$2</f>
        <v>-0.19390476190476191</v>
      </c>
      <c r="AM49">
        <f>(Цены!AN49-Цены!AN$2)/Цены!AN$2</f>
        <v>9.0657439446366783E-2</v>
      </c>
      <c r="AN49">
        <f>(Цены!AO49-Цены!AO$2)/Цены!AO$2</f>
        <v>5.1440329218106998E-2</v>
      </c>
      <c r="AO49">
        <f>(Цены!AP49-Цены!AP$2)/Цены!AP$2</f>
        <v>4.5565500406834825E-2</v>
      </c>
      <c r="AP49">
        <f>(Цены!AQ49-Цены!AQ$2)/Цены!AQ$2</f>
        <v>-3.8461538461538464E-2</v>
      </c>
      <c r="AQ49">
        <f>(Цены!AR49-Цены!AR$2)/Цены!AR$2</f>
        <v>0.18976744186046518</v>
      </c>
      <c r="AR49">
        <f>(Цены!AS49-Цены!AS$2)/Цены!AS$2</f>
        <v>-4.6610169491525424E-2</v>
      </c>
      <c r="AS49">
        <f>(Цены!AU49-Цены!AU$2)/Цены!AU$2</f>
        <v>4.9309664694280074E-2</v>
      </c>
      <c r="AT49">
        <f>(Цены!AV49-Цены!AV$2)/Цены!AV$2</f>
        <v>0.43015958400573784</v>
      </c>
      <c r="AU49">
        <f>(Цены!AW49-Цены!AW$2)/Цены!AW$2</f>
        <v>0.27994858611825191</v>
      </c>
      <c r="AV49">
        <f>(Цены!AX49-Цены!AX$2)/Цены!AX$2</f>
        <v>-0.21130551816958276</v>
      </c>
    </row>
    <row r="50" spans="1:48" x14ac:dyDescent="0.2">
      <c r="A50" s="1" t="s">
        <v>116</v>
      </c>
      <c r="B50" s="2">
        <v>48</v>
      </c>
      <c r="C50">
        <f>(Цены!B50-Цены!B$2)/Цены!B$2</f>
        <v>3.0891926046279519E-2</v>
      </c>
      <c r="D50">
        <f>(Цены!C50-Цены!C$2)/Цены!C$2</f>
        <v>0.15046959301938323</v>
      </c>
      <c r="E50">
        <f>(Цены!D50-Цены!D$2)/Цены!D$2</f>
        <v>-3.5518672199170133E-2</v>
      </c>
      <c r="F50">
        <f>(Цены!E50-Цены!E$2)/Цены!E$2</f>
        <v>2.4152847873107425E-2</v>
      </c>
      <c r="G50">
        <f>(Цены!F50-Цены!F$2)/Цены!F$2</f>
        <v>8.2469135802469132E-2</v>
      </c>
      <c r="H50">
        <f>(Цены!G50-Цены!G$2)/Цены!G$2</f>
        <v>-6.1012139366230386E-2</v>
      </c>
      <c r="I50">
        <f>(Цены!H50-Цены!H$2)/Цены!H$2</f>
        <v>1.3724742661075083E-2</v>
      </c>
      <c r="J50">
        <f>(Цены!J50-Цены!J$2)/Цены!J$2</f>
        <v>5.9722222222222225E-2</v>
      </c>
      <c r="K50">
        <f>(Цены!K50-Цены!K$2)/Цены!K$2</f>
        <v>-1.3888888888888888E-2</v>
      </c>
      <c r="L50">
        <f>(Цены!L50-Цены!L$2)/Цены!L$2</f>
        <v>1.2717411233962301E-3</v>
      </c>
      <c r="M50">
        <f>(Цены!M50-Цены!M$2)/Цены!M$2</f>
        <v>-3.5678889990089196E-2</v>
      </c>
      <c r="N50">
        <f>(Цены!N50-Цены!N$2)/Цены!N$2</f>
        <v>5.2284503061705102E-2</v>
      </c>
      <c r="O50">
        <f>(Цены!O50-Цены!O$2)/Цены!O$2</f>
        <v>-3.9749216300940353E-2</v>
      </c>
      <c r="P50">
        <f>(Цены!P50-Цены!P$2)/Цены!P$2</f>
        <v>0.17968678450407552</v>
      </c>
      <c r="Q50">
        <f>(Цены!Q50-Цены!Q$2)/Цены!Q$2</f>
        <v>-6.5376995688148226E-2</v>
      </c>
      <c r="R50">
        <f>(Цены!R50-Цены!R$2)/Цены!R$2</f>
        <v>0.16414037962583647</v>
      </c>
      <c r="S50">
        <f>(Цены!S50-Цены!S$2)/Цены!S$2</f>
        <v>-8.0459770114942597E-2</v>
      </c>
      <c r="T50">
        <f>(Цены!T50-Цены!T$2)/Цены!T$2</f>
        <v>-7.4753173483780119E-2</v>
      </c>
      <c r="U50">
        <f>(Цены!U50-Цены!U$2)/Цены!U$2</f>
        <v>5.9734513274336286E-2</v>
      </c>
      <c r="V50">
        <f>(Цены!V50-Цены!V$2)/Цены!V$2</f>
        <v>-0.10272373540856033</v>
      </c>
      <c r="W50">
        <f>(Цены!W50-Цены!W$2)/Цены!W$2</f>
        <v>0.23399966403494024</v>
      </c>
      <c r="X50">
        <f>(Цены!X50-Цены!X$2)/Цены!X$2</f>
        <v>-3.1239723775073988E-2</v>
      </c>
      <c r="Y50">
        <f>(Цены!Y50-Цены!Y$2)/Цены!Y$2</f>
        <v>5.4414913717092707E-2</v>
      </c>
      <c r="Z50">
        <f>(Цены!Z50-Цены!Z$2)/Цены!Z$2</f>
        <v>5.3779963122310877E-2</v>
      </c>
      <c r="AA50">
        <f>(Цены!AA50-Цены!AA$2)/Цены!AA$2</f>
        <v>9.3855327975110162E-2</v>
      </c>
      <c r="AB50">
        <f>(Цены!AB50-Цены!AB$2)/Цены!AB$2</f>
        <v>-8.6587436332767401E-2</v>
      </c>
      <c r="AC50">
        <f>(Цены!AD50-Цены!AD$2)/Цены!AD$2</f>
        <v>-0.12423076923076921</v>
      </c>
      <c r="AD50">
        <f>(Цены!AE50-Цены!AE$2)/Цены!AE$2</f>
        <v>8.5843373493975902E-2</v>
      </c>
      <c r="AE50">
        <f>(Цены!AF50-Цены!AF$2)/Цены!AF$2</f>
        <v>4.0318438623523488E-2</v>
      </c>
      <c r="AF50">
        <f>(Цены!AG50-Цены!AG$2)/Цены!AG$2</f>
        <v>-4.7654320987654313E-2</v>
      </c>
      <c r="AG50">
        <f>(Цены!AH50-Цены!AH$2)/Цены!AH$2</f>
        <v>7.9699785561115122E-2</v>
      </c>
      <c r="AH50">
        <f>(Цены!AI50-Цены!AI$2)/Цены!AI$2</f>
        <v>4.8869438366156079E-2</v>
      </c>
      <c r="AI50">
        <f>(Цены!AJ50-Цены!AJ$2)/Цены!AJ$2</f>
        <v>0.16666666666666666</v>
      </c>
      <c r="AJ50">
        <f>(Цены!AK50-Цены!AK$2)/Цены!AK$2</f>
        <v>0.18246292714377826</v>
      </c>
      <c r="AK50">
        <f>(Цены!AL50-Цены!AL$2)/Цены!AL$2</f>
        <v>5.2692307692307649E-2</v>
      </c>
      <c r="AL50">
        <f>(Цены!AM50-Цены!AM$2)/Цены!AM$2</f>
        <v>-0.15580952380952381</v>
      </c>
      <c r="AM50">
        <f>(Цены!AN50-Цены!AN$2)/Цены!AN$2</f>
        <v>8.3044982698961933E-2</v>
      </c>
      <c r="AN50">
        <f>(Цены!AO50-Цены!AO$2)/Цены!AO$2</f>
        <v>6.3786008230452704E-2</v>
      </c>
      <c r="AO50">
        <f>(Цены!AP50-Цены!AP$2)/Цены!AP$2</f>
        <v>3.9869812855980472E-2</v>
      </c>
      <c r="AP50">
        <f>(Цены!AQ50-Цены!AQ$2)/Цены!AQ$2</f>
        <v>-3.47985347985348E-2</v>
      </c>
      <c r="AQ50">
        <f>(Цены!AR50-Цены!AR$2)/Цены!AR$2</f>
        <v>0.19534883720930232</v>
      </c>
      <c r="AR50">
        <f>(Цены!AS50-Цены!AS$2)/Цены!AS$2</f>
        <v>-4.6610169491525424E-2</v>
      </c>
      <c r="AS50">
        <f>(Цены!AU50-Цены!AU$2)/Цены!AU$2</f>
        <v>6.7061143984220875E-2</v>
      </c>
      <c r="AT50">
        <f>(Цены!AV50-Цены!AV$2)/Цены!AV$2</f>
        <v>0.42047695893849729</v>
      </c>
      <c r="AU50">
        <f>(Цены!AW50-Цены!AW$2)/Цены!AW$2</f>
        <v>0.28791773778920304</v>
      </c>
      <c r="AV50">
        <f>(Цены!AX50-Цены!AX$2)/Цены!AX$2</f>
        <v>-0.21601615074024227</v>
      </c>
    </row>
    <row r="51" spans="1:48" x14ac:dyDescent="0.2">
      <c r="A51" s="1" t="s">
        <v>117</v>
      </c>
      <c r="B51" s="2">
        <v>49</v>
      </c>
      <c r="C51">
        <f>(Цены!B51-Цены!B$2)/Цены!B$2</f>
        <v>2.5152123355315619E-2</v>
      </c>
      <c r="D51">
        <f>(Цены!C51-Цены!C$2)/Цены!C$2</f>
        <v>0.12902151468727108</v>
      </c>
      <c r="E51">
        <f>(Цены!D51-Цены!D$2)/Цены!D$2</f>
        <v>-3.7344398340248962E-2</v>
      </c>
      <c r="F51">
        <f>(Цены!E51-Цены!E$2)/Цены!E$2</f>
        <v>1.9826964671953856E-2</v>
      </c>
      <c r="G51">
        <f>(Цены!F51-Цены!F$2)/Цены!F$2</f>
        <v>9.864197530864198E-2</v>
      </c>
      <c r="H51">
        <f>(Цены!G51-Цены!G$2)/Цены!G$2</f>
        <v>-5.9277944190446019E-2</v>
      </c>
      <c r="I51">
        <f>(Цены!H51-Цены!H$2)/Цены!H$2</f>
        <v>6.0998856271444963E-3</v>
      </c>
      <c r="J51">
        <f>(Цены!J51-Цены!J$2)/Цены!J$2</f>
        <v>5.819444444444441E-2</v>
      </c>
      <c r="K51">
        <f>(Цены!K51-Цены!K$2)/Цены!K$2</f>
        <v>-1.9444444444444407E-2</v>
      </c>
      <c r="L51">
        <f>(Цены!L51-Цены!L$2)/Цены!L$2</f>
        <v>-1.0598198029174367E-2</v>
      </c>
      <c r="M51">
        <f>(Цены!M51-Цены!M$2)/Цены!M$2</f>
        <v>-3.2705649157581763E-2</v>
      </c>
      <c r="N51">
        <f>(Цены!N51-Цены!N$2)/Цены!N$2</f>
        <v>3.061705134243994E-2</v>
      </c>
      <c r="O51">
        <f>(Цены!O51-Цены!O$2)/Цены!O$2</f>
        <v>-3.5736677115987367E-2</v>
      </c>
      <c r="P51">
        <f>(Цены!P51-Цены!P$2)/Цены!P$2</f>
        <v>0.16759776536312848</v>
      </c>
      <c r="Q51">
        <f>(Цены!Q51-Цены!Q$2)/Цены!Q$2</f>
        <v>-6.9805383987880304E-2</v>
      </c>
      <c r="R51">
        <f>(Цены!R51-Цены!R$2)/Цены!R$2</f>
        <v>0.1607264782193091</v>
      </c>
      <c r="S51">
        <f>(Цены!S51-Цены!S$2)/Цены!S$2</f>
        <v>-8.8888888888888878E-2</v>
      </c>
      <c r="T51">
        <f>(Цены!T51-Цены!T$2)/Цены!T$2</f>
        <v>-6.9957686882933814E-2</v>
      </c>
      <c r="U51">
        <f>(Цены!U51-Цены!U$2)/Цены!U$2</f>
        <v>6.3274336283185836E-2</v>
      </c>
      <c r="V51">
        <f>(Цены!V51-Цены!V$2)/Цены!V$2</f>
        <v>-0.10116731517509719</v>
      </c>
      <c r="W51">
        <f>(Цены!W51-Цены!W$2)/Цены!W$2</f>
        <v>0.23618343692256008</v>
      </c>
      <c r="X51">
        <f>(Цены!X51-Цены!X$2)/Цены!X$2</f>
        <v>-3.0253206182177063E-2</v>
      </c>
      <c r="Y51">
        <f>(Цены!Y51-Цены!Y$2)/Цены!Y$2</f>
        <v>3.5898727799470925E-2</v>
      </c>
      <c r="Z51">
        <f>(Цены!Z51-Цены!Z$2)/Цены!Z$2</f>
        <v>3.9028887523048519E-2</v>
      </c>
      <c r="AA51">
        <f>(Цены!AA51-Цены!AA$2)/Цены!AA$2</f>
        <v>0.10267046927663993</v>
      </c>
      <c r="AB51">
        <f>(Цены!AB51-Цены!AB$2)/Цены!AB$2</f>
        <v>-7.6400679117147707E-2</v>
      </c>
      <c r="AC51">
        <f>(Цены!AD51-Цены!AD$2)/Цены!AD$2</f>
        <v>-0.12923076923076934</v>
      </c>
      <c r="AD51">
        <f>(Цены!AE51-Цены!AE$2)/Цены!AE$2</f>
        <v>6.7771084337349394E-2</v>
      </c>
      <c r="AE51">
        <f>(Цены!AF51-Цены!AF$2)/Цены!AF$2</f>
        <v>4.0832049306625665E-2</v>
      </c>
      <c r="AF51">
        <f>(Цены!AG51-Цены!AG$2)/Цены!AG$2</f>
        <v>-0.11123456790123464</v>
      </c>
      <c r="AG51">
        <f>(Цены!AH51-Цены!AH$2)/Цены!AH$2</f>
        <v>7.9342387419585381E-2</v>
      </c>
      <c r="AH51">
        <f>(Цены!AI51-Цены!AI$2)/Цены!AI$2</f>
        <v>4.5951859956236248E-2</v>
      </c>
      <c r="AI51">
        <f>(Цены!AJ51-Цены!AJ$2)/Цены!AJ$2</f>
        <v>0.18227091633466136</v>
      </c>
      <c r="AJ51">
        <f>(Цены!AK51-Цены!AK$2)/Цены!AK$2</f>
        <v>0.20760799484203746</v>
      </c>
      <c r="AK51">
        <f>(Цены!AL51-Цены!AL$2)/Цены!AL$2</f>
        <v>6.6153846153846105E-2</v>
      </c>
      <c r="AL51">
        <f>(Цены!AM51-Цены!AM$2)/Цены!AM$2</f>
        <v>-0.17142857142857143</v>
      </c>
      <c r="AM51">
        <f>(Цены!AN51-Цены!AN$2)/Цены!AN$2</f>
        <v>8.5121107266435986E-2</v>
      </c>
      <c r="AN51">
        <f>(Цены!AO51-Цены!AO$2)/Цены!AO$2</f>
        <v>5.1440329218106998E-2</v>
      </c>
      <c r="AO51">
        <f>(Цены!AP51-Цены!AP$2)/Цены!AP$2</f>
        <v>3.254678600488202E-2</v>
      </c>
      <c r="AP51">
        <f>(Цены!AQ51-Цены!AQ$2)/Цены!AQ$2</f>
        <v>-3.6630036630036632E-2</v>
      </c>
      <c r="AQ51">
        <f>(Цены!AR51-Цены!AR$2)/Цены!AR$2</f>
        <v>0.19906976744186053</v>
      </c>
      <c r="AR51">
        <f>(Цены!AS51-Цены!AS$2)/Цены!AS$2</f>
        <v>-5.0000000000000051E-2</v>
      </c>
      <c r="AS51">
        <f>(Цены!AU51-Цены!AU$2)/Цены!AU$2</f>
        <v>4.6351084812623157E-2</v>
      </c>
      <c r="AT51">
        <f>(Цены!AV51-Цены!AV$2)/Цены!AV$2</f>
        <v>0.41204948897256582</v>
      </c>
      <c r="AU51">
        <f>(Цены!AW51-Цены!AW$2)/Цены!AW$2</f>
        <v>0.28560411311053979</v>
      </c>
      <c r="AV51">
        <f>(Цены!AX51-Цены!AX$2)/Цены!AX$2</f>
        <v>-0.21601615074024227</v>
      </c>
    </row>
    <row r="52" spans="1:48" x14ac:dyDescent="0.2">
      <c r="A52" s="1" t="s">
        <v>118</v>
      </c>
      <c r="B52" s="2">
        <v>50</v>
      </c>
      <c r="C52">
        <f>(Цены!B52-Цены!B$2)/Цены!B$2</f>
        <v>2.884237577920087E-2</v>
      </c>
      <c r="D52">
        <f>(Цены!C52-Цены!C$2)/Цены!C$2</f>
        <v>0.13168587224405523</v>
      </c>
      <c r="E52">
        <f>(Цены!D52-Цены!D$2)/Цены!D$2</f>
        <v>-3.8008298755186708E-2</v>
      </c>
      <c r="F52">
        <f>(Цены!E52-Цены!E$2)/Цены!E$2</f>
        <v>2.9019466474405189E-2</v>
      </c>
      <c r="G52">
        <f>(Цены!F52-Цены!F$2)/Цены!F$2</f>
        <v>0.11172839506172839</v>
      </c>
      <c r="H52">
        <f>(Цены!G52-Цены!G$2)/Цены!G$2</f>
        <v>-4.5877345104839838E-2</v>
      </c>
      <c r="I52">
        <f>(Цены!H52-Цены!H$2)/Цены!H$2</f>
        <v>4.1936713686618159E-3</v>
      </c>
      <c r="J52">
        <f>(Цены!J52-Цены!J$2)/Цены!J$2</f>
        <v>4.3055555555555555E-2</v>
      </c>
      <c r="K52">
        <f>(Цены!K52-Цены!K$2)/Цены!K$2</f>
        <v>-1.6013071895424762E-2</v>
      </c>
      <c r="L52">
        <f>(Цены!L52-Цены!L$2)/Цены!L$2</f>
        <v>6.0421028394046046E-3</v>
      </c>
      <c r="M52">
        <f>(Цены!M52-Цены!M$2)/Цены!M$2</f>
        <v>-2.8939544103072395E-2</v>
      </c>
      <c r="N52">
        <f>(Цены!N52-Цены!N$2)/Цены!N$2</f>
        <v>1.827602449364105E-2</v>
      </c>
      <c r="O52">
        <f>(Цены!O52-Цены!O$2)/Цены!O$2</f>
        <v>-3.4858934169278946E-2</v>
      </c>
      <c r="P52">
        <f>(Цены!P52-Цены!P$2)/Цены!P$2</f>
        <v>0.15853100100741829</v>
      </c>
      <c r="Q52">
        <f>(Цены!Q52-Цены!Q$2)/Цены!Q$2</f>
        <v>-8.7518937186808116E-2</v>
      </c>
      <c r="R52">
        <f>(Цены!R52-Цены!R$2)/Цены!R$2</f>
        <v>0.17110473849515237</v>
      </c>
      <c r="S52">
        <f>(Цены!S52-Цены!S$2)/Цены!S$2</f>
        <v>-9.1954022988505829E-2</v>
      </c>
      <c r="T52">
        <f>(Цены!T52-Цены!T$2)/Цены!T$2</f>
        <v>-7.16502115655855E-2</v>
      </c>
      <c r="U52">
        <f>(Цены!U52-Цены!U$2)/Цены!U$2</f>
        <v>7.9646017699115043E-2</v>
      </c>
      <c r="V52">
        <f>(Цены!V52-Цены!V$2)/Цены!V$2</f>
        <v>-9.0272373540856043E-2</v>
      </c>
      <c r="W52">
        <f>(Цены!W52-Цены!W$2)/Цены!W$2</f>
        <v>0.25751721820930618</v>
      </c>
      <c r="X52">
        <f>(Цены!X52-Цены!X$2)/Цены!X$2</f>
        <v>-2.8280170996382841E-2</v>
      </c>
      <c r="Y52">
        <f>(Цены!Y52-Цены!Y$2)/Цены!Y$2</f>
        <v>4.307847335936503E-2</v>
      </c>
      <c r="Z52">
        <f>(Цены!Z52-Цены!Z$2)/Цены!Z$2</f>
        <v>4.8555623847572157E-2</v>
      </c>
      <c r="AA52">
        <f>(Цены!AA52-Цены!AA$2)/Цены!AA$2</f>
        <v>0.10474462017111753</v>
      </c>
      <c r="AB52">
        <f>(Цены!AB52-Цены!AB$2)/Цены!AB$2</f>
        <v>-8.0928126768534239E-2</v>
      </c>
      <c r="AC52">
        <f>(Цены!AD52-Цены!AD$2)/Цены!AD$2</f>
        <v>-0.1276923076923078</v>
      </c>
      <c r="AD52">
        <f>(Цены!AE52-Цены!AE$2)/Цены!AE$2</f>
        <v>6.6265060240963861E-2</v>
      </c>
      <c r="AE52">
        <f>(Цены!AF52-Цены!AF$2)/Цены!AF$2</f>
        <v>4.0318438623523488E-2</v>
      </c>
      <c r="AF52">
        <f>(Цены!AG52-Цены!AG$2)/Цены!AG$2</f>
        <v>-0.13530864197530856</v>
      </c>
      <c r="AG52">
        <f>(Цены!AH52-Цены!AH$2)/Цены!AH$2</f>
        <v>9.0064331665475297E-2</v>
      </c>
      <c r="AH52">
        <f>(Цены!AI52-Цены!AI$2)/Цены!AI$2</f>
        <v>4.011670313639671E-2</v>
      </c>
      <c r="AI52">
        <f>(Цены!AJ52-Цены!AJ$2)/Цены!AJ$2</f>
        <v>0.17197875166002657</v>
      </c>
      <c r="AJ52">
        <f>(Цены!AK52-Цены!AK$2)/Цены!AK$2</f>
        <v>0.24994627122286706</v>
      </c>
      <c r="AK52">
        <f>(Цены!AL52-Цены!AL$2)/Цены!AL$2</f>
        <v>0.10346153846153837</v>
      </c>
      <c r="AL52">
        <f>(Цены!AM52-Цены!AM$2)/Цены!AM$2</f>
        <v>-0.15923809523809523</v>
      </c>
      <c r="AM52">
        <f>(Цены!AN52-Цены!AN$2)/Цены!AN$2</f>
        <v>8.5121107266435986E-2</v>
      </c>
      <c r="AN52">
        <f>(Цены!AO52-Цены!AO$2)/Цены!AO$2</f>
        <v>4.9382716049382686E-2</v>
      </c>
      <c r="AO52">
        <f>(Цены!AP52-Цены!AP$2)/Цены!AP$2</f>
        <v>2.034174125305126E-2</v>
      </c>
      <c r="AP52">
        <f>(Цены!AQ52-Цены!AQ$2)/Цены!AQ$2</f>
        <v>-3.47985347985348E-2</v>
      </c>
      <c r="AQ52">
        <f>(Цены!AR52-Цены!AR$2)/Цены!AR$2</f>
        <v>0.20093023255813949</v>
      </c>
      <c r="AR52">
        <f>(Цены!AS52-Цены!AS$2)/Цены!AS$2</f>
        <v>-4.915254237288133E-2</v>
      </c>
      <c r="AS52">
        <f>(Цены!AU52-Цены!AU$2)/Цены!AU$2</f>
        <v>5.4240631163708086E-2</v>
      </c>
      <c r="AT52">
        <f>(Цены!AV52-Цены!AV$2)/Цены!AV$2</f>
        <v>0.42191142191142178</v>
      </c>
      <c r="AU52">
        <f>(Цены!AW52-Цены!AW$2)/Цены!AW$2</f>
        <v>0.32365038560411313</v>
      </c>
      <c r="AV52">
        <f>(Цены!AX52-Цены!AX$2)/Цены!AX$2</f>
        <v>-0.22207267833109018</v>
      </c>
    </row>
    <row r="53" spans="1:48" x14ac:dyDescent="0.2">
      <c r="A53" s="1" t="s">
        <v>119</v>
      </c>
      <c r="B53" s="2">
        <v>51</v>
      </c>
      <c r="C53">
        <f>(Цены!B53-Цены!B$2)/Цены!B$2</f>
        <v>3.4014038888358009E-2</v>
      </c>
      <c r="D53">
        <f>(Цены!C53-Цены!C$2)/Цены!C$2</f>
        <v>0.13901285552521153</v>
      </c>
      <c r="E53">
        <f>(Цены!D53-Цены!D$2)/Цены!D$2</f>
        <v>-3.7344398340248962E-2</v>
      </c>
      <c r="F53">
        <f>(Цены!E53-Цены!E$2)/Цены!E$2</f>
        <v>4.4340302811824078E-2</v>
      </c>
      <c r="G53">
        <f>(Цены!F53-Цены!F$2)/Цены!F$2</f>
        <v>0.11987654320987655</v>
      </c>
      <c r="H53">
        <f>(Цены!G53-Цены!G$2)/Цены!G$2</f>
        <v>-3.4999211729465449E-2</v>
      </c>
      <c r="I53">
        <f>(Цены!H53-Цены!H$2)/Цены!H$2</f>
        <v>9.5310712924132675E-3</v>
      </c>
      <c r="J53">
        <f>(Цены!J53-Цены!J$2)/Цены!J$2</f>
        <v>5.9027777777777776E-2</v>
      </c>
      <c r="K53">
        <f>(Цены!K53-Цены!K$2)/Цены!K$2</f>
        <v>-1.6503267973856248E-2</v>
      </c>
      <c r="L53">
        <f>(Цены!L53-Цены!L$2)/Цены!L$2</f>
        <v>1.2825077498390281E-2</v>
      </c>
      <c r="M53">
        <f>(Цены!M53-Цены!M$2)/Цены!M$2</f>
        <v>-2.7750247770069375E-2</v>
      </c>
      <c r="N53">
        <f>(Цены!N53-Цены!N$2)/Цены!N$2</f>
        <v>9.8916627414036475E-3</v>
      </c>
      <c r="O53">
        <f>(Цены!O53-Цены!O$2)/Цены!O$2</f>
        <v>-3.9498432601880816E-2</v>
      </c>
      <c r="P53">
        <f>(Цены!P53-Цены!P$2)/Цены!P$2</f>
        <v>0.15578349665720309</v>
      </c>
      <c r="Q53">
        <f>(Цены!Q53-Цены!Q$2)/Цены!Q$2</f>
        <v>-0.10558209998834638</v>
      </c>
      <c r="R53">
        <f>(Цены!R53-Цены!R$2)/Цены!R$2</f>
        <v>0.18148299877099563</v>
      </c>
      <c r="S53">
        <f>(Цены!S53-Цены!S$2)/Цены!S$2</f>
        <v>-8.9655172413793116E-2</v>
      </c>
      <c r="T53">
        <f>(Цены!T53-Цены!T$2)/Цены!T$2</f>
        <v>-7.54583921015516E-2</v>
      </c>
      <c r="U53">
        <f>(Цены!U53-Цены!U$2)/Цены!U$2</f>
        <v>7.0353982300884951E-2</v>
      </c>
      <c r="V53">
        <f>(Цены!V53-Цены!V$2)/Цены!V$2</f>
        <v>-9.9221789883268519E-2</v>
      </c>
      <c r="W53">
        <f>(Цены!W53-Цены!W$2)/Цены!W$2</f>
        <v>0.26171678145472865</v>
      </c>
      <c r="X53">
        <f>(Цены!X53-Цены!X$2)/Цены!X$2</f>
        <v>-2.4991779020059265E-2</v>
      </c>
      <c r="Y53">
        <f>(Цены!Y53-Цены!Y$2)/Цены!Y$2</f>
        <v>5.4666834613931216E-2</v>
      </c>
      <c r="Z53">
        <f>(Цены!Z53-Цены!Z$2)/Цены!Z$2</f>
        <v>4.6097111247695013E-2</v>
      </c>
      <c r="AA53">
        <f>(Цены!AA53-Цены!AA$2)/Цены!AA$2</f>
        <v>0.10448535130930778</v>
      </c>
      <c r="AB53">
        <f>(Цены!AB53-Цены!AB$2)/Цены!AB$2</f>
        <v>-8.7153367289190722E-2</v>
      </c>
      <c r="AC53">
        <f>(Цены!AD53-Цены!AD$2)/Цены!AD$2</f>
        <v>-0.12307692307692318</v>
      </c>
      <c r="AD53">
        <f>(Цены!AE53-Цены!AE$2)/Цены!AE$2</f>
        <v>6.6265060240963861E-2</v>
      </c>
      <c r="AE53">
        <f>(Цены!AF53-Цены!AF$2)/Цены!AF$2</f>
        <v>4.7508988186954294E-2</v>
      </c>
      <c r="AF53">
        <f>(Цены!AG53-Цены!AG$2)/Цены!AG$2</f>
        <v>-0.13308641975308644</v>
      </c>
      <c r="AG53">
        <f>(Цены!AH53-Цены!AH$2)/Цены!AH$2</f>
        <v>0.17226590421729801</v>
      </c>
      <c r="AH53">
        <f>(Цены!AI53-Цены!AI$2)/Цены!AI$2</f>
        <v>4.6681254558716176E-2</v>
      </c>
      <c r="AI53">
        <f>(Цены!AJ53-Цены!AJ$2)/Цены!AJ$2</f>
        <v>0.16666666666666666</v>
      </c>
      <c r="AJ53">
        <f>(Цены!AK53-Цены!AK$2)/Цены!AK$2</f>
        <v>0.23382763808295726</v>
      </c>
      <c r="AK53">
        <f>(Цены!AL53-Цены!AL$2)/Цены!AL$2</f>
        <v>0.11923076923076924</v>
      </c>
      <c r="AL53">
        <f>(Цены!AM53-Цены!AM$2)/Цены!AM$2</f>
        <v>-0.16266666666666665</v>
      </c>
      <c r="AM53">
        <f>(Цены!AN53-Цены!AN$2)/Цены!AN$2</f>
        <v>8.1660899653979241E-2</v>
      </c>
      <c r="AN53">
        <f>(Цены!AO53-Цены!AO$2)/Цены!AO$2</f>
        <v>4.1152263374485597E-2</v>
      </c>
      <c r="AO53">
        <f>(Цены!AP53-Цены!AP$2)/Цены!AP$2</f>
        <v>3.3360455655004069E-2</v>
      </c>
      <c r="AP53">
        <f>(Цены!AQ53-Цены!AQ$2)/Цены!AQ$2</f>
        <v>-4.0293040293040296E-2</v>
      </c>
      <c r="AQ53">
        <f>(Цены!AR53-Цены!AR$2)/Цены!AR$2</f>
        <v>0.20372093023255819</v>
      </c>
      <c r="AR53">
        <f>(Цены!AS53-Цены!AS$2)/Цены!AS$2</f>
        <v>-5.0847457627118647E-2</v>
      </c>
      <c r="AS53">
        <f>(Цены!AU53-Цены!AU$2)/Цены!AU$2</f>
        <v>4.5364891518737613E-2</v>
      </c>
      <c r="AT53">
        <f>(Цены!AV53-Цены!AV$2)/Цены!AV$2</f>
        <v>0.47516585978124426</v>
      </c>
      <c r="AU53">
        <f>(Цены!AW53-Цены!AW$2)/Цены!AW$2</f>
        <v>0.37403598971722352</v>
      </c>
      <c r="AV53">
        <f>(Цены!AX53-Цены!AX$2)/Цены!AX$2</f>
        <v>-0.21803499327052489</v>
      </c>
    </row>
    <row r="54" spans="1:48" x14ac:dyDescent="0.2">
      <c r="A54" s="1" t="s">
        <v>120</v>
      </c>
      <c r="B54" s="2">
        <v>52</v>
      </c>
      <c r="C54">
        <f>(Цены!B54-Цены!B$2)/Цены!B$2</f>
        <v>3.9918442766574316E-2</v>
      </c>
      <c r="D54">
        <f>(Цены!C54-Цены!C$2)/Цены!C$2</f>
        <v>0.16765469926064089</v>
      </c>
      <c r="E54">
        <f>(Цены!D54-Цены!D$2)/Цены!D$2</f>
        <v>-3.9419087136929459E-2</v>
      </c>
      <c r="F54">
        <f>(Цены!E54-Цены!E$2)/Цены!E$2</f>
        <v>4.3078586878154287E-2</v>
      </c>
      <c r="G54">
        <f>(Цены!F54-Цены!F$2)/Цены!F$2</f>
        <v>0.12716049382716049</v>
      </c>
      <c r="H54">
        <f>(Цены!G54-Цены!G$2)/Цены!G$2</f>
        <v>-5.0764622418413896E-2</v>
      </c>
      <c r="I54">
        <f>(Цены!H54-Цены!H$2)/Цены!H$2</f>
        <v>1.9443385436522988E-2</v>
      </c>
      <c r="J54">
        <f>(Цены!J54-Цены!J$2)/Цены!J$2</f>
        <v>6.1527777777777716E-2</v>
      </c>
      <c r="K54">
        <f>(Цены!K54-Цены!K$2)/Цены!K$2</f>
        <v>-9.1503267973856578E-3</v>
      </c>
      <c r="L54">
        <f>(Цены!L54-Цены!L$2)/Цены!L$2</f>
        <v>3.2750798435960911E-2</v>
      </c>
      <c r="M54">
        <f>(Цены!M54-Цены!M$2)/Цены!M$2</f>
        <v>-1.8632309217046537E-2</v>
      </c>
      <c r="N54">
        <f>(Цены!N54-Цены!N$2)/Цены!N$2</f>
        <v>1.4130946773433819E-2</v>
      </c>
      <c r="O54">
        <f>(Цены!O54-Цены!O$2)/Цены!O$2</f>
        <v>-3.5987460815047015E-2</v>
      </c>
      <c r="P54">
        <f>(Цены!P54-Цены!P$2)/Цены!P$2</f>
        <v>0.17959520102573509</v>
      </c>
      <c r="Q54">
        <f>(Цены!Q54-Цены!Q$2)/Цены!Q$2</f>
        <v>-9.1015033212912266E-2</v>
      </c>
      <c r="R54">
        <f>(Цены!R54-Цены!R$2)/Цены!R$2</f>
        <v>0.17465519595794088</v>
      </c>
      <c r="S54">
        <f>(Цены!S54-Цены!S$2)/Цены!S$2</f>
        <v>-7.3088122605364125E-2</v>
      </c>
      <c r="T54">
        <f>(Цены!T54-Цены!T$2)/Цены!T$2</f>
        <v>-7.7009873060648909E-2</v>
      </c>
      <c r="U54">
        <f>(Цены!U54-Цены!U$2)/Цены!U$2</f>
        <v>7.5221238938053103E-2</v>
      </c>
      <c r="V54">
        <f>(Цены!V54-Цены!V$2)/Цены!V$2</f>
        <v>-0.12840466926070043</v>
      </c>
      <c r="W54">
        <f>(Цены!W54-Цены!W$2)/Цены!W$2</f>
        <v>0.27145976818410877</v>
      </c>
      <c r="X54">
        <f>(Цены!X54-Цены!X$2)/Цены!X$2</f>
        <v>-2.5649457415323942E-2</v>
      </c>
      <c r="Y54">
        <f>(Цены!Y54-Цены!Y$2)/Цены!Y$2</f>
        <v>3.9173699458369952E-2</v>
      </c>
      <c r="Z54">
        <f>(Цены!Z54-Цены!Z$2)/Цены!Z$2</f>
        <v>4.6097111247695013E-2</v>
      </c>
      <c r="AA54">
        <f>(Цены!AA54-Цены!AA$2)/Цены!AA$2</f>
        <v>8.5299455535390284E-2</v>
      </c>
      <c r="AB54">
        <f>(Цены!AB54-Цены!AB$2)/Цены!AB$2</f>
        <v>-9.6774193548387094E-2</v>
      </c>
      <c r="AC54">
        <f>(Цены!AD54-Цены!AD$2)/Цены!AD$2</f>
        <v>-0.11923076923076925</v>
      </c>
      <c r="AD54">
        <f>(Цены!AE54-Цены!AE$2)/Цены!AE$2</f>
        <v>4.9698795180722892E-2</v>
      </c>
      <c r="AE54">
        <f>(Цены!AF54-Цены!AF$2)/Цены!AF$2</f>
        <v>4.262968669748337E-2</v>
      </c>
      <c r="AF54">
        <f>(Цены!AG54-Цены!AG$2)/Цены!AG$2</f>
        <v>-0.12111111111111114</v>
      </c>
      <c r="AG54">
        <f>(Цены!AH54-Цены!AH$2)/Цены!AH$2</f>
        <v>0.18656182987848458</v>
      </c>
      <c r="AH54">
        <f>(Цены!AI54-Цены!AI$2)/Цены!AI$2</f>
        <v>4.8869438366156079E-2</v>
      </c>
      <c r="AI54">
        <f>(Цены!AJ54-Цены!AJ$2)/Цены!AJ$2</f>
        <v>0.16102257636122178</v>
      </c>
      <c r="AJ54">
        <f>(Цены!AK54-Цены!AK$2)/Цены!AK$2</f>
        <v>0.23683644960240713</v>
      </c>
      <c r="AK54">
        <f>(Цены!AL54-Цены!AL$2)/Цены!AL$2</f>
        <v>7.8076923076923127E-2</v>
      </c>
      <c r="AL54">
        <f>(Цены!AM54-Цены!AM$2)/Цены!AM$2</f>
        <v>-0.15619047619047619</v>
      </c>
      <c r="AM54">
        <f>(Цены!AN54-Цены!AN$2)/Цены!AN$2</f>
        <v>8.5813148788927332E-2</v>
      </c>
      <c r="AN54">
        <f>(Цены!AO54-Цены!AO$2)/Цены!AO$2</f>
        <v>4.9382716049382686E-2</v>
      </c>
      <c r="AO54">
        <f>(Цены!AP54-Цены!AP$2)/Цены!AP$2</f>
        <v>3.8242473555736373E-2</v>
      </c>
      <c r="AP54">
        <f>(Цены!AQ54-Цены!AQ$2)/Цены!AQ$2</f>
        <v>-3.8461538461538464E-2</v>
      </c>
      <c r="AQ54">
        <f>(Цены!AR54-Цены!AR$2)/Цены!AR$2</f>
        <v>0.22325581395348837</v>
      </c>
      <c r="AR54">
        <f>(Цены!AS54-Цены!AS$2)/Цены!AS$2</f>
        <v>-5.3389830508474553E-2</v>
      </c>
      <c r="AS54">
        <f>(Цены!AU54-Цены!AU$2)/Цены!AU$2</f>
        <v>2.5641025641025585E-2</v>
      </c>
      <c r="AT54">
        <f>(Цены!AV54-Цены!AV$2)/Цены!AV$2</f>
        <v>0.48664156356464033</v>
      </c>
      <c r="AU54">
        <f>(Цены!AW54-Цены!AW$2)/Цены!AW$2</f>
        <v>0.35706940874035997</v>
      </c>
      <c r="AV54">
        <f>(Цены!AX54-Цены!AX$2)/Цены!AX$2</f>
        <v>-0.22207267833109018</v>
      </c>
    </row>
    <row r="55" spans="1:48" x14ac:dyDescent="0.2">
      <c r="A55" s="1" t="s">
        <v>121</v>
      </c>
      <c r="B55" s="2">
        <v>53</v>
      </c>
      <c r="C55">
        <f>(Цены!B55-Цены!B$2)/Цены!B$2</f>
        <v>4.7872396911869383E-2</v>
      </c>
      <c r="D55">
        <f>(Цены!C55-Цены!C$2)/Цены!C$2</f>
        <v>0.19762872177446225</v>
      </c>
      <c r="E55">
        <f>(Цены!D55-Цены!D$2)/Цены!D$2</f>
        <v>-3.269709543568463E-2</v>
      </c>
      <c r="F55">
        <f>(Цены!E55-Цены!E$2)/Цены!E$2</f>
        <v>4.3258832011535686E-2</v>
      </c>
      <c r="G55">
        <f>(Цены!F55-Цены!F$2)/Цены!F$2</f>
        <v>0.13827160493827159</v>
      </c>
      <c r="H55">
        <f>(Цены!G55-Цены!G$2)/Цены!G$2</f>
        <v>-5.0922276525303414E-2</v>
      </c>
      <c r="I55">
        <f>(Цены!H55-Цены!H$2)/Цены!H$2</f>
        <v>2.5352649637819257E-2</v>
      </c>
      <c r="J55">
        <f>(Цены!J55-Цены!J$2)/Цены!J$2</f>
        <v>6.4444444444444415E-2</v>
      </c>
      <c r="K55">
        <f>(Цены!K55-Цены!K$2)/Цены!K$2</f>
        <v>-1.6339869281045753E-2</v>
      </c>
      <c r="L55">
        <f>(Цены!L55-Цены!L$2)/Цены!L$2</f>
        <v>3.9958042136951505E-2</v>
      </c>
      <c r="M55">
        <f>(Цены!M55-Цены!M$2)/Цены!M$2</f>
        <v>-9.9108027750247768E-4</v>
      </c>
      <c r="N55">
        <f>(Цены!N55-Цены!N$2)/Цены!N$2</f>
        <v>1.9783325482807295E-2</v>
      </c>
      <c r="O55">
        <f>(Цены!O55-Цены!O$2)/Цены!O$2</f>
        <v>-2.9090909090909008E-2</v>
      </c>
      <c r="P55">
        <f>(Цены!P55-Цены!P$2)/Цены!P$2</f>
        <v>0.17300119058521857</v>
      </c>
      <c r="Q55">
        <f>(Цены!Q55-Цены!Q$2)/Цены!Q$2</f>
        <v>-9.91725906071554E-2</v>
      </c>
      <c r="R55">
        <f>(Цены!R55-Цены!R$2)/Цены!R$2</f>
        <v>0.17342619145159088</v>
      </c>
      <c r="S55">
        <f>(Цены!S55-Цены!S$2)/Цены!S$2</f>
        <v>-6.6375478927202983E-2</v>
      </c>
      <c r="T55">
        <f>(Цены!T55-Цены!T$2)/Цены!T$2</f>
        <v>-7.3483779971791355E-2</v>
      </c>
      <c r="U55">
        <f>(Цены!U55-Цены!U$2)/Цены!U$2</f>
        <v>6.2389380530973454E-2</v>
      </c>
      <c r="V55">
        <f>(Цены!V55-Цены!V$2)/Цены!V$2</f>
        <v>-0.11011673151750967</v>
      </c>
      <c r="W55">
        <f>(Цены!W55-Цены!W$2)/Цены!W$2</f>
        <v>0.26793213505795399</v>
      </c>
      <c r="X55">
        <f>(Цены!X55-Цены!X$2)/Цены!X$2</f>
        <v>-2.7951331798750409E-2</v>
      </c>
      <c r="Y55">
        <f>(Цены!Y55-Цены!Y$2)/Цены!Y$2</f>
        <v>4.9250535331905668E-2</v>
      </c>
      <c r="Z55">
        <f>(Цены!Z55-Цены!Z$2)/Цены!Z$2</f>
        <v>5.9618930547018965E-2</v>
      </c>
      <c r="AA55">
        <f>(Цены!AA55-Цены!AA$2)/Цены!AA$2</f>
        <v>7.0261861550427851E-2</v>
      </c>
      <c r="AB55">
        <f>(Цены!AB55-Цены!AB$2)/Цены!AB$2</f>
        <v>-7.866440294284098E-2</v>
      </c>
      <c r="AC55">
        <f>(Цены!AD55-Цены!AD$2)/Цены!AD$2</f>
        <v>-0.10846153846153847</v>
      </c>
      <c r="AD55">
        <f>(Цены!AE55-Цены!AE$2)/Цены!AE$2</f>
        <v>5.4216867469879519E-2</v>
      </c>
      <c r="AE55">
        <f>(Цены!AF55-Цены!AF$2)/Цены!AF$2</f>
        <v>5.4956343091936401E-2</v>
      </c>
      <c r="AF55">
        <f>(Цены!AG55-Цены!AG$2)/Цены!AG$2</f>
        <v>-0.10493827160493827</v>
      </c>
      <c r="AG55">
        <f>(Цены!AH55-Цены!AH$2)/Цены!AH$2</f>
        <v>0.14581844174410297</v>
      </c>
      <c r="AH55">
        <f>(Цены!AI55-Цены!AI$2)/Цены!AI$2</f>
        <v>4.6681254558716176E-2</v>
      </c>
      <c r="AI55">
        <f>(Цены!AJ55-Цены!AJ$2)/Цены!AJ$2</f>
        <v>0.16069057104913678</v>
      </c>
      <c r="AJ55">
        <f>(Цены!AK55-Цены!AK$2)/Цены!AK$2</f>
        <v>0.24822695035461001</v>
      </c>
      <c r="AK55">
        <f>(Цены!AL55-Цены!AL$2)/Цены!AL$2</f>
        <v>0.11346153846153846</v>
      </c>
      <c r="AL55">
        <f>(Цены!AM55-Цены!AM$2)/Цены!AM$2</f>
        <v>-0.11847619047619047</v>
      </c>
      <c r="AM55">
        <f>(Цены!AN55-Цены!AN$2)/Цены!AN$2</f>
        <v>0.10103806228373702</v>
      </c>
      <c r="AN55">
        <f>(Цены!AO55-Цены!AO$2)/Цены!AO$2</f>
        <v>3.4979423868312667E-2</v>
      </c>
      <c r="AO55">
        <f>(Цены!AP55-Цены!AP$2)/Цены!AP$2</f>
        <v>4.149715215622457E-2</v>
      </c>
      <c r="AP55">
        <f>(Цены!AQ55-Цены!AQ$2)/Цены!AQ$2</f>
        <v>-3.2967032967032968E-2</v>
      </c>
      <c r="AQ55">
        <f>(Цены!AR55-Цены!AR$2)/Цены!AR$2</f>
        <v>0.26790697674418618</v>
      </c>
      <c r="AR55">
        <f>(Цены!AS55-Цены!AS$2)/Цены!AS$2</f>
        <v>-5.6779661016949173E-2</v>
      </c>
      <c r="AS55">
        <f>(Цены!AU55-Цены!AU$2)/Цены!AU$2</f>
        <v>5.4240631163708086E-2</v>
      </c>
      <c r="AT55">
        <f>(Цены!AV55-Цены!AV$2)/Цены!AV$2</f>
        <v>0.50762058454366132</v>
      </c>
      <c r="AU55">
        <f>(Цены!AW55-Цены!AW$2)/Цены!AW$2</f>
        <v>0.35706940874035997</v>
      </c>
      <c r="AV55">
        <f>(Цены!AX55-Цены!AX$2)/Цены!AX$2</f>
        <v>-0.21736204576043069</v>
      </c>
    </row>
    <row r="56" spans="1:48" x14ac:dyDescent="0.2">
      <c r="A56" s="1" t="s">
        <v>122</v>
      </c>
      <c r="B56" s="2">
        <v>54</v>
      </c>
      <c r="C56">
        <f>(Цены!B56-Цены!B$2)/Цены!B$2</f>
        <v>5.0867076576720183E-2</v>
      </c>
      <c r="D56">
        <f>(Цены!C56-Цены!C$2)/Цены!C$2</f>
        <v>0.20235795643775392</v>
      </c>
      <c r="E56">
        <f>(Цены!D56-Цены!D$2)/Цены!D$2</f>
        <v>-2.1991701244813325E-2</v>
      </c>
      <c r="F56">
        <f>(Цены!E56-Цены!E$2)/Цены!E$2</f>
        <v>5.0829127613554431E-2</v>
      </c>
      <c r="G56">
        <f>(Цены!F56-Цены!F$2)/Цены!F$2</f>
        <v>0.12962962962962962</v>
      </c>
      <c r="H56">
        <f>(Цены!G56-Цены!G$2)/Цены!G$2</f>
        <v>-4.8084502601292767E-2</v>
      </c>
      <c r="I56">
        <f>(Цены!H56-Цены!H$2)/Цены!H$2</f>
        <v>1.7155928326343852E-2</v>
      </c>
      <c r="J56">
        <f>(Цены!J56-Цены!J$2)/Цены!J$2</f>
        <v>7.0833333333333331E-2</v>
      </c>
      <c r="K56">
        <f>(Цены!K56-Цены!K$2)/Цены!K$2</f>
        <v>-1.4705882352941176E-2</v>
      </c>
      <c r="L56">
        <f>(Цены!L56-Цены!L$2)/Цены!L$2</f>
        <v>3.8579700751745029E-2</v>
      </c>
      <c r="M56">
        <f>(Цены!M56-Цены!M$2)/Цены!M$2</f>
        <v>2.973240832507433E-3</v>
      </c>
      <c r="N56">
        <f>(Цены!N56-Цены!N$2)/Цены!N$2</f>
        <v>1.0551106924163828E-2</v>
      </c>
      <c r="O56">
        <f>(Цены!O56-Цены!O$2)/Цены!O$2</f>
        <v>-3.3479623824451347E-2</v>
      </c>
      <c r="P56">
        <f>(Цены!P56-Цены!P$2)/Цены!P$2</f>
        <v>0.16897151753823614</v>
      </c>
      <c r="Q56">
        <f>(Цены!Q56-Цены!Q$2)/Цены!Q$2</f>
        <v>-8.169211047663448E-2</v>
      </c>
      <c r="R56">
        <f>(Цены!R56-Цены!R$2)/Цены!R$2</f>
        <v>0.2003277345350267</v>
      </c>
      <c r="S56">
        <f>(Цены!S56-Цены!S$2)/Цены!S$2</f>
        <v>-7.7394636015325757E-2</v>
      </c>
      <c r="T56">
        <f>(Цены!T56-Цены!T$2)/Цены!T$2</f>
        <v>-6.7842031029619207E-2</v>
      </c>
      <c r="U56">
        <f>(Цены!U56-Цены!U$2)/Цены!U$2</f>
        <v>6.8584070796460173E-2</v>
      </c>
      <c r="V56">
        <f>(Цены!V56-Цены!V$2)/Цены!V$2</f>
        <v>-0.10972762645914398</v>
      </c>
      <c r="W56">
        <f>(Цены!W56-Цены!W$2)/Цены!W$2</f>
        <v>0.29816899042499578</v>
      </c>
      <c r="X56">
        <f>(Цены!X56-Цены!X$2)/Цены!X$2</f>
        <v>-2.8937849391647518E-2</v>
      </c>
      <c r="Y56">
        <f>(Цены!Y56-Цены!Y$2)/Цены!Y$2</f>
        <v>5.2399546542385649E-2</v>
      </c>
      <c r="Z56">
        <f>(Цены!Z56-Цены!Z$2)/Цены!Z$2</f>
        <v>5.3779963122310877E-2</v>
      </c>
      <c r="AA56">
        <f>(Цены!AA56-Цены!AA$2)/Цены!AA$2</f>
        <v>5.7816956183562383E-2</v>
      </c>
      <c r="AB56">
        <f>(Цены!AB56-Цены!AB$2)/Цены!AB$2</f>
        <v>-6.1686474250141482E-2</v>
      </c>
      <c r="AC56">
        <f>(Цены!AD56-Цены!AD$2)/Цены!AD$2</f>
        <v>-8.3846153846153834E-2</v>
      </c>
      <c r="AD56">
        <f>(Цены!AE56-Цены!AE$2)/Цены!AE$2</f>
        <v>5.2710843373493979E-2</v>
      </c>
      <c r="AE56">
        <f>(Цены!AF56-Цены!AF$2)/Цены!AF$2</f>
        <v>4.4427324088341068E-2</v>
      </c>
      <c r="AF56">
        <f>(Цены!AG56-Цены!AG$2)/Цены!AG$2</f>
        <v>-0.11790123456790121</v>
      </c>
      <c r="AG56">
        <f>(Цены!AH56-Цены!AH$2)/Цены!AH$2</f>
        <v>0.16869192280200138</v>
      </c>
      <c r="AH56">
        <f>(Цены!AI56-Цены!AI$2)/Цены!AI$2</f>
        <v>3.7199124726477004E-2</v>
      </c>
      <c r="AI56">
        <f>(Цены!AJ56-Цены!AJ$2)/Цены!AJ$2</f>
        <v>0.16401062416998671</v>
      </c>
      <c r="AJ56">
        <f>(Цены!AK56-Цены!AK$2)/Цены!AK$2</f>
        <v>0.23920051579626059</v>
      </c>
      <c r="AK56">
        <f>(Цены!AL56-Цены!AL$2)/Цены!AL$2</f>
        <v>0.11461538461538466</v>
      </c>
      <c r="AL56">
        <f>(Цены!AM56-Цены!AM$2)/Цены!AM$2</f>
        <v>-0.12685714285714286</v>
      </c>
      <c r="AM56">
        <f>(Цены!AN56-Цены!AN$2)/Цены!AN$2</f>
        <v>0.10380622837370242</v>
      </c>
      <c r="AN56">
        <f>(Цены!AO56-Цены!AO$2)/Цены!AO$2</f>
        <v>2.0576131687242798E-2</v>
      </c>
      <c r="AO56">
        <f>(Цены!AP56-Цены!AP$2)/Цены!AP$2</f>
        <v>4.149715215622457E-2</v>
      </c>
      <c r="AP56">
        <f>(Цены!AQ56-Цены!AQ$2)/Цены!AQ$2</f>
        <v>-3.1135531135531136E-2</v>
      </c>
      <c r="AQ56">
        <f>(Цены!AR56-Цены!AR$2)/Цены!AR$2</f>
        <v>0.25488372093023259</v>
      </c>
      <c r="AR56">
        <f>(Цены!AS56-Цены!AS$2)/Цены!AS$2</f>
        <v>-5.6779661016949173E-2</v>
      </c>
      <c r="AS56">
        <f>(Цены!AU56-Цены!AU$2)/Цены!AU$2</f>
        <v>5.522682445759363E-2</v>
      </c>
      <c r="AT56">
        <f>(Цены!AV56-Цены!AV$2)/Цены!AV$2</f>
        <v>0.55961986731217495</v>
      </c>
      <c r="AU56">
        <f>(Цены!AW56-Цены!AW$2)/Цены!AW$2</f>
        <v>0.37017994858611802</v>
      </c>
      <c r="AV56">
        <f>(Цены!AX56-Цены!AX$2)/Цены!AX$2</f>
        <v>-0.2234185733512786</v>
      </c>
    </row>
    <row r="57" spans="1:48" x14ac:dyDescent="0.2">
      <c r="A57" s="1" t="s">
        <v>123</v>
      </c>
      <c r="B57" s="2">
        <v>55</v>
      </c>
      <c r="C57">
        <f>(Цены!B57-Цены!B$2)/Цены!B$2</f>
        <v>5.5120158866694371E-2</v>
      </c>
      <c r="D57">
        <f>(Цены!C57-Цены!C$2)/Цены!C$2</f>
        <v>0.21128355425298076</v>
      </c>
      <c r="E57">
        <f>(Цены!D57-Цены!D$2)/Цены!D$2</f>
        <v>-1.4522821576763486E-2</v>
      </c>
      <c r="F57">
        <f>(Цены!E57-Цены!E$2)/Цены!E$2</f>
        <v>5.2631578947368418E-2</v>
      </c>
      <c r="G57">
        <f>(Цены!F57-Цены!F$2)/Цены!F$2</f>
        <v>0.14679012345679013</v>
      </c>
      <c r="H57">
        <f>(Цены!G57-Цены!G$2)/Цены!G$2</f>
        <v>-6.0381522938672487E-2</v>
      </c>
      <c r="I57">
        <f>(Цены!H57-Цены!H$2)/Цены!H$2</f>
        <v>1.4105985512771674E-2</v>
      </c>
      <c r="J57">
        <f>(Цены!J57-Цены!J$2)/Цены!J$2</f>
        <v>7.7777777777777779E-2</v>
      </c>
      <c r="K57">
        <f>(Цены!K57-Цены!K$2)/Цены!K$2</f>
        <v>-1.6503267973856248E-2</v>
      </c>
      <c r="L57">
        <f>(Цены!L57-Цены!L$2)/Цены!L$2</f>
        <v>5.9883763074522131E-2</v>
      </c>
      <c r="M57">
        <f>(Цены!M57-Цены!M$2)/Цены!M$2</f>
        <v>-9.9108027750247768E-4</v>
      </c>
      <c r="N57">
        <f>(Цены!N57-Цены!N$2)/Цены!N$2</f>
        <v>5.6523787093724031E-4</v>
      </c>
      <c r="O57">
        <f>(Цены!O57-Цены!O$2)/Цены!O$2</f>
        <v>-2.9467084639498362E-2</v>
      </c>
      <c r="P57">
        <f>(Цены!P57-Цены!P$2)/Цены!P$2</f>
        <v>0.17135268797508937</v>
      </c>
      <c r="Q57">
        <f>(Цены!Q57-Цены!Q$2)/Цены!Q$2</f>
        <v>-5.4306024938818281E-2</v>
      </c>
      <c r="R57">
        <f>(Цены!R57-Цены!R$2)/Цены!R$2</f>
        <v>0.19472893622832177</v>
      </c>
      <c r="S57">
        <f>(Цены!S57-Цены!S$2)/Цены!S$2</f>
        <v>-7.7869731800766201E-2</v>
      </c>
      <c r="T57">
        <f>(Цены!T57-Цены!T$2)/Цены!T$2</f>
        <v>-6.2623413258110175E-2</v>
      </c>
      <c r="U57">
        <f>(Цены!U57-Цены!U$2)/Цены!U$2</f>
        <v>5.7964601769911507E-2</v>
      </c>
      <c r="V57">
        <f>(Цены!V57-Цены!V$2)/Цены!V$2</f>
        <v>-0.12062256809338513</v>
      </c>
      <c r="W57">
        <f>(Цены!W57-Цены!W$2)/Цены!W$2</f>
        <v>0.30001679825298166</v>
      </c>
      <c r="X57">
        <f>(Цены!X57-Цены!X$2)/Цены!X$2</f>
        <v>-4.4722130878000727E-2</v>
      </c>
      <c r="Y57">
        <f>(Цены!Y57-Цены!Y$2)/Цены!Y$2</f>
        <v>8.3007935508250349E-2</v>
      </c>
      <c r="Z57">
        <f>(Цены!Z57-Цены!Z$2)/Цены!Z$2</f>
        <v>7.2526121696373555E-2</v>
      </c>
      <c r="AA57">
        <f>(Цены!AA57-Цены!AA$2)/Цены!AA$2</f>
        <v>5.3409385532797574E-2</v>
      </c>
      <c r="AB57">
        <f>(Цены!AB57-Цены!AB$2)/Цены!AB$2</f>
        <v>-4.8670062252405208E-2</v>
      </c>
      <c r="AC57">
        <f>(Цены!AD57-Цены!AD$2)/Цены!AD$2</f>
        <v>-7.9615384615384727E-2</v>
      </c>
      <c r="AD57">
        <f>(Цены!AE57-Цены!AE$2)/Цены!AE$2</f>
        <v>5.1204819277108432E-2</v>
      </c>
      <c r="AE57">
        <f>(Цены!AF57-Цены!AF$2)/Цены!AF$2</f>
        <v>4.3143297380585546E-2</v>
      </c>
      <c r="AF57">
        <f>(Цены!AG57-Цены!AG$2)/Цены!AG$2</f>
        <v>-0.13481481481481483</v>
      </c>
      <c r="AG57">
        <f>(Цены!AH57-Цены!AH$2)/Цены!AH$2</f>
        <v>0.17405289492494636</v>
      </c>
      <c r="AH57">
        <f>(Цены!AI57-Цены!AI$2)/Цены!AI$2</f>
        <v>2.0423048869438319E-2</v>
      </c>
      <c r="AI57">
        <f>(Цены!AJ57-Цены!AJ$2)/Цены!AJ$2</f>
        <v>0.16965471447543159</v>
      </c>
      <c r="AJ57">
        <f>(Цены!AK57-Цены!AK$2)/Цены!AK$2</f>
        <v>0.24908661078873862</v>
      </c>
      <c r="AK57">
        <f>(Цены!AL57-Цены!AL$2)/Цены!AL$2</f>
        <v>8.576923076923082E-2</v>
      </c>
      <c r="AL57">
        <f>(Цены!AM57-Цены!AM$2)/Цены!AM$2</f>
        <v>-0.12419047619047618</v>
      </c>
      <c r="AM57">
        <f>(Цены!AN57-Цены!AN$2)/Цены!AN$2</f>
        <v>0.11141868512110727</v>
      </c>
      <c r="AN57">
        <f>(Цены!AO57-Цены!AO$2)/Цены!AO$2</f>
        <v>2.2633744855967107E-2</v>
      </c>
      <c r="AO57">
        <f>(Цены!AP57-Цены!AP$2)/Цены!AP$2</f>
        <v>4.9633848657445079E-2</v>
      </c>
      <c r="AP57">
        <f>(Цены!AQ57-Цены!AQ$2)/Цены!AQ$2</f>
        <v>-4.5787545787545784E-2</v>
      </c>
      <c r="AQ57">
        <f>(Цены!AR57-Цены!AR$2)/Цены!AR$2</f>
        <v>0.24930232558139545</v>
      </c>
      <c r="AR57">
        <f>(Цены!AS57-Цены!AS$2)/Цены!AS$2</f>
        <v>-5.3389830508474553E-2</v>
      </c>
      <c r="AS57">
        <f>(Цены!AU57-Цены!AU$2)/Цены!AU$2</f>
        <v>7.7909270216962437E-2</v>
      </c>
      <c r="AT57">
        <f>(Цены!AV57-Цены!AV$2)/Цены!AV$2</f>
        <v>0.51963421194190418</v>
      </c>
      <c r="AU57">
        <f>(Цены!AW57-Цены!AW$2)/Цены!AW$2</f>
        <v>0.38817480719794351</v>
      </c>
      <c r="AV57">
        <f>(Цены!AX57-Цены!AX$2)/Цены!AX$2</f>
        <v>-0.22543741588156124</v>
      </c>
    </row>
    <row r="58" spans="1:48" x14ac:dyDescent="0.2">
      <c r="A58" s="1" t="s">
        <v>124</v>
      </c>
      <c r="B58" s="2">
        <v>56</v>
      </c>
      <c r="C58">
        <f>(Цены!B58-Цены!B$2)/Цены!B$2</f>
        <v>5.61661728631049E-2</v>
      </c>
      <c r="D58">
        <f>(Цены!C58-Цены!C$2)/Цены!C$2</f>
        <v>0.21154999000865909</v>
      </c>
      <c r="E58">
        <f>(Цены!D58-Цены!D$2)/Цены!D$2</f>
        <v>-1.8257261410788404E-2</v>
      </c>
      <c r="F58">
        <f>(Цены!E58-Цены!E$2)/Цены!E$2</f>
        <v>4.3258832011535686E-2</v>
      </c>
      <c r="G58">
        <f>(Цены!F58-Цены!F$2)/Цены!F$2</f>
        <v>0.16950617283950617</v>
      </c>
      <c r="H58">
        <f>(Цены!G58-Цены!G$2)/Цены!G$2</f>
        <v>-6.337695096957266E-2</v>
      </c>
      <c r="I58">
        <f>(Цены!H58-Цены!H$2)/Цены!H$2</f>
        <v>8.7685855890202221E-3</v>
      </c>
      <c r="J58">
        <f>(Цены!J58-Цены!J$2)/Цены!J$2</f>
        <v>6.3472222222222291E-2</v>
      </c>
      <c r="K58">
        <f>(Цены!K58-Цены!K$2)/Цены!K$2</f>
        <v>-1.6339869281045753E-2</v>
      </c>
      <c r="L58">
        <f>(Цены!L58-Цены!L$2)/Цены!L$2</f>
        <v>8.6062655369881599E-2</v>
      </c>
      <c r="M58">
        <f>(Цены!M58-Цены!M$2)/Цены!M$2</f>
        <v>9.7125867195242358E-3</v>
      </c>
      <c r="N58">
        <f>(Цены!N58-Цены!N$2)/Цены!N$2</f>
        <v>-1.234102684879889E-2</v>
      </c>
      <c r="O58">
        <f>(Цены!O58-Цены!O$2)/Цены!O$2</f>
        <v>-3.260188087774292E-2</v>
      </c>
      <c r="P58">
        <f>(Цены!P58-Цены!P$2)/Цены!P$2</f>
        <v>0.17318435754189943</v>
      </c>
      <c r="Q58">
        <f>(Цены!Q58-Цены!Q$2)/Цены!Q$2</f>
        <v>-4.9411490502272566E-2</v>
      </c>
      <c r="R58">
        <f>(Цены!R58-Цены!R$2)/Цены!R$2</f>
        <v>0.19746005735354366</v>
      </c>
      <c r="S58">
        <f>(Цены!S58-Цены!S$2)/Цены!S$2</f>
        <v>-8.064367816091958E-2</v>
      </c>
      <c r="T58">
        <f>(Цены!T58-Цены!T$2)/Цены!T$2</f>
        <v>-6.5585331452750431E-2</v>
      </c>
      <c r="U58">
        <f>(Цены!U58-Цены!U$2)/Цены!U$2</f>
        <v>4.6902654867256637E-2</v>
      </c>
      <c r="V58">
        <f>(Цены!V58-Цены!V$2)/Цены!V$2</f>
        <v>-0.11478599221789881</v>
      </c>
      <c r="W58">
        <f>(Цены!W58-Цены!W$2)/Цены!W$2</f>
        <v>0.30690408197547447</v>
      </c>
      <c r="X58">
        <f>(Цены!X58-Цены!X$2)/Цены!X$2</f>
        <v>-3.9789542913515365E-2</v>
      </c>
      <c r="Y58">
        <f>(Цены!Y58-Цены!Y$2)/Цены!Y$2</f>
        <v>7.3057060083133812E-2</v>
      </c>
      <c r="Z58">
        <f>(Цены!Z58-Цены!Z$2)/Цены!Z$2</f>
        <v>6.7609096496619434E-2</v>
      </c>
      <c r="AA58">
        <f>(Цены!AA58-Цены!AA$2)/Цены!AA$2</f>
        <v>6.1446720248898079E-2</v>
      </c>
      <c r="AB58">
        <f>(Цены!AB58-Цены!AB$2)/Цены!AB$2</f>
        <v>-7.1873231465761175E-2</v>
      </c>
      <c r="AC58">
        <f>(Цены!AD58-Цены!AD$2)/Цены!AD$2</f>
        <v>-8.8846153846153797E-2</v>
      </c>
      <c r="AD58">
        <f>(Цены!AE58-Цены!AE$2)/Цены!AE$2</f>
        <v>6.4759036144578314E-2</v>
      </c>
      <c r="AE58">
        <f>(Цены!AF58-Цены!AF$2)/Цены!AF$2</f>
        <v>4.7508988186954294E-2</v>
      </c>
      <c r="AF58">
        <f>(Цены!AG58-Цены!AG$2)/Цены!AG$2</f>
        <v>-0.14654320987654326</v>
      </c>
      <c r="AG58">
        <f>(Цены!AH58-Цены!AH$2)/Цены!AH$2</f>
        <v>0.16368834882058617</v>
      </c>
      <c r="AH58">
        <f>(Цены!AI58-Цены!AI$2)/Цены!AI$2</f>
        <v>8.7527352297592422E-3</v>
      </c>
      <c r="AI58">
        <f>(Цены!AJ58-Цены!AJ$2)/Цены!AJ$2</f>
        <v>0.16600265604249667</v>
      </c>
      <c r="AJ58">
        <f>(Цены!AK58-Цены!AK$2)/Цены!AK$2</f>
        <v>0.31334622823984531</v>
      </c>
      <c r="AK58">
        <f>(Цены!AL58-Цены!AL$2)/Цены!AL$2</f>
        <v>7.8846153846153844E-2</v>
      </c>
      <c r="AL58">
        <f>(Цены!AM58-Цены!AM$2)/Цены!AM$2</f>
        <v>-0.13104761904761905</v>
      </c>
      <c r="AM58">
        <f>(Цены!AN58-Цены!AN$2)/Цены!AN$2</f>
        <v>0.10726643598615918</v>
      </c>
      <c r="AN58">
        <f>(Цены!AO58-Цены!AO$2)/Цены!AO$2</f>
        <v>0</v>
      </c>
      <c r="AO58">
        <f>(Цены!AP58-Цены!AP$2)/Цены!AP$2</f>
        <v>4.8820179007323029E-2</v>
      </c>
      <c r="AP58">
        <f>(Цены!AQ58-Цены!AQ$2)/Цены!AQ$2</f>
        <v>-2.7472527472527472E-2</v>
      </c>
      <c r="AQ58">
        <f>(Цены!AR58-Цены!AR$2)/Цены!AR$2</f>
        <v>0.22046511627906967</v>
      </c>
      <c r="AR58">
        <f>(Цены!AS58-Цены!AS$2)/Цены!AS$2</f>
        <v>-4.915254237288133E-2</v>
      </c>
      <c r="AS58">
        <f>(Цены!AU58-Цены!AU$2)/Цены!AU$2</f>
        <v>5.9171597633136092E-2</v>
      </c>
      <c r="AT58">
        <f>(Цены!AV58-Цены!AV$2)/Цены!AV$2</f>
        <v>0.52124798278644435</v>
      </c>
      <c r="AU58">
        <f>(Цены!AW58-Цены!AW$2)/Цены!AW$2</f>
        <v>0.40616966580976871</v>
      </c>
      <c r="AV58">
        <f>(Цены!AX58-Цены!AX$2)/Цены!AX$2</f>
        <v>-0.23418573351278602</v>
      </c>
    </row>
    <row r="59" spans="1:48" x14ac:dyDescent="0.2">
      <c r="A59" s="1" t="s">
        <v>125</v>
      </c>
      <c r="B59" s="2">
        <v>57</v>
      </c>
      <c r="C59">
        <f>(Цены!B59-Цены!B$2)/Цены!B$2</f>
        <v>6.6658171121518256E-2</v>
      </c>
      <c r="D59">
        <f>(Цены!C59-Цены!C$2)/Цены!C$2</f>
        <v>0.22227402917471528</v>
      </c>
      <c r="E59">
        <f>(Цены!D59-Цены!D$2)/Цены!D$2</f>
        <v>-1.9087136929460558E-2</v>
      </c>
      <c r="F59">
        <f>(Цены!E59-Цены!E$2)/Цены!E$2</f>
        <v>4.7224224945926457E-2</v>
      </c>
      <c r="G59">
        <f>(Цены!F59-Цены!F$2)/Цены!F$2</f>
        <v>0.1728395061728395</v>
      </c>
      <c r="H59">
        <f>(Цены!G59-Цены!G$2)/Цены!G$2</f>
        <v>-5.218350938041922E-2</v>
      </c>
      <c r="I59">
        <f>(Цены!H59-Цены!H$2)/Цены!H$2</f>
        <v>1.6584064048799037E-2</v>
      </c>
      <c r="J59">
        <f>(Цены!J59-Цены!J$2)/Цены!J$2</f>
        <v>5.9861111111111143E-2</v>
      </c>
      <c r="K59">
        <f>(Цены!K59-Цены!K$2)/Цены!K$2</f>
        <v>3.2679738562091504E-3</v>
      </c>
      <c r="L59">
        <f>(Цены!L59-Цены!L$2)/Цены!L$2</f>
        <v>0.12877631427462793</v>
      </c>
      <c r="M59">
        <f>(Цены!M59-Цены!M$2)/Цены!M$2</f>
        <v>2.160555004955397E-2</v>
      </c>
      <c r="N59">
        <f>(Цены!N59-Цены!N$2)/Цены!N$2</f>
        <v>-8.9495996231747782E-3</v>
      </c>
      <c r="O59">
        <f>(Цены!O59-Цены!O$2)/Цены!O$2</f>
        <v>-2.7335423197492159E-2</v>
      </c>
      <c r="P59">
        <f>(Цены!P59-Цены!P$2)/Цены!P$2</f>
        <v>0.23079036541807849</v>
      </c>
      <c r="Q59">
        <f>(Цены!Q59-Цены!Q$2)/Цены!Q$2</f>
        <v>-3.239715650856545E-2</v>
      </c>
      <c r="R59">
        <f>(Цены!R59-Цены!R$2)/Цены!R$2</f>
        <v>0.2217670353680187</v>
      </c>
      <c r="S59">
        <f>(Цены!S59-Цены!S$2)/Цены!S$2</f>
        <v>-6.896551724138022E-3</v>
      </c>
      <c r="T59">
        <f>(Цены!T59-Цены!T$2)/Цены!T$2</f>
        <v>-6.4598025387870406E-2</v>
      </c>
      <c r="U59">
        <f>(Цены!U59-Цены!U$2)/Цены!U$2</f>
        <v>3.0088495575221239E-2</v>
      </c>
      <c r="V59">
        <f>(Цены!V59-Цены!V$2)/Цены!V$2</f>
        <v>-0.1272373540856031</v>
      </c>
      <c r="W59">
        <f>(Цены!W59-Цены!W$2)/Цены!W$2</f>
        <v>0.32219049218881224</v>
      </c>
      <c r="X59">
        <f>(Цены!X59-Цены!X$2)/Цены!X$2</f>
        <v>-4.0118382111147793E-2</v>
      </c>
      <c r="Y59">
        <f>(Цены!Y59-Цены!Y$2)/Цены!Y$2</f>
        <v>7.0034009321073162E-2</v>
      </c>
      <c r="Z59">
        <f>(Цены!Z59-Цены!Z$2)/Цены!Z$2</f>
        <v>6.2077443146896109E-2</v>
      </c>
      <c r="AA59">
        <f>(Цены!AA59-Цены!AA$2)/Цены!AA$2</f>
        <v>2.6704692766398787E-2</v>
      </c>
      <c r="AB59">
        <f>(Цены!AB59-Цены!AB$2)/Цены!AB$2</f>
        <v>-9.8471986417657045E-2</v>
      </c>
      <c r="AC59">
        <f>(Цены!AD59-Цены!AD$2)/Цены!AD$2</f>
        <v>-8.6538461538461564E-2</v>
      </c>
      <c r="AD59">
        <f>(Цены!AE59-Цены!AE$2)/Цены!AE$2</f>
        <v>6.6265060240963861E-2</v>
      </c>
      <c r="AE59">
        <f>(Цены!AF59-Цены!AF$2)/Цены!AF$2</f>
        <v>4.262968669748337E-2</v>
      </c>
      <c r="AF59">
        <f>(Цены!AG59-Цены!AG$2)/Цены!AG$2</f>
        <v>-0.1527160493827161</v>
      </c>
      <c r="AG59">
        <f>(Цены!AH59-Цены!AH$2)/Цены!AH$2</f>
        <v>0.17226590421729801</v>
      </c>
      <c r="AH59">
        <f>(Цены!AI59-Цены!AI$2)/Цены!AI$2</f>
        <v>1.8234865061998541E-2</v>
      </c>
      <c r="AI59">
        <f>(Цены!AJ59-Цены!AJ$2)/Цены!AJ$2</f>
        <v>0.17961487383798141</v>
      </c>
      <c r="AJ59">
        <f>(Цены!AK59-Цены!AK$2)/Цены!AK$2</f>
        <v>0.37094347732645611</v>
      </c>
      <c r="AK59">
        <f>(Цены!AL59-Цены!AL$2)/Цены!AL$2</f>
        <v>7.6923076923076927E-2</v>
      </c>
      <c r="AL59">
        <f>(Цены!AM59-Цены!AM$2)/Цены!AM$2</f>
        <v>-0.14247619047619048</v>
      </c>
      <c r="AM59">
        <f>(Цены!AN59-Цены!AN$2)/Цены!AN$2</f>
        <v>0.10242214532871972</v>
      </c>
      <c r="AN59">
        <f>(Цены!AO59-Цены!AO$2)/Цены!AO$2</f>
        <v>-2.0576131687243091E-3</v>
      </c>
      <c r="AO59">
        <f>(Цены!AP59-Цены!AP$2)/Цены!AP$2</f>
        <v>4.8006509357200973E-2</v>
      </c>
      <c r="AP59">
        <f>(Цены!AQ59-Цены!AQ$2)/Цены!AQ$2</f>
        <v>-1.282051282051282E-2</v>
      </c>
      <c r="AQ59">
        <f>(Цены!AR59-Цены!AR$2)/Цены!AR$2</f>
        <v>0.2</v>
      </c>
      <c r="AR59">
        <f>(Цены!AS59-Цены!AS$2)/Цены!AS$2</f>
        <v>-3.6440677966101669E-2</v>
      </c>
      <c r="AS59">
        <f>(Цены!AU59-Цены!AU$2)/Цены!AU$2</f>
        <v>5.0295857988165618E-2</v>
      </c>
      <c r="AT59">
        <f>(Цены!AV59-Цены!AV$2)/Цены!AV$2</f>
        <v>0.5366684597453828</v>
      </c>
      <c r="AU59">
        <f>(Цены!AW59-Цены!AW$2)/Цены!AW$2</f>
        <v>0.41722365038560411</v>
      </c>
      <c r="AV59">
        <f>(Цены!AX59-Цены!AX$2)/Цены!AX$2</f>
        <v>-0.22880215343203231</v>
      </c>
    </row>
    <row r="60" spans="1:48" x14ac:dyDescent="0.2">
      <c r="A60" s="1" t="s">
        <v>126</v>
      </c>
      <c r="B60" s="2">
        <v>58</v>
      </c>
      <c r="C60">
        <f>(Цены!B60-Цены!B$2)/Цены!B$2</f>
        <v>7.3741331889090725E-2</v>
      </c>
      <c r="D60">
        <f>(Цены!C60-Цены!C$2)/Цены!C$2</f>
        <v>0.22234063811363483</v>
      </c>
      <c r="E60">
        <f>(Цены!D60-Цены!D$2)/Цены!D$2</f>
        <v>-2.0995850622406647E-2</v>
      </c>
      <c r="F60">
        <f>(Цены!E60-Цены!E$2)/Цены!E$2</f>
        <v>6.0021629416005765E-2</v>
      </c>
      <c r="G60">
        <f>(Цены!F60-Цены!F$2)/Цены!F$2</f>
        <v>0.20864197530864198</v>
      </c>
      <c r="H60">
        <f>(Цены!G60-Цены!G$2)/Цены!G$2</f>
        <v>-5.5178937411319566E-2</v>
      </c>
      <c r="I60">
        <f>(Цены!H60-Цены!H$2)/Цены!H$2</f>
        <v>2.9355699580632846E-2</v>
      </c>
      <c r="J60">
        <f>(Цены!J60-Цены!J$2)/Цены!J$2</f>
        <v>7.7777777777777779E-2</v>
      </c>
      <c r="K60">
        <f>(Цены!K60-Цены!K$2)/Цены!K$2</f>
        <v>-6.5359477124183009E-3</v>
      </c>
      <c r="L60">
        <f>(Цены!L60-Цены!L$2)/Цены!L$2</f>
        <v>0.1446746773210075</v>
      </c>
      <c r="M60">
        <f>(Цены!M60-Цены!M$2)/Цены!M$2</f>
        <v>7.0366699702675922E-2</v>
      </c>
      <c r="N60">
        <f>(Цены!N60-Цены!N$2)/Цены!N$2</f>
        <v>-7.1596796985398496E-3</v>
      </c>
      <c r="O60">
        <f>(Цены!O60-Цены!O$2)/Цены!O$2</f>
        <v>-1.4420062695924682E-2</v>
      </c>
      <c r="P60">
        <f>(Цены!P60-Цены!P$2)/Цены!P$2</f>
        <v>0.28143602894037906</v>
      </c>
      <c r="Q60">
        <f>(Цены!Q60-Цены!Q$2)/Цены!Q$2</f>
        <v>-5.3723342267800948E-2</v>
      </c>
      <c r="R60">
        <f>(Цены!R60-Цены!R$2)/Цены!R$2</f>
        <v>0.24266011197596621</v>
      </c>
      <c r="S60">
        <f>(Цены!S60-Цены!S$2)/Цены!S$2</f>
        <v>-1.0528735632184016E-2</v>
      </c>
      <c r="T60">
        <f>(Цены!T60-Цены!T$2)/Цены!T$2</f>
        <v>-5.5007052186177789E-2</v>
      </c>
      <c r="U60">
        <f>(Цены!U60-Цены!U$2)/Цены!U$2</f>
        <v>1.9026548672566371E-2</v>
      </c>
      <c r="V60">
        <f>(Цены!V60-Цены!V$2)/Цены!V$2</f>
        <v>-8.56031128404669E-2</v>
      </c>
      <c r="W60">
        <f>(Цены!W60-Цены!W$2)/Цены!W$2</f>
        <v>0.35259533008567101</v>
      </c>
      <c r="X60">
        <f>(Цены!X60-Цены!X$2)/Цены!X$2</f>
        <v>-4.6695166063794952E-2</v>
      </c>
      <c r="Y60">
        <f>(Цены!Y60-Цены!Y$2)/Цены!Y$2</f>
        <v>4.6353445018264189E-2</v>
      </c>
      <c r="Z60">
        <f>(Цены!Z60-Цены!Z$2)/Цены!Z$2</f>
        <v>8.7891825445605282E-2</v>
      </c>
      <c r="AA60">
        <f>(Цены!AA60-Цены!AA$2)/Цены!AA$2</f>
        <v>-5.4446460980035411E-3</v>
      </c>
      <c r="AB60">
        <f>(Цены!AB60-Цены!AB$2)/Цены!AB$2</f>
        <v>-0.1177136389360498</v>
      </c>
      <c r="AC60">
        <f>(Цены!AD60-Цены!AD$2)/Цены!AD$2</f>
        <v>-7.3076923076923053E-2</v>
      </c>
      <c r="AD60">
        <f>(Цены!AE60-Цены!AE$2)/Цены!AE$2</f>
        <v>9.036144578313253E-2</v>
      </c>
      <c r="AE60">
        <f>(Цены!AF60-Цены!AF$2)/Цены!AF$2</f>
        <v>7.8068823831535794E-2</v>
      </c>
      <c r="AF60">
        <f>(Цены!AG60-Цены!AG$2)/Цены!AG$2</f>
        <v>-0.14950617283950618</v>
      </c>
      <c r="AG60">
        <f>(Цены!AH60-Цены!AH$2)/Цены!AH$2</f>
        <v>0.21229449606862036</v>
      </c>
      <c r="AH60">
        <f>(Цены!AI60-Цены!AI$2)/Цены!AI$2</f>
        <v>8.6068563092633082E-2</v>
      </c>
      <c r="AI60">
        <f>(Цены!AJ60-Цены!AJ$2)/Цены!AJ$2</f>
        <v>0.17197875166002657</v>
      </c>
      <c r="AJ60">
        <f>(Цены!AK60-Цены!AK$2)/Цены!AK$2</f>
        <v>0.40253599828067921</v>
      </c>
      <c r="AK60">
        <f>(Цены!AL60-Цены!AL$2)/Цены!AL$2</f>
        <v>4.9230769230769272E-2</v>
      </c>
      <c r="AL60">
        <f>(Цены!AM60-Цены!AM$2)/Цены!AM$2</f>
        <v>-0.16952380952380952</v>
      </c>
      <c r="AM60">
        <f>(Цены!AN60-Цены!AN$2)/Цены!AN$2</f>
        <v>9.8269896193771633E-2</v>
      </c>
      <c r="AN60">
        <f>(Цены!AO60-Цены!AO$2)/Цены!AO$2</f>
        <v>2.0576131687242798E-2</v>
      </c>
      <c r="AO60">
        <f>(Цены!AP60-Цены!AP$2)/Цены!AP$2</f>
        <v>3.7428803905614323E-2</v>
      </c>
      <c r="AP60">
        <f>(Цены!AQ60-Цены!AQ$2)/Цены!AQ$2</f>
        <v>-1.282051282051282E-2</v>
      </c>
      <c r="AQ60">
        <f>(Цены!AR60-Цены!AR$2)/Цены!AR$2</f>
        <v>0.22046511627906967</v>
      </c>
      <c r="AR60">
        <f>(Цены!AS60-Цены!AS$2)/Цены!AS$2</f>
        <v>-8.4745762711864406E-3</v>
      </c>
      <c r="AS60">
        <f>(Цены!AU60-Цены!AU$2)/Цены!AU$2</f>
        <v>6.3116370808678407E-2</v>
      </c>
      <c r="AT60">
        <f>(Цены!AV60-Цены!AV$2)/Цены!AV$2</f>
        <v>0.54348215886677409</v>
      </c>
      <c r="AU60">
        <f>(Цены!AW60-Цены!AW$2)/Цены!AW$2</f>
        <v>0.46298200514138826</v>
      </c>
      <c r="AV60">
        <f>(Цены!AX60-Цены!AX$2)/Цены!AX$2</f>
        <v>-0.22543741588156124</v>
      </c>
    </row>
    <row r="61" spans="1:48" x14ac:dyDescent="0.2">
      <c r="A61" s="1" t="s">
        <v>127</v>
      </c>
      <c r="B61" s="2">
        <v>59</v>
      </c>
      <c r="C61">
        <f>(Цены!B61-Цены!B$2)/Цены!B$2</f>
        <v>6.7773211422260504E-2</v>
      </c>
      <c r="D61">
        <f>(Цены!C61-Цены!C$2)/Цены!C$2</f>
        <v>0.2233397721974289</v>
      </c>
      <c r="E61">
        <f>(Цены!D61-Цены!D$2)/Цены!D$2</f>
        <v>-2.5726141078838128E-2</v>
      </c>
      <c r="F61">
        <f>(Цены!E61-Цены!E$2)/Цены!E$2</f>
        <v>5.0829127613554431E-2</v>
      </c>
      <c r="G61">
        <f>(Цены!F61-Цены!F$2)/Цены!F$2</f>
        <v>0.21024691358024691</v>
      </c>
      <c r="H61">
        <f>(Цены!G61-Цены!G$2)/Цены!G$2</f>
        <v>-5.9593252404225062E-2</v>
      </c>
      <c r="I61">
        <f>(Цены!H61-Цены!H$2)/Цены!H$2</f>
        <v>3.8886770873046116E-2</v>
      </c>
      <c r="J61">
        <f>(Цены!J61-Цены!J$2)/Цены!J$2</f>
        <v>7.2638888888888822E-2</v>
      </c>
      <c r="K61">
        <f>(Цены!K61-Цены!K$2)/Цены!K$2</f>
        <v>-6.2091503267973115E-3</v>
      </c>
      <c r="L61">
        <f>(Цены!L61-Цены!L$2)/Цены!L$2</f>
        <v>0.12241654265502865</v>
      </c>
      <c r="M61">
        <f>(Цены!M61-Цены!M$2)/Цены!M$2</f>
        <v>5.0148662041625283E-2</v>
      </c>
      <c r="N61">
        <f>(Цены!N61-Цены!N$2)/Цены!N$2</f>
        <v>-8.4785680640603444E-3</v>
      </c>
      <c r="O61">
        <f>(Цены!O61-Цены!O$2)/Цены!O$2</f>
        <v>-2.8463949843260117E-2</v>
      </c>
      <c r="P61">
        <f>(Цены!P61-Цены!P$2)/Цены!P$2</f>
        <v>0.25313673413316251</v>
      </c>
      <c r="Q61">
        <f>(Цены!Q61-Цены!Q$2)/Цены!Q$2</f>
        <v>-7.9944062463582322E-2</v>
      </c>
      <c r="R61">
        <f>(Цены!R61-Цены!R$2)/Цены!R$2</f>
        <v>0.22204014748054079</v>
      </c>
      <c r="S61">
        <f>(Цены!S61-Цены!S$2)/Цены!S$2</f>
        <v>-2.7586206896551661E-2</v>
      </c>
      <c r="T61">
        <f>(Цены!T61-Цены!T$2)/Цены!T$2</f>
        <v>-6.2059238363892884E-2</v>
      </c>
      <c r="U61">
        <f>(Цены!U61-Цены!U$2)/Цены!U$2</f>
        <v>3.3628318584070796E-2</v>
      </c>
      <c r="V61">
        <f>(Цены!V61-Цены!V$2)/Цены!V$2</f>
        <v>-6.9649805447470792E-2</v>
      </c>
      <c r="W61">
        <f>(Цены!W61-Цены!W$2)/Цены!W$2</f>
        <v>0.34083655299848803</v>
      </c>
      <c r="X61">
        <f>(Цены!X61-Цены!X$2)/Цены!X$2</f>
        <v>-3.8803025320618252E-2</v>
      </c>
      <c r="Y61">
        <f>(Цены!Y61-Цены!Y$2)/Цены!Y$2</f>
        <v>4.6101524121425826E-2</v>
      </c>
      <c r="Z61">
        <f>(Цены!Z61-Цены!Z$2)/Цены!Z$2</f>
        <v>9.0043023970497821E-2</v>
      </c>
      <c r="AA61">
        <f>(Цены!AA61-Цены!AA$2)/Цены!AA$2</f>
        <v>-1.4778325123152681E-2</v>
      </c>
      <c r="AB61">
        <f>(Цены!AB61-Цены!AB$2)/Цены!AB$2</f>
        <v>-0.10696095076400679</v>
      </c>
      <c r="AC61">
        <f>(Цены!AD61-Цены!AD$2)/Цены!AD$2</f>
        <v>-8.8461538461538453E-2</v>
      </c>
      <c r="AD61">
        <f>(Цены!AE61-Цены!AE$2)/Цены!AE$2</f>
        <v>7.9819277108433728E-2</v>
      </c>
      <c r="AE61">
        <f>(Цены!AF61-Цены!AF$2)/Цены!AF$2</f>
        <v>6.599897277863391E-2</v>
      </c>
      <c r="AF61">
        <f>(Цены!AG61-Цены!AG$2)/Цены!AG$2</f>
        <v>-0.16716049382716058</v>
      </c>
      <c r="AG61">
        <f>(Цены!AH61-Цены!AH$2)/Цены!AH$2</f>
        <v>0.21372408863473913</v>
      </c>
      <c r="AH61">
        <f>(Цены!AI61-Цены!AI$2)/Цены!AI$2</f>
        <v>0.11013858497447117</v>
      </c>
      <c r="AI61">
        <f>(Цены!AJ61-Цены!AJ$2)/Цены!AJ$2</f>
        <v>0.16865869853917662</v>
      </c>
      <c r="AJ61">
        <f>(Цены!AK61-Цены!AK$2)/Цены!AK$2</f>
        <v>0.3986675263271009</v>
      </c>
      <c r="AK61">
        <f>(Цены!AL61-Цены!AL$2)/Цены!AL$2</f>
        <v>6.4999999999999919E-2</v>
      </c>
      <c r="AL61">
        <f>(Цены!AM61-Цены!AM$2)/Цены!AM$2</f>
        <v>-0.18476190476190477</v>
      </c>
      <c r="AM61">
        <f>(Цены!AN61-Цены!AN$2)/Цены!AN$2</f>
        <v>0.10449826989619378</v>
      </c>
      <c r="AN61">
        <f>(Цены!AO61-Цены!AO$2)/Цены!AO$2</f>
        <v>1.851851851851849E-2</v>
      </c>
      <c r="AO61">
        <f>(Цены!AP61-Цены!AP$2)/Цены!AP$2</f>
        <v>4.3938161106590726E-2</v>
      </c>
      <c r="AP61">
        <f>(Цены!AQ61-Цены!AQ$2)/Цены!AQ$2</f>
        <v>-1.098901098901099E-2</v>
      </c>
      <c r="AQ61">
        <f>(Цены!AR61-Цены!AR$2)/Цены!AR$2</f>
        <v>0.2</v>
      </c>
      <c r="AR61">
        <f>(Цены!AS61-Цены!AS$2)/Цены!AS$2</f>
        <v>-5.0847457627118163E-3</v>
      </c>
      <c r="AS61">
        <f>(Цены!AU61-Цены!AU$2)/Цены!AU$2</f>
        <v>5.2268244575936852E-2</v>
      </c>
      <c r="AT61">
        <f>(Цены!AV61-Цены!AV$2)/Цены!AV$2</f>
        <v>0.5420476958938496</v>
      </c>
      <c r="AU61">
        <f>(Цены!AW61-Цены!AW$2)/Цены!AW$2</f>
        <v>0.4529562982005142</v>
      </c>
      <c r="AV61">
        <f>(Цены!AX61-Цены!AX$2)/Цены!AX$2</f>
        <v>-0.23082099596231495</v>
      </c>
    </row>
    <row r="62" spans="1:48" x14ac:dyDescent="0.2">
      <c r="A62" s="1" t="s">
        <v>131</v>
      </c>
      <c r="B62" s="2">
        <v>60</v>
      </c>
      <c r="C62">
        <f>(Цены!B62-Цены!B$2)/Цены!B$2</f>
        <v>6.3705969182409991E-2</v>
      </c>
      <c r="D62">
        <f>(Цены!C62-Цены!C$2)/Цены!C$2</f>
        <v>0.22627056550989141</v>
      </c>
      <c r="E62">
        <f>(Цены!D62-Цены!D$2)/Цены!D$2</f>
        <v>-2.9045643153526972E-2</v>
      </c>
      <c r="F62">
        <f>(Цены!E62-Цены!E$2)/Цены!E$2</f>
        <v>4.3619322278298484E-2</v>
      </c>
      <c r="G62">
        <f>(Цены!F62-Цены!F$2)/Цены!F$2</f>
        <v>0.20320987654320988</v>
      </c>
      <c r="H62">
        <f>(Цены!G62-Цены!G$2)/Цены!G$2</f>
        <v>-5.7701403121551177E-2</v>
      </c>
      <c r="I62">
        <f>(Цены!H62-Цены!H$2)/Цены!H$2</f>
        <v>4.0221120853983973E-2</v>
      </c>
      <c r="J62">
        <f>(Цены!I62-Цены!I$2)/Цены!I$2</f>
        <v>5.736782902137233E-2</v>
      </c>
      <c r="K62">
        <f>(Цены!J62-Цены!J$2)/Цены!J$2</f>
        <v>7.0555555555555496E-2</v>
      </c>
      <c r="L62">
        <f>(Цены!K62-Цены!K$2)/Цены!K$2</f>
        <v>-1.1111111111111037E-2</v>
      </c>
      <c r="M62">
        <f>(Цены!L62-Цены!L$2)/Цены!L$2</f>
        <v>0.11393755783064202</v>
      </c>
      <c r="N62">
        <f>(Цены!M62-Цены!M$2)/Цены!M$2</f>
        <v>3.4886025768087262E-2</v>
      </c>
      <c r="O62">
        <f>(Цены!N62-Цены!N$2)/Цены!N$2</f>
        <v>1.1775788977861516E-2</v>
      </c>
      <c r="P62">
        <f>(Цены!O62-Цены!O$2)/Цены!O$2</f>
        <v>-3.699059561128526E-2</v>
      </c>
      <c r="Q62">
        <f>(Цены!P62-Цены!P$2)/Цены!P$2</f>
        <v>0.21439692279512773</v>
      </c>
      <c r="R62">
        <f>(Цены!Q62-Цены!Q$2)/Цены!Q$2</f>
        <v>-0.10266868663325955</v>
      </c>
      <c r="S62">
        <f>(Цены!R62-Цены!R$2)/Цены!R$2</f>
        <v>0.23514952888160598</v>
      </c>
      <c r="T62">
        <f>(Цены!S62-Цены!S$2)/Цены!S$2</f>
        <v>-5.5463601532567221E-2</v>
      </c>
      <c r="U62">
        <f>(Цены!T62-Цены!T$2)/Цены!T$2</f>
        <v>-6.8829337094499426E-2</v>
      </c>
      <c r="V62">
        <f>(Цены!U62-Цены!U$2)/Цены!U$2</f>
        <v>2.2566371681415929E-2</v>
      </c>
      <c r="W62">
        <f>(Цены!V62-Цены!V$2)/Цены!V$2</f>
        <v>-2.3735408560311262E-2</v>
      </c>
      <c r="X62">
        <f>(Цены!W62-Цены!W$2)/Цены!W$2</f>
        <v>0.29665714765664364</v>
      </c>
      <c r="Y62">
        <f>(Цены!X62-Цены!X$2)/Цены!X$2</f>
        <v>-4.6366326866162516E-2</v>
      </c>
      <c r="Z62">
        <f>(Цены!Y62-Цены!Y$2)/Цены!Y$2</f>
        <v>3.8417936767854856E-2</v>
      </c>
      <c r="AA62">
        <f>(Цены!Z62-Цены!Z$2)/Цены!Z$2</f>
        <v>8.2667486170866555E-2</v>
      </c>
      <c r="AB62">
        <f>(Цены!AA62-Цены!AA$2)/Цены!AA$2</f>
        <v>2.074150894477603E-3</v>
      </c>
      <c r="AC62">
        <f>(Цены!AB62-Цены!AB$2)/Цены!AB$2</f>
        <v>-0.11714770797962648</v>
      </c>
      <c r="AD62">
        <f>(Цены!AC62-Цены!AC$2)/Цены!AC$2</f>
        <v>0.3721868088981396</v>
      </c>
      <c r="AE62">
        <f>(Цены!AD62-Цены!AD$2)/Цены!AD$2</f>
        <v>-9.6153846153846145E-2</v>
      </c>
      <c r="AF62">
        <f>(Цены!AE62-Цены!AE$2)/Цены!AE$2</f>
        <v>9.337349397590361E-2</v>
      </c>
      <c r="AG62">
        <f>(Цены!AF62-Цены!AF$2)/Цены!AF$2</f>
        <v>7.4730354391371406E-2</v>
      </c>
      <c r="AH62">
        <f>(Цены!AG62-Цены!AG$2)/Цены!AG$2</f>
        <v>-0.16172839506172831</v>
      </c>
      <c r="AI62">
        <f>(Цены!AH62-Цены!AH$2)/Цены!AH$2</f>
        <v>0.20800571837026444</v>
      </c>
      <c r="AJ62">
        <f>(Цены!AI62-Цены!AI$2)/Цены!AI$2</f>
        <v>0.12837345003646972</v>
      </c>
      <c r="AK62">
        <f>(Цены!AJ62-Цены!AJ$2)/Цены!AJ$2</f>
        <v>0.17031872509960158</v>
      </c>
      <c r="AL62">
        <f>(Цены!AK62-Цены!AK$2)/Цены!AK$2</f>
        <v>0.37158822265205249</v>
      </c>
      <c r="AM62">
        <f>(Цены!AL62-Цены!AL$2)/Цены!AL$2</f>
        <v>5.8076923076923165E-2</v>
      </c>
      <c r="AN62">
        <f>(Цены!AM62-Цены!AM$2)/Цены!AM$2</f>
        <v>-0.19238095238095237</v>
      </c>
      <c r="AO62">
        <f>(Цены!AN62-Цены!AN$2)/Цены!AN$2</f>
        <v>0.10380622837370242</v>
      </c>
      <c r="AP62">
        <f>(Цены!AO62-Цены!AO$2)/Цены!AO$2</f>
        <v>1.851851851851849E-2</v>
      </c>
      <c r="AQ62">
        <f>(Цены!AP62-Цены!AP$2)/Цены!AP$2</f>
        <v>4.149715215622457E-2</v>
      </c>
      <c r="AR62">
        <f>(Цены!AQ62-Цены!AQ$2)/Цены!AQ$2</f>
        <v>-7.326007326007326E-3</v>
      </c>
      <c r="AS62">
        <f>(Цены!AR62-Цены!AR$2)/Цены!AR$2</f>
        <v>0.20558139534883715</v>
      </c>
      <c r="AT62">
        <f>(Цены!AS62-Цены!AS$2)/Цены!AS$2</f>
        <v>-2.1186440677966101E-2</v>
      </c>
      <c r="AU62">
        <f>(Цены!AT62-Цены!AT$2)/Цены!AT$2</f>
        <v>5.6818181818181872E-3</v>
      </c>
      <c r="AV62">
        <f>(Цены!AU62-Цены!AU$2)/Цены!AU$2</f>
        <v>4.3392504930966386E-2</v>
      </c>
    </row>
    <row r="63" spans="1:48" x14ac:dyDescent="0.2">
      <c r="A63" s="1" t="s">
        <v>130</v>
      </c>
      <c r="B63" s="2">
        <v>61</v>
      </c>
      <c r="C63">
        <f>(Цены!B63-Цены!B$2)/Цены!B$2</f>
        <v>6.407764928265744E-2</v>
      </c>
      <c r="D63">
        <f>(Цены!C63-Цены!C$2)/Цены!C$2</f>
        <v>0.22653700126556978</v>
      </c>
      <c r="E63">
        <f>(Цены!D63-Цены!D$2)/Цены!D$2</f>
        <v>-3.7344398340248962E-2</v>
      </c>
      <c r="F63">
        <f>(Цены!E63-Цены!E$2)/Цены!E$2</f>
        <v>3.9473684210526314E-2</v>
      </c>
      <c r="G63">
        <f>(Цены!F63-Цены!F$2)/Цены!F$2</f>
        <v>0.19654320987654322</v>
      </c>
      <c r="H63">
        <f>(Цены!G63-Цены!G$2)/Цены!G$2</f>
        <v>-5.0922276525303414E-2</v>
      </c>
      <c r="I63">
        <f>(Цены!H63-Цены!H$2)/Цены!H$2</f>
        <v>5.2230270682424744E-2</v>
      </c>
      <c r="J63">
        <f>(Цены!I63-Цены!I$2)/Цены!I$2</f>
        <v>5.1968503937007873E-2</v>
      </c>
      <c r="K63">
        <f>(Цены!J63-Цены!J$2)/Цены!J$2</f>
        <v>7.2222222222222215E-2</v>
      </c>
      <c r="L63">
        <f>(Цены!K63-Цены!K$2)/Цены!K$2</f>
        <v>-1.0294117647058749E-2</v>
      </c>
      <c r="M63">
        <f>(Цены!L63-Цены!L$2)/Цены!L$2</f>
        <v>0.12665603506722206</v>
      </c>
      <c r="N63">
        <f>(Цены!M63-Цены!M$2)/Цены!M$2</f>
        <v>4.7571853320118929E-2</v>
      </c>
      <c r="O63">
        <f>(Цены!N63-Цены!N$2)/Цены!N$2</f>
        <v>4.7762600094206242E-2</v>
      </c>
      <c r="P63">
        <f>(Цены!O63-Цены!O$2)/Цены!O$2</f>
        <v>-4.6144200626959182E-2</v>
      </c>
      <c r="Q63">
        <f>(Цены!P63-Цены!P$2)/Цены!P$2</f>
        <v>0.20432274017767196</v>
      </c>
      <c r="R63">
        <f>(Цены!Q63-Цены!Q$2)/Цены!Q$2</f>
        <v>-8.8684302528842782E-2</v>
      </c>
      <c r="S63">
        <f>(Цены!R63-Цены!R$2)/Цены!R$2</f>
        <v>0.22081114297419099</v>
      </c>
      <c r="T63">
        <f>(Цены!S63-Цены!S$2)/Цены!S$2</f>
        <v>-7.8927203065134122E-2</v>
      </c>
      <c r="U63">
        <f>(Цены!T63-Цены!T$2)/Цены!T$2</f>
        <v>-6.1918194640338507E-2</v>
      </c>
      <c r="V63">
        <f>(Цены!U63-Цены!U$2)/Цены!U$2</f>
        <v>1.3274336283185841E-2</v>
      </c>
      <c r="W63">
        <f>(Цены!V63-Цены!V$2)/Цены!V$2</f>
        <v>6.1867704280155637E-2</v>
      </c>
      <c r="X63">
        <f>(Цены!W63-Цены!W$2)/Цены!W$2</f>
        <v>0.27666722660843268</v>
      </c>
      <c r="Y63">
        <f>(Цены!X63-Цены!X$2)/Цены!X$2</f>
        <v>-1.775731667214743E-2</v>
      </c>
      <c r="Z63">
        <f>(Цены!Y63-Цены!Y$2)/Цены!Y$2</f>
        <v>3.5520846454213377E-2</v>
      </c>
      <c r="AA63">
        <f>(Цены!Z63-Цены!Z$2)/Цены!Z$2</f>
        <v>6.2999385371849917E-2</v>
      </c>
      <c r="AB63">
        <f>(Цены!AA63-Цены!AA$2)/Цены!AA$2</f>
        <v>4.0964480165932099E-2</v>
      </c>
      <c r="AC63">
        <f>(Цены!AB63-Цены!AB$2)/Цены!AB$2</f>
        <v>-0.11148839841539332</v>
      </c>
      <c r="AD63">
        <f>(Цены!AC63-Цены!AC$2)/Цены!AC$2</f>
        <v>0.36269025627683105</v>
      </c>
      <c r="AE63">
        <f>(Цены!AD63-Цены!AD$2)/Цены!AD$2</f>
        <v>-0.10807692307692313</v>
      </c>
      <c r="AF63">
        <f>(Цены!AE63-Цены!AE$2)/Цены!AE$2</f>
        <v>0.12048192771084337</v>
      </c>
      <c r="AG63">
        <f>(Цены!AF63-Цены!AF$2)/Цены!AF$2</f>
        <v>8.1150487930149007E-2</v>
      </c>
      <c r="AH63">
        <f>(Цены!AG63-Цены!AG$2)/Цены!AG$2</f>
        <v>-0.16172839506172831</v>
      </c>
      <c r="AI63">
        <f>(Цены!AH63-Цены!AH$2)/Цены!AH$2</f>
        <v>0.16833452466047163</v>
      </c>
      <c r="AJ63">
        <f>(Цены!AI63-Цены!AI$2)/Цены!AI$2</f>
        <v>0.15244347191830779</v>
      </c>
      <c r="AK63">
        <f>(Цены!AJ63-Цены!AJ$2)/Цены!AJ$2</f>
        <v>0.17065073041168657</v>
      </c>
      <c r="AL63">
        <f>(Цены!AK63-Цены!AK$2)/Цены!AK$2</f>
        <v>0.37137330754352049</v>
      </c>
      <c r="AM63">
        <f>(Цены!AL63-Цены!AL$2)/Цены!AL$2</f>
        <v>5.153846153846145E-2</v>
      </c>
      <c r="AN63">
        <f>(Цены!AM63-Цены!AM$2)/Цены!AM$2</f>
        <v>-0.184</v>
      </c>
      <c r="AO63">
        <f>(Цены!AN63-Цены!AN$2)/Цены!AN$2</f>
        <v>0.10519031141868512</v>
      </c>
      <c r="AP63">
        <f>(Цены!AO63-Цены!AO$2)/Цены!AO$2</f>
        <v>2.8806584362139887E-2</v>
      </c>
      <c r="AQ63">
        <f>(Цены!AP63-Цены!AP$2)/Цены!AP$2</f>
        <v>7.2416598860862491E-2</v>
      </c>
      <c r="AR63">
        <f>(Цены!AQ63-Цены!AQ$2)/Цены!AQ$2</f>
        <v>-1.8315018315018315E-3</v>
      </c>
      <c r="AS63">
        <f>(Цены!AR63-Цены!AR$2)/Цены!AR$2</f>
        <v>0.18883720930232556</v>
      </c>
      <c r="AT63">
        <f>(Цены!AS63-Цены!AS$2)/Цены!AS$2</f>
        <v>-3.8983050847457582E-2</v>
      </c>
      <c r="AU63">
        <f>(Цены!AT63-Цены!AT$2)/Цены!AT$2</f>
        <v>3.409090909090912E-3</v>
      </c>
      <c r="AV63">
        <f>(Цены!AU63-Цены!AU$2)/Цены!AU$2</f>
        <v>3.2544378698224824E-2</v>
      </c>
    </row>
    <row r="64" spans="1:48" x14ac:dyDescent="0.2">
      <c r="A64" s="1" t="s">
        <v>129</v>
      </c>
      <c r="B64" s="2">
        <v>62</v>
      </c>
      <c r="C64">
        <f>(Цены!B64-Цены!B$2)/Цены!B$2</f>
        <v>6.9695328512111465E-2</v>
      </c>
      <c r="D64">
        <f>(Цены!C64-Цены!C$2)/Цены!C$2</f>
        <v>0.21974288949577039</v>
      </c>
      <c r="E64">
        <f>(Цены!D64-Цены!D$2)/Цены!D$2</f>
        <v>-2.7883817427385889E-2</v>
      </c>
      <c r="F64">
        <f>(Цены!E64-Цены!E$2)/Цены!E$2</f>
        <v>5.2271088680605621E-2</v>
      </c>
      <c r="G64">
        <f>(Цены!F64-Цены!F$2)/Цены!F$2</f>
        <v>0.21296296296296297</v>
      </c>
      <c r="H64">
        <f>(Цены!G64-Цены!G$2)/Цены!G$2</f>
        <v>-5.4390666876872149E-2</v>
      </c>
      <c r="I64">
        <f>(Цены!H64-Цены!H$2)/Цены!H$2</f>
        <v>5.6614563476934783E-2</v>
      </c>
      <c r="J64">
        <f>(Цены!I64-Цены!I$2)/Цены!I$2</f>
        <v>4.6569178852643417E-2</v>
      </c>
      <c r="K64">
        <f>(Цены!J64-Цены!J$2)/Цены!J$2</f>
        <v>9.0277777777777776E-2</v>
      </c>
      <c r="L64">
        <f>(Цены!K64-Цены!K$2)/Цены!K$2</f>
        <v>-9.8039215686274508E-3</v>
      </c>
      <c r="M64">
        <f>(Цены!L64-Цены!L$2)/Цены!L$2</f>
        <v>0.11711744364044156</v>
      </c>
      <c r="N64">
        <f>(Цены!M64-Цены!M$2)/Цены!M$2</f>
        <v>8.5034687809712545E-2</v>
      </c>
      <c r="O64">
        <f>(Цены!N64-Цены!N$2)/Цены!N$2</f>
        <v>5.9915214319359388E-2</v>
      </c>
      <c r="P64">
        <f>(Цены!O64-Цены!O$2)/Цены!O$2</f>
        <v>-3.9749216300940353E-2</v>
      </c>
      <c r="Q64">
        <f>(Цены!P64-Цены!P$2)/Цены!P$2</f>
        <v>0.21348108801172272</v>
      </c>
      <c r="R64">
        <f>(Цены!Q64-Цены!Q$2)/Цены!Q$2</f>
        <v>-8.3440158489686472E-2</v>
      </c>
      <c r="S64">
        <f>(Цены!R64-Цены!R$2)/Цены!R$2</f>
        <v>0.24498156493240489</v>
      </c>
      <c r="T64">
        <f>(Цены!S64-Цены!S$2)/Цены!S$2</f>
        <v>-7.7394636015325757E-2</v>
      </c>
      <c r="U64">
        <f>(Цены!T64-Цены!T$2)/Цены!T$2</f>
        <v>-6.36107193229902E-2</v>
      </c>
      <c r="V64">
        <f>(Цены!U64-Цены!U$2)/Цены!U$2</f>
        <v>1.9026548672566371E-2</v>
      </c>
      <c r="W64">
        <f>(Цены!V64-Цены!V$2)/Цены!V$2</f>
        <v>9.6887159533074016E-2</v>
      </c>
      <c r="X64">
        <f>(Цены!W64-Цены!W$2)/Цены!W$2</f>
        <v>0.37376112884260038</v>
      </c>
      <c r="Y64">
        <f>(Цены!X64-Цены!X$2)/Цены!X$2</f>
        <v>3.2555080565603342E-2</v>
      </c>
      <c r="Z64">
        <f>(Цены!Y64-Цены!Y$2)/Цены!Y$2</f>
        <v>2.9978586723768651E-2</v>
      </c>
      <c r="AA64">
        <f>(Цены!Z64-Цены!Z$2)/Цены!Z$2</f>
        <v>6.0848186846957537E-2</v>
      </c>
      <c r="AB64">
        <f>(Цены!AA64-Цены!AA$2)/Цены!AA$2</f>
        <v>3.5260565206118803E-2</v>
      </c>
      <c r="AC64">
        <f>(Цены!AB64-Цены!AB$2)/Цены!AB$2</f>
        <v>-8.375778155065082E-2</v>
      </c>
      <c r="AD64">
        <f>(Цены!AC64-Цены!AC$2)/Цены!AC$2</f>
        <v>0.36984519318329628</v>
      </c>
      <c r="AE64">
        <f>(Цены!AD64-Цены!AD$2)/Цены!AD$2</f>
        <v>-0.11153846153846154</v>
      </c>
      <c r="AF64">
        <f>(Цены!AE64-Цены!AE$2)/Цены!AE$2</f>
        <v>0.1144578313253012</v>
      </c>
      <c r="AG64">
        <f>(Цены!AF64-Цены!AF$2)/Цены!AF$2</f>
        <v>6.8310220852593792E-2</v>
      </c>
      <c r="AH64">
        <f>(Цены!AG64-Цены!AG$2)/Цены!AG$2</f>
        <v>-0.14938271604938264</v>
      </c>
      <c r="AI64">
        <f>(Цены!AH64-Цены!AH$2)/Цены!AH$2</f>
        <v>0.17333809864188707</v>
      </c>
      <c r="AJ64">
        <f>(Цены!AI64-Цены!AI$2)/Цены!AI$2</f>
        <v>0.17870167760758565</v>
      </c>
      <c r="AK64">
        <f>(Цены!AJ64-Цены!AJ$2)/Цены!AJ$2</f>
        <v>0.18957503320053121</v>
      </c>
      <c r="AL64">
        <f>(Цены!AK64-Цены!AK$2)/Цены!AK$2</f>
        <v>0.3797549967762735</v>
      </c>
      <c r="AM64">
        <f>(Цены!AL64-Цены!AL$2)/Цены!AL$2</f>
        <v>5.6923076923076965E-2</v>
      </c>
      <c r="AN64">
        <f>(Цены!AM64-Цены!AM$2)/Цены!AM$2</f>
        <v>-0.20152380952380952</v>
      </c>
      <c r="AO64">
        <f>(Цены!AN64-Цены!AN$2)/Цены!AN$2</f>
        <v>0.11072664359861592</v>
      </c>
      <c r="AP64">
        <f>(Цены!AO64-Цены!AO$2)/Цены!AO$2</f>
        <v>1.4403292181069871E-2</v>
      </c>
      <c r="AQ64">
        <f>(Цены!AP64-Цены!AP$2)/Цены!AP$2</f>
        <v>8.1366965012205042E-2</v>
      </c>
      <c r="AR64">
        <f>(Цены!AQ64-Цены!AQ$2)/Цены!AQ$2</f>
        <v>-2.197802197802198E-2</v>
      </c>
      <c r="AS64">
        <f>(Цены!AR64-Цены!AR$2)/Цены!AR$2</f>
        <v>0.21023255813953484</v>
      </c>
      <c r="AT64">
        <f>(Цены!AS64-Цены!AS$2)/Цены!AS$2</f>
        <v>-4.4067796610169518E-2</v>
      </c>
      <c r="AU64">
        <f>(Цены!AT64-Цены!AT$2)/Цены!AT$2</f>
        <v>1.8181818181818073E-2</v>
      </c>
      <c r="AV64">
        <f>(Цены!AU64-Цены!AU$2)/Цены!AU$2</f>
        <v>3.1558185404339134E-2</v>
      </c>
    </row>
    <row r="65" spans="1:48" x14ac:dyDescent="0.2">
      <c r="A65" s="1" t="s">
        <v>128</v>
      </c>
      <c r="B65" s="2">
        <v>63</v>
      </c>
      <c r="C65">
        <f>(Цены!B65-Цены!B$2)/Цены!B$2</f>
        <v>6.7343124449117081E-2</v>
      </c>
      <c r="D65">
        <f>(Цены!C65-Цены!C$2)/Цены!C$2</f>
        <v>0.22560447612069542</v>
      </c>
      <c r="E65">
        <f>(Цены!D65-Цены!D$2)/Цены!D$2</f>
        <v>-2.1161825726141056E-2</v>
      </c>
      <c r="F65">
        <f>(Цены!E65-Цены!E$2)/Цены!E$2</f>
        <v>3.6770007209805333E-2</v>
      </c>
      <c r="G65">
        <f>(Цены!F65-Цены!F$2)/Цены!F$2</f>
        <v>0.19259259259259259</v>
      </c>
      <c r="H65">
        <f>(Цены!G65-Цены!G$2)/Цены!G$2</f>
        <v>-5.4075358663093105E-2</v>
      </c>
      <c r="I65">
        <f>(Цены!H65-Цены!H$2)/Цены!H$2</f>
        <v>3.0308806709874118E-2</v>
      </c>
      <c r="J65">
        <f>(Цены!I65-Цены!I$2)/Цены!I$2</f>
        <v>4.9718785151856015E-2</v>
      </c>
      <c r="K65">
        <f>(Цены!J65-Цены!J$2)/Цены!J$2</f>
        <v>8.166666666666661E-2</v>
      </c>
      <c r="L65">
        <f>(Цены!K65-Цены!K$2)/Цены!K$2</f>
        <v>0</v>
      </c>
      <c r="M65">
        <f>(Цены!L65-Цены!L$2)/Цены!L$2</f>
        <v>0.11754171268244629</v>
      </c>
      <c r="N65">
        <f>(Цены!M65-Цены!M$2)/Цены!M$2</f>
        <v>9.1972249752229882E-2</v>
      </c>
      <c r="O65">
        <f>(Цены!N65-Цены!N$2)/Цены!N$2</f>
        <v>6.8299576071596799E-2</v>
      </c>
      <c r="P65">
        <f>(Цены!O65-Цены!O$2)/Цены!O$2</f>
        <v>-4.0752351097178598E-2</v>
      </c>
      <c r="Q65">
        <f>(Цены!P65-Цены!P$2)/Цены!P$2</f>
        <v>0.1786793662423298</v>
      </c>
      <c r="R65">
        <f>(Цены!Q65-Цены!Q$2)/Цены!Q$2</f>
        <v>-8.5188206502738631E-2</v>
      </c>
      <c r="S65">
        <f>(Цены!R65-Цены!R$2)/Цены!R$2</f>
        <v>0.23583230916291145</v>
      </c>
      <c r="T65">
        <f>(Цены!S65-Цены!S$2)/Цены!S$2</f>
        <v>-7.8927203065134122E-2</v>
      </c>
      <c r="U65">
        <f>(Цены!T65-Цены!T$2)/Цены!T$2</f>
        <v>-6.4598025387870406E-2</v>
      </c>
      <c r="V65">
        <f>(Цены!U65-Цены!U$2)/Цены!U$2</f>
        <v>8.8495575221238937E-3</v>
      </c>
      <c r="W65">
        <f>(Цены!V65-Цены!V$2)/Цены!V$2</f>
        <v>7.5097276264591437E-2</v>
      </c>
      <c r="X65">
        <f>(Цены!W65-Цены!W$2)/Цены!W$2</f>
        <v>0.42113220225096576</v>
      </c>
      <c r="Y65">
        <f>(Цены!X65-Цены!X$2)/Цены!X$2</f>
        <v>2.7622492601117977E-2</v>
      </c>
      <c r="Z65">
        <f>(Цены!Y65-Цены!Y$2)/Цены!Y$2</f>
        <v>8.9431918377627963E-3</v>
      </c>
      <c r="AA65">
        <f>(Цены!Z65-Цены!Z$2)/Цены!Z$2</f>
        <v>5.1014136447449301E-2</v>
      </c>
      <c r="AB65">
        <f>(Цены!AA65-Цены!AA$2)/Цены!AA$2</f>
        <v>2.1778584392014608E-2</v>
      </c>
      <c r="AC65">
        <f>(Цены!AB65-Цены!AB$2)/Цены!AB$2</f>
        <v>-8.6021505376344093E-2</v>
      </c>
      <c r="AD65">
        <f>(Цены!AC65-Цены!AC$2)/Цены!AC$2</f>
        <v>0.39846494080915817</v>
      </c>
      <c r="AE65">
        <f>(Цены!AD65-Цены!AD$2)/Цены!AD$2</f>
        <v>-0.11769230769230771</v>
      </c>
      <c r="AF65">
        <f>(Цены!AE65-Цены!AE$2)/Цены!AE$2</f>
        <v>0.15060240963855423</v>
      </c>
      <c r="AG65">
        <f>(Цены!AF65-Цены!AF$2)/Цены!AF$2</f>
        <v>7.8582434514637964E-2</v>
      </c>
      <c r="AH65">
        <f>(Цены!AG65-Цены!AG$2)/Цены!AG$2</f>
        <v>-0.16604938271604941</v>
      </c>
      <c r="AI65">
        <f>(Цены!AH65-Цены!AH$2)/Цены!AH$2</f>
        <v>0.17155110793423872</v>
      </c>
      <c r="AJ65">
        <f>(Цены!AI65-Цены!AI$2)/Цены!AI$2</f>
        <v>0.16994894237782626</v>
      </c>
      <c r="AK65">
        <f>(Цены!AJ65-Цены!AJ$2)/Цены!AJ$2</f>
        <v>0.20285524568393093</v>
      </c>
      <c r="AL65">
        <f>(Цены!AK65-Цены!AK$2)/Цены!AK$2</f>
        <v>0.36943907156673123</v>
      </c>
      <c r="AM65">
        <f>(Цены!AL65-Цены!AL$2)/Цены!AL$2</f>
        <v>5.7692307692307696E-2</v>
      </c>
      <c r="AN65">
        <f>(Цены!AM65-Цены!AM$2)/Цены!AM$2</f>
        <v>-0.21104761904761904</v>
      </c>
      <c r="AO65">
        <f>(Цены!AN65-Цены!AN$2)/Цены!AN$2</f>
        <v>0.11003460207612457</v>
      </c>
      <c r="AP65">
        <f>(Цены!AO65-Цены!AO$2)/Цены!AO$2</f>
        <v>2.0576131687242798E-2</v>
      </c>
      <c r="AQ65">
        <f>(Цены!AP65-Цены!AP$2)/Цены!AP$2</f>
        <v>6.9975589910496336E-2</v>
      </c>
      <c r="AR65">
        <f>(Цены!AQ65-Цены!AQ$2)/Цены!AQ$2</f>
        <v>-3.1135531135531136E-2</v>
      </c>
      <c r="AS65">
        <f>(Цены!AR65-Цены!AR$2)/Цены!AR$2</f>
        <v>0.19813953488372105</v>
      </c>
      <c r="AT65">
        <f>(Цены!AS65-Цены!AS$2)/Цены!AS$2</f>
        <v>-4.6610169491525424E-2</v>
      </c>
      <c r="AU65">
        <f>(Цены!AT65-Цены!AT$2)/Цены!AT$2</f>
        <v>1.8181818181818073E-2</v>
      </c>
      <c r="AV65">
        <f>(Цены!AU65-Цены!AU$2)/Цены!AU$2</f>
        <v>3.4516765285996051E-2</v>
      </c>
    </row>
    <row r="68" spans="1:48" x14ac:dyDescent="0.2">
      <c r="A68" s="3" t="s">
        <v>54</v>
      </c>
      <c r="D68">
        <f>IF(ISERROR(MATCH(D$1,Рекомы_CAPM!$B$2:$B$29,0)),IF(ISERROR(MATCH(D$1,Рекомы_CAPM!$C$2:$C$29,0)),1,0),-1)</f>
        <v>1</v>
      </c>
      <c r="E68">
        <f>IF(ISERROR(MATCH(E$1,Рекомы_CAPM!$B$2:$B$29,0)),IF(ISERROR(MATCH(E$1,Рекомы_CAPM!$C$2:$C$29,0)),1,0),-1)</f>
        <v>1</v>
      </c>
      <c r="F68">
        <f>IF(ISERROR(MATCH(F$1,Рекомы_CAPM!$B$2:$B$29,0)),IF(ISERROR(MATCH(F$1,Рекомы_CAPM!$C$2:$C$29,0)),1,0),-1)</f>
        <v>-1</v>
      </c>
      <c r="G68">
        <f>IF(ISERROR(MATCH(G$1,Рекомы_CAPM!$B$2:$B$29,0)),IF(ISERROR(MATCH(G$1,Рекомы_CAPM!$C$2:$C$29,0)),1,0),-1)</f>
        <v>0</v>
      </c>
      <c r="H68">
        <f>IF(ISERROR(MATCH(H$1,Рекомы_CAPM!$B$2:$B$29,0)),IF(ISERROR(MATCH(H$1,Рекомы_CAPM!$C$2:$C$29,0)),1,0),-1)</f>
        <v>1</v>
      </c>
      <c r="I68">
        <f>IF(ISERROR(MATCH(I$1,Рекомы_CAPM!$B$2:$B$29,0)),IF(ISERROR(MATCH(I$1,Рекомы_CAPM!$C$2:$C$29,0)),1,0),-1)</f>
        <v>-1</v>
      </c>
      <c r="J68">
        <f>IF(ISERROR(MATCH(J$1,Рекомы_CAPM!$B$2:$B$29,0)),IF(ISERROR(MATCH(J$1,Рекомы_CAPM!$C$2:$C$29,0)),1,0),-1)</f>
        <v>-1</v>
      </c>
      <c r="K68">
        <f>IF(ISERROR(MATCH(K$1,Рекомы_CAPM!$B$2:$B$29,0)),IF(ISERROR(MATCH(K$1,Рекомы_CAPM!$C$2:$C$29,0)),1,0),-1)</f>
        <v>-1</v>
      </c>
      <c r="L68">
        <f>IF(ISERROR(MATCH(L$1,Рекомы_CAPM!$B$2:$B$29,0)),IF(ISERROR(MATCH(L$1,Рекомы_CAPM!$C$2:$C$29,0)),1,0),-1)</f>
        <v>-1</v>
      </c>
      <c r="M68">
        <f>IF(ISERROR(MATCH(M$1,Рекомы_CAPM!$B$2:$B$29,0)),IF(ISERROR(MATCH(M$1,Рекомы_CAPM!$C$2:$C$29,0)),1,0),-1)</f>
        <v>1</v>
      </c>
      <c r="N68">
        <f>IF(ISERROR(MATCH(N$1,Рекомы_CAPM!$B$2:$B$29,0)),IF(ISERROR(MATCH(N$1,Рекомы_CAPM!$C$2:$C$29,0)),1,0),-1)</f>
        <v>-1</v>
      </c>
      <c r="O68">
        <f>IF(ISERROR(MATCH(O$1,Рекомы_CAPM!$B$2:$B$29,0)),IF(ISERROR(MATCH(O$1,Рекомы_CAPM!$C$2:$C$29,0)),1,0),-1)</f>
        <v>-1</v>
      </c>
      <c r="P68">
        <f>IF(ISERROR(MATCH(P$1,Рекомы_CAPM!$B$2:$B$29,0)),IF(ISERROR(MATCH(P$1,Рекомы_CAPM!$C$2:$C$29,0)),1,0),-1)</f>
        <v>-1</v>
      </c>
      <c r="Q68">
        <f>IF(ISERROR(MATCH(Q$1,Рекомы_CAPM!$B$2:$B$29,0)),IF(ISERROR(MATCH(Q$1,Рекомы_CAPM!$C$2:$C$29,0)),1,0),-1)</f>
        <v>1</v>
      </c>
      <c r="R68">
        <f>IF(ISERROR(MATCH(R$1,Рекомы_CAPM!$B$2:$B$29,0)),IF(ISERROR(MATCH(R$1,Рекомы_CAPM!$C$2:$C$29,0)),1,0),-1)</f>
        <v>-1</v>
      </c>
      <c r="S68">
        <f>IF(ISERROR(MATCH(S$1,Рекомы_CAPM!$B$2:$B$29,0)),IF(ISERROR(MATCH(S$1,Рекомы_CAPM!$C$2:$C$29,0)),1,0),-1)</f>
        <v>0</v>
      </c>
      <c r="T68">
        <f>IF(ISERROR(MATCH(T$1,Рекомы_CAPM!$B$2:$B$29,0)),IF(ISERROR(MATCH(T$1,Рекомы_CAPM!$C$2:$C$29,0)),1,0),-1)</f>
        <v>0</v>
      </c>
      <c r="U68">
        <f>IF(ISERROR(MATCH(U$1,Рекомы_CAPM!$B$2:$B$29,0)),IF(ISERROR(MATCH(U$1,Рекомы_CAPM!$C$2:$C$29,0)),1,0),-1)</f>
        <v>1</v>
      </c>
      <c r="V68">
        <f>IF(ISERROR(MATCH(V$1,Рекомы_CAPM!$B$2:$B$29,0)),IF(ISERROR(MATCH(V$1,Рекомы_CAPM!$C$2:$C$29,0)),1,0),-1)</f>
        <v>1</v>
      </c>
      <c r="W68">
        <f>IF(ISERROR(MATCH(W$1,Рекомы_CAPM!$B$2:$B$29,0)),IF(ISERROR(MATCH(W$1,Рекомы_CAPM!$C$2:$C$29,0)),1,0),-1)</f>
        <v>1</v>
      </c>
      <c r="X68">
        <f>IF(ISERROR(MATCH(X$1,Рекомы_CAPM!$B$2:$B$29,0)),IF(ISERROR(MATCH(X$1,Рекомы_CAPM!$C$2:$C$29,0)),1,0),-1)</f>
        <v>-1</v>
      </c>
      <c r="Y68">
        <f>IF(ISERROR(MATCH(Y$1,Рекомы_CAPM!$B$2:$B$29,0)),IF(ISERROR(MATCH(Y$1,Рекомы_CAPM!$C$2:$C$29,0)),1,0),-1)</f>
        <v>1</v>
      </c>
      <c r="Z68">
        <f>IF(ISERROR(MATCH(Z$1,Рекомы_CAPM!$B$2:$B$29,0)),IF(ISERROR(MATCH(Z$1,Рекомы_CAPM!$C$2:$C$29,0)),1,0),-1)</f>
        <v>1</v>
      </c>
      <c r="AA68">
        <f>IF(ISERROR(MATCH(AA$1,Рекомы_CAPM!$B$2:$B$29,0)),IF(ISERROR(MATCH(AA$1,Рекомы_CAPM!$C$2:$C$29,0)),1,0),-1)</f>
        <v>-1</v>
      </c>
      <c r="AB68">
        <f>IF(ISERROR(MATCH(AB$1,Рекомы_CAPM!$B$2:$B$29,0)),IF(ISERROR(MATCH(AB$1,Рекомы_CAPM!$C$2:$C$29,0)),1,0),-1)</f>
        <v>-1</v>
      </c>
      <c r="AC68">
        <f>IF(ISERROR(MATCH(AC$1,Рекомы_CAPM!$B$2:$B$29,0)),IF(ISERROR(MATCH(AC$1,Рекомы_CAPM!$C$2:$C$29,0)),1,0),-1)</f>
        <v>-1</v>
      </c>
      <c r="AD68">
        <f>IF(ISERROR(MATCH(AD$1,Рекомы_CAPM!$B$2:$B$29,0)),IF(ISERROR(MATCH(AD$1,Рекомы_CAPM!$C$2:$C$29,0)),1,0),-1)</f>
        <v>1</v>
      </c>
      <c r="AE68">
        <f>IF(ISERROR(MATCH(AE$1,Рекомы_CAPM!$B$2:$B$29,0)),IF(ISERROR(MATCH(AE$1,Рекомы_CAPM!$C$2:$C$29,0)),1,0),-1)</f>
        <v>-1</v>
      </c>
      <c r="AF68">
        <f>IF(ISERROR(MATCH(AF$1,Рекомы_CAPM!$B$2:$B$29,0)),IF(ISERROR(MATCH(AF$1,Рекомы_CAPM!$C$2:$C$29,0)),1,0),-1)</f>
        <v>-1</v>
      </c>
      <c r="AG68">
        <f>IF(ISERROR(MATCH(AG$1,Рекомы_CAPM!$B$2:$B$29,0)),IF(ISERROR(MATCH(AG$1,Рекомы_CAPM!$C$2:$C$29,0)),1,0),-1)</f>
        <v>1</v>
      </c>
      <c r="AH68">
        <f>IF(ISERROR(MATCH(AH$1,Рекомы_CAPM!$B$2:$B$29,0)),IF(ISERROR(MATCH(AH$1,Рекомы_CAPM!$C$2:$C$29,0)),1,0),-1)</f>
        <v>1</v>
      </c>
      <c r="AI68">
        <f>IF(ISERROR(MATCH(AI$1,Рекомы_CAPM!$B$2:$B$29,0)),IF(ISERROR(MATCH(AI$1,Рекомы_CAPM!$C$2:$C$29,0)),1,0),-1)</f>
        <v>1</v>
      </c>
      <c r="AJ68">
        <f>IF(ISERROR(MATCH(AJ$1,Рекомы_CAPM!$B$2:$B$29,0)),IF(ISERROR(MATCH(AJ$1,Рекомы_CAPM!$C$2:$C$29,0)),1,0),-1)</f>
        <v>-1</v>
      </c>
      <c r="AK68">
        <f>IF(ISERROR(MATCH(AK$1,Рекомы_CAPM!$B$2:$B$29,0)),IF(ISERROR(MATCH(AK$1,Рекомы_CAPM!$C$2:$C$29,0)),1,0),-1)</f>
        <v>1</v>
      </c>
      <c r="AL68">
        <f>IF(ISERROR(MATCH(AL$1,Рекомы_CAPM!$B$2:$B$29,0)),IF(ISERROR(MATCH(AL$1,Рекомы_CAPM!$C$2:$C$29,0)),1,0),-1)</f>
        <v>1</v>
      </c>
      <c r="AM68">
        <f>IF(ISERROR(MATCH(AM$1,Рекомы_CAPM!$B$2:$B$29,0)),IF(ISERROR(MATCH(AM$1,Рекомы_CAPM!$C$2:$C$29,0)),1,0),-1)</f>
        <v>1</v>
      </c>
      <c r="AN68">
        <f>IF(ISERROR(MATCH(AN$1,Рекомы_CAPM!$B$2:$B$29,0)),IF(ISERROR(MATCH(AN$1,Рекомы_CAPM!$C$2:$C$29,0)),1,0),-1)</f>
        <v>1</v>
      </c>
      <c r="AO68">
        <f>IF(ISERROR(MATCH(AO$1,Рекомы_CAPM!$B$2:$B$29,0)),IF(ISERROR(MATCH(AO$1,Рекомы_CAPM!$C$2:$C$29,0)),1,0),-1)</f>
        <v>-1</v>
      </c>
      <c r="AP68">
        <f>IF(ISERROR(MATCH(AP$1,Рекомы_CAPM!$B$2:$B$29,0)),IF(ISERROR(MATCH(AP$1,Рекомы_CAPM!$C$2:$C$29,0)),1,0),-1)</f>
        <v>0</v>
      </c>
      <c r="AQ68">
        <f>IF(ISERROR(MATCH(AQ$1,Рекомы_CAPM!$B$2:$B$29,0)),IF(ISERROR(MATCH(AQ$1,Рекомы_CAPM!$C$2:$C$29,0)),1,0),-1)</f>
        <v>-1</v>
      </c>
      <c r="AR68">
        <f>IF(ISERROR(MATCH(AR$1,Рекомы_CAPM!$B$2:$B$29,0)),IF(ISERROR(MATCH(AR$1,Рекомы_CAPM!$C$2:$C$29,0)),1,0),-1)</f>
        <v>1</v>
      </c>
      <c r="AS68">
        <f>IF(ISERROR(MATCH(AS$1,Рекомы_CAPM!$B$2:$B$29,0)),IF(ISERROR(MATCH(AS$1,Рекомы_CAPM!$C$2:$C$29,0)),1,0),-1)</f>
        <v>1</v>
      </c>
      <c r="AT68">
        <f>IF(ISERROR(MATCH(AT$1,Рекомы_CAPM!$B$2:$B$29,0)),IF(ISERROR(MATCH(AT$1,Рекомы_CAPM!$C$2:$C$29,0)),1,0),-1)</f>
        <v>1</v>
      </c>
      <c r="AU68">
        <f>IF(ISERROR(MATCH(AU$1,Рекомы_CAPM!$B$2:$B$29,0)),IF(ISERROR(MATCH(AU$1,Рекомы_CAPM!$C$2:$C$29,0)),1,0),-1)</f>
        <v>-1</v>
      </c>
      <c r="AV68">
        <f>IF(ISERROR(MATCH(AV$1,Рекомы_CAPM!$B$2:$B$29,0)),IF(ISERROR(MATCH(AV$1,Рекомы_CAPM!$C$2:$C$29,0)),1,0),-1)</f>
        <v>0</v>
      </c>
    </row>
    <row r="69" spans="1:48" x14ac:dyDescent="0.2">
      <c r="A69" s="3" t="s">
        <v>55</v>
      </c>
      <c r="D69">
        <f>IF(ISERROR(MATCH(D$1,Рекомы_Фама_Френч!$B$2:$B$28,0)),IF(ISERROR(MATCH(D$1,Рекомы_Фама_Френч!$C$2:$C$28,0)),1,0),-1)</f>
        <v>1</v>
      </c>
      <c r="E69">
        <f>IF(ISERROR(MATCH(E$1,Рекомы_Фама_Френч!$B$2:$B$28,0)),IF(ISERROR(MATCH(E$1,Рекомы_Фама_Френч!$C$2:$C$28,0)),1,0),-1)</f>
        <v>1</v>
      </c>
      <c r="F69">
        <f>IF(ISERROR(MATCH(F$1,Рекомы_Фама_Френч!$B$2:$B$28,0)),IF(ISERROR(MATCH(F$1,Рекомы_Фама_Френч!$C$2:$C$28,0)),1,0),-1)</f>
        <v>-1</v>
      </c>
      <c r="G69">
        <f>IF(ISERROR(MATCH(G$1,Рекомы_Фама_Френч!$B$2:$B$28,0)),IF(ISERROR(MATCH(G$1,Рекомы_Фама_Френч!$C$2:$C$28,0)),1,0),-1)</f>
        <v>0</v>
      </c>
      <c r="H69">
        <f>IF(ISERROR(MATCH(H$1,Рекомы_Фама_Френч!$B$2:$B$28,0)),IF(ISERROR(MATCH(H$1,Рекомы_Фама_Френч!$C$2:$C$28,0)),1,0),-1)</f>
        <v>1</v>
      </c>
      <c r="I69">
        <f>IF(ISERROR(MATCH(I$1,Рекомы_Фама_Френч!$B$2:$B$28,0)),IF(ISERROR(MATCH(I$1,Рекомы_Фама_Френч!$C$2:$C$28,0)),1,0),-1)</f>
        <v>-1</v>
      </c>
      <c r="J69">
        <f>IF(ISERROR(MATCH(J$1,Рекомы_Фама_Френч!$B$2:$B$28,0)),IF(ISERROR(MATCH(J$1,Рекомы_Фама_Френч!$C$2:$C$28,0)),1,0),-1)</f>
        <v>-1</v>
      </c>
      <c r="K69">
        <f>IF(ISERROR(MATCH(K$1,Рекомы_Фама_Френч!$B$2:$B$28,0)),IF(ISERROR(MATCH(K$1,Рекомы_Фама_Френч!$C$2:$C$28,0)),1,0),-1)</f>
        <v>-1</v>
      </c>
      <c r="L69">
        <f>IF(ISERROR(MATCH(L$1,Рекомы_Фама_Френч!$B$2:$B$28,0)),IF(ISERROR(MATCH(L$1,Рекомы_Фама_Френч!$C$2:$C$28,0)),1,0),-1)</f>
        <v>-1</v>
      </c>
      <c r="M69">
        <f>IF(ISERROR(MATCH(M$1,Рекомы_Фама_Френч!$B$2:$B$28,0)),IF(ISERROR(MATCH(M$1,Рекомы_Фама_Френч!$C$2:$C$28,0)),1,0),-1)</f>
        <v>1</v>
      </c>
      <c r="N69">
        <f>IF(ISERROR(MATCH(N$1,Рекомы_Фама_Френч!$B$2:$B$28,0)),IF(ISERROR(MATCH(N$1,Рекомы_Фама_Френч!$C$2:$C$28,0)),1,0),-1)</f>
        <v>-1</v>
      </c>
      <c r="O69">
        <f>IF(ISERROR(MATCH(O$1,Рекомы_Фама_Френч!$B$2:$B$28,0)),IF(ISERROR(MATCH(O$1,Рекомы_Фама_Френч!$C$2:$C$28,0)),1,0),-1)</f>
        <v>0</v>
      </c>
      <c r="P69">
        <f>IF(ISERROR(MATCH(P$1,Рекомы_Фама_Френч!$B$2:$B$28,0)),IF(ISERROR(MATCH(P$1,Рекомы_Фама_Френч!$C$2:$C$28,0)),1,0),-1)</f>
        <v>-1</v>
      </c>
      <c r="Q69">
        <f>IF(ISERROR(MATCH(Q$1,Рекомы_Фама_Френч!$B$2:$B$28,0)),IF(ISERROR(MATCH(Q$1,Рекомы_Фама_Френч!$C$2:$C$28,0)),1,0),-1)</f>
        <v>1</v>
      </c>
      <c r="R69">
        <f>IF(ISERROR(MATCH(R$1,Рекомы_Фама_Френч!$B$2:$B$28,0)),IF(ISERROR(MATCH(R$1,Рекомы_Фама_Френч!$C$2:$C$28,0)),1,0),-1)</f>
        <v>-1</v>
      </c>
      <c r="S69">
        <f>IF(ISERROR(MATCH(S$1,Рекомы_Фама_Френч!$B$2:$B$28,0)),IF(ISERROR(MATCH(S$1,Рекомы_Фама_Френч!$C$2:$C$28,0)),1,0),-1)</f>
        <v>0</v>
      </c>
      <c r="T69">
        <f>IF(ISERROR(MATCH(T$1,Рекомы_Фама_Френч!$B$2:$B$28,0)),IF(ISERROR(MATCH(T$1,Рекомы_Фама_Френч!$C$2:$C$28,0)),1,0),-1)</f>
        <v>0</v>
      </c>
      <c r="U69">
        <f>IF(ISERROR(MATCH(U$1,Рекомы_Фама_Френч!$B$2:$B$28,0)),IF(ISERROR(MATCH(U$1,Рекомы_Фама_Френч!$C$2:$C$28,0)),1,0),-1)</f>
        <v>1</v>
      </c>
      <c r="V69">
        <f>IF(ISERROR(MATCH(V$1,Рекомы_Фама_Френч!$B$2:$B$28,0)),IF(ISERROR(MATCH(V$1,Рекомы_Фама_Френч!$C$2:$C$28,0)),1,0),-1)</f>
        <v>1</v>
      </c>
      <c r="W69">
        <f>IF(ISERROR(MATCH(W$1,Рекомы_Фама_Френч!$B$2:$B$28,0)),IF(ISERROR(MATCH(W$1,Рекомы_Фама_Френч!$C$2:$C$28,0)),1,0),-1)</f>
        <v>1</v>
      </c>
      <c r="X69">
        <f>IF(ISERROR(MATCH(X$1,Рекомы_Фама_Френч!$B$2:$B$28,0)),IF(ISERROR(MATCH(X$1,Рекомы_Фама_Френч!$C$2:$C$28,0)),1,0),-1)</f>
        <v>-1</v>
      </c>
      <c r="Y69">
        <f>IF(ISERROR(MATCH(Y$1,Рекомы_Фама_Френч!$B$2:$B$28,0)),IF(ISERROR(MATCH(Y$1,Рекомы_Фама_Френч!$C$2:$C$28,0)),1,0),-1)</f>
        <v>1</v>
      </c>
      <c r="Z69">
        <f>IF(ISERROR(MATCH(Z$1,Рекомы_Фама_Френч!$B$2:$B$28,0)),IF(ISERROR(MATCH(Z$1,Рекомы_Фама_Френч!$C$2:$C$28,0)),1,0),-1)</f>
        <v>1</v>
      </c>
      <c r="AA69">
        <f>IF(ISERROR(MATCH(AA$1,Рекомы_Фама_Френч!$B$2:$B$28,0)),IF(ISERROR(MATCH(AA$1,Рекомы_Фама_Френч!$C$2:$C$28,0)),1,0),-1)</f>
        <v>-1</v>
      </c>
      <c r="AB69">
        <f>IF(ISERROR(MATCH(AB$1,Рекомы_Фама_Френч!$B$2:$B$28,0)),IF(ISERROR(MATCH(AB$1,Рекомы_Фама_Френч!$C$2:$C$28,0)),1,0),-1)</f>
        <v>-1</v>
      </c>
      <c r="AC69">
        <f>IF(ISERROR(MATCH(AC$1,Рекомы_Фама_Френч!$B$2:$B$28,0)),IF(ISERROR(MATCH(AC$1,Рекомы_Фама_Френч!$C$2:$C$28,0)),1,0),-1)</f>
        <v>-1</v>
      </c>
      <c r="AD69">
        <f>IF(ISERROR(MATCH(AD$1,Рекомы_Фама_Френч!$B$2:$B$28,0)),IF(ISERROR(MATCH(AD$1,Рекомы_Фама_Френч!$C$2:$C$28,0)),1,0),-1)</f>
        <v>1</v>
      </c>
      <c r="AE69">
        <f>IF(ISERROR(MATCH(AE$1,Рекомы_Фама_Френч!$B$2:$B$28,0)),IF(ISERROR(MATCH(AE$1,Рекомы_Фама_Френч!$C$2:$C$28,0)),1,0),-1)</f>
        <v>-1</v>
      </c>
      <c r="AF69">
        <f>IF(ISERROR(MATCH(AF$1,Рекомы_Фама_Френч!$B$2:$B$28,0)),IF(ISERROR(MATCH(AF$1,Рекомы_Фама_Френч!$C$2:$C$28,0)),1,0),-1)</f>
        <v>-1</v>
      </c>
      <c r="AG69">
        <f>IF(ISERROR(MATCH(AG$1,Рекомы_Фама_Френч!$B$2:$B$28,0)),IF(ISERROR(MATCH(AG$1,Рекомы_Фама_Френч!$C$2:$C$28,0)),1,0),-1)</f>
        <v>1</v>
      </c>
      <c r="AH69">
        <f>IF(ISERROR(MATCH(AH$1,Рекомы_Фама_Френч!$B$2:$B$28,0)),IF(ISERROR(MATCH(AH$1,Рекомы_Фама_Френч!$C$2:$C$28,0)),1,0),-1)</f>
        <v>1</v>
      </c>
      <c r="AI69">
        <f>IF(ISERROR(MATCH(AI$1,Рекомы_Фама_Френч!$B$2:$B$28,0)),IF(ISERROR(MATCH(AI$1,Рекомы_Фама_Френч!$C$2:$C$28,0)),1,0),-1)</f>
        <v>1</v>
      </c>
      <c r="AJ69">
        <f>IF(ISERROR(MATCH(AJ$1,Рекомы_Фама_Френч!$B$2:$B$28,0)),IF(ISERROR(MATCH(AJ$1,Рекомы_Фама_Френч!$C$2:$C$28,0)),1,0),-1)</f>
        <v>-1</v>
      </c>
      <c r="AK69">
        <f>IF(ISERROR(MATCH(AK$1,Рекомы_Фама_Френч!$B$2:$B$28,0)),IF(ISERROR(MATCH(AK$1,Рекомы_Фама_Френч!$C$2:$C$28,0)),1,0),-1)</f>
        <v>1</v>
      </c>
      <c r="AL69">
        <f>IF(ISERROR(MATCH(AL$1,Рекомы_Фама_Френч!$B$2:$B$28,0)),IF(ISERROR(MATCH(AL$1,Рекомы_Фама_Френч!$C$2:$C$28,0)),1,0),-1)</f>
        <v>1</v>
      </c>
      <c r="AM69">
        <f>IF(ISERROR(MATCH(AM$1,Рекомы_Фама_Френч!$B$2:$B$28,0)),IF(ISERROR(MATCH(AM$1,Рекомы_Фама_Френч!$C$2:$C$28,0)),1,0),-1)</f>
        <v>1</v>
      </c>
      <c r="AN69">
        <f>IF(ISERROR(MATCH(AN$1,Рекомы_Фама_Френч!$B$2:$B$28,0)),IF(ISERROR(MATCH(AN$1,Рекомы_Фама_Френч!$C$2:$C$28,0)),1,0),-1)</f>
        <v>1</v>
      </c>
      <c r="AO69">
        <f>IF(ISERROR(MATCH(AO$1,Рекомы_Фама_Френч!$B$2:$B$28,0)),IF(ISERROR(MATCH(AO$1,Рекомы_Фама_Френч!$C$2:$C$28,0)),1,0),-1)</f>
        <v>-1</v>
      </c>
      <c r="AP69">
        <f>IF(ISERROR(MATCH(AP$1,Рекомы_Фама_Френч!$B$2:$B$28,0)),IF(ISERROR(MATCH(AP$1,Рекомы_Фама_Френч!$C$2:$C$28,0)),1,0),-1)</f>
        <v>0</v>
      </c>
      <c r="AQ69">
        <f>IF(ISERROR(MATCH(AQ$1,Рекомы_Фама_Френч!$B$2:$B$28,0)),IF(ISERROR(MATCH(AQ$1,Рекомы_Фама_Френч!$C$2:$C$28,0)),1,0),-1)</f>
        <v>-1</v>
      </c>
      <c r="AR69">
        <f>IF(ISERROR(MATCH(AR$1,Рекомы_Фама_Френч!$B$2:$B$28,0)),IF(ISERROR(MATCH(AR$1,Рекомы_Фама_Френч!$C$2:$C$28,0)),1,0),-1)</f>
        <v>1</v>
      </c>
      <c r="AS69">
        <f>IF(ISERROR(MATCH(AS$1,Рекомы_Фама_Френч!$B$2:$B$28,0)),IF(ISERROR(MATCH(AS$1,Рекомы_Фама_Френч!$C$2:$C$28,0)),1,0),-1)</f>
        <v>1</v>
      </c>
      <c r="AT69">
        <f>IF(ISERROR(MATCH(AT$1,Рекомы_Фама_Френч!$B$2:$B$28,0)),IF(ISERROR(MATCH(AT$1,Рекомы_Фама_Френч!$C$2:$C$28,0)),1,0),-1)</f>
        <v>1</v>
      </c>
      <c r="AU69">
        <f>IF(ISERROR(MATCH(AU$1,Рекомы_Фама_Френч!$B$2:$B$28,0)),IF(ISERROR(MATCH(AU$1,Рекомы_Фама_Френч!$C$2:$C$28,0)),1,0),-1)</f>
        <v>-1</v>
      </c>
      <c r="AV69">
        <f>IF(ISERROR(MATCH(AV$1,Рекомы_Фама_Френч!$B$2:$B$28,0)),IF(ISERROR(MATCH(AV$1,Рекомы_Фама_Френч!$C$2:$C$28,0)),1,0),-1)</f>
        <v>0</v>
      </c>
    </row>
    <row r="70" spans="1:48" x14ac:dyDescent="0.2">
      <c r="A70" s="3" t="s">
        <v>56</v>
      </c>
      <c r="D70">
        <f>IF(ISERROR(MATCH(D$1,Рекомы_Лассо!$B$2:$B$27,0)),IF(ISERROR(MATCH(D$1,Рекомы_Лассо!$C$2:$C$27,0)),1,0),-1)</f>
        <v>1</v>
      </c>
      <c r="E70">
        <f>IF(ISERROR(MATCH(E$1,Рекомы_Лассо!$B$2:$B$27,0)),IF(ISERROR(MATCH(E$1,Рекомы_Лассо!$C$2:$C$27,0)),1,0),-1)</f>
        <v>1</v>
      </c>
      <c r="F70">
        <f>IF(ISERROR(MATCH(F$1,Рекомы_Лассо!$B$2:$B$27,0)),IF(ISERROR(MATCH(F$1,Рекомы_Лассо!$C$2:$C$27,0)),1,0),-1)</f>
        <v>-1</v>
      </c>
      <c r="G70">
        <f>IF(ISERROR(MATCH(G$1,Рекомы_Лассо!$B$2:$B$27,0)),IF(ISERROR(MATCH(G$1,Рекомы_Лассо!$C$2:$C$27,0)),1,0),-1)</f>
        <v>0</v>
      </c>
      <c r="H70">
        <f>IF(ISERROR(MATCH(H$1,Рекомы_Лассо!$B$2:$B$27,0)),IF(ISERROR(MATCH(H$1,Рекомы_Лассо!$C$2:$C$27,0)),1,0),-1)</f>
        <v>1</v>
      </c>
      <c r="I70">
        <f>IF(ISERROR(MATCH(I$1,Рекомы_Лассо!$B$2:$B$27,0)),IF(ISERROR(MATCH(I$1,Рекомы_Лассо!$C$2:$C$27,0)),1,0),-1)</f>
        <v>0</v>
      </c>
      <c r="J70">
        <f>IF(ISERROR(MATCH(J$1,Рекомы_Лассо!$B$2:$B$27,0)),IF(ISERROR(MATCH(J$1,Рекомы_Лассо!$C$2:$C$27,0)),1,0),-1)</f>
        <v>-1</v>
      </c>
      <c r="K70">
        <f>IF(ISERROR(MATCH(K$1,Рекомы_Лассо!$B$2:$B$27,0)),IF(ISERROR(MATCH(K$1,Рекомы_Лассо!$C$2:$C$27,0)),1,0),-1)</f>
        <v>-1</v>
      </c>
      <c r="L70">
        <f>IF(ISERROR(MATCH(L$1,Рекомы_Лассо!$B$2:$B$27,0)),IF(ISERROR(MATCH(L$1,Рекомы_Лассо!$C$2:$C$27,0)),1,0),-1)</f>
        <v>-1</v>
      </c>
      <c r="M70">
        <f>IF(ISERROR(MATCH(M$1,Рекомы_Лассо!$B$2:$B$27,0)),IF(ISERROR(MATCH(M$1,Рекомы_Лассо!$C$2:$C$27,0)),1,0),-1)</f>
        <v>1</v>
      </c>
      <c r="N70">
        <f>IF(ISERROR(MATCH(N$1,Рекомы_Лассо!$B$2:$B$27,0)),IF(ISERROR(MATCH(N$1,Рекомы_Лассо!$C$2:$C$27,0)),1,0),-1)</f>
        <v>1</v>
      </c>
      <c r="O70">
        <f>IF(ISERROR(MATCH(O$1,Рекомы_Лассо!$B$2:$B$27,0)),IF(ISERROR(MATCH(O$1,Рекомы_Лассо!$C$2:$C$27,0)),1,0),-1)</f>
        <v>1</v>
      </c>
      <c r="P70">
        <f>IF(ISERROR(MATCH(P$1,Рекомы_Лассо!$B$2:$B$27,0)),IF(ISERROR(MATCH(P$1,Рекомы_Лассо!$C$2:$C$27,0)),1,0),-1)</f>
        <v>-1</v>
      </c>
      <c r="Q70">
        <f>IF(ISERROR(MATCH(Q$1,Рекомы_Лассо!$B$2:$B$27,0)),IF(ISERROR(MATCH(Q$1,Рекомы_Лассо!$C$2:$C$27,0)),1,0),-1)</f>
        <v>1</v>
      </c>
      <c r="R70">
        <f>IF(ISERROR(MATCH(R$1,Рекомы_Лассо!$B$2:$B$27,0)),IF(ISERROR(MATCH(R$1,Рекомы_Лассо!$C$2:$C$27,0)),1,0),-1)</f>
        <v>-1</v>
      </c>
      <c r="S70">
        <f>IF(ISERROR(MATCH(S$1,Рекомы_Лассо!$B$2:$B$27,0)),IF(ISERROR(MATCH(S$1,Рекомы_Лассо!$C$2:$C$27,0)),1,0),-1)</f>
        <v>0</v>
      </c>
      <c r="T70">
        <f>IF(ISERROR(MATCH(T$1,Рекомы_Лассо!$B$2:$B$27,0)),IF(ISERROR(MATCH(T$1,Рекомы_Лассо!$C$2:$C$27,0)),1,0),-1)</f>
        <v>0</v>
      </c>
      <c r="U70">
        <f>IF(ISERROR(MATCH(U$1,Рекомы_Лассо!$B$2:$B$27,0)),IF(ISERROR(MATCH(U$1,Рекомы_Лассо!$C$2:$C$27,0)),1,0),-1)</f>
        <v>1</v>
      </c>
      <c r="V70">
        <f>IF(ISERROR(MATCH(V$1,Рекомы_Лассо!$B$2:$B$27,0)),IF(ISERROR(MATCH(V$1,Рекомы_Лассо!$C$2:$C$27,0)),1,0),-1)</f>
        <v>1</v>
      </c>
      <c r="W70">
        <f>IF(ISERROR(MATCH(W$1,Рекомы_Лассо!$B$2:$B$27,0)),IF(ISERROR(MATCH(W$1,Рекомы_Лассо!$C$2:$C$27,0)),1,0),-1)</f>
        <v>1</v>
      </c>
      <c r="X70">
        <f>IF(ISERROR(MATCH(X$1,Рекомы_Лассо!$B$2:$B$27,0)),IF(ISERROR(MATCH(X$1,Рекомы_Лассо!$C$2:$C$27,0)),1,0),-1)</f>
        <v>-1</v>
      </c>
      <c r="Y70">
        <f>IF(ISERROR(MATCH(Y$1,Рекомы_Лассо!$B$2:$B$27,0)),IF(ISERROR(MATCH(Y$1,Рекомы_Лассо!$C$2:$C$27,0)),1,0),-1)</f>
        <v>1</v>
      </c>
      <c r="Z70">
        <f>IF(ISERROR(MATCH(Z$1,Рекомы_Лассо!$B$2:$B$27,0)),IF(ISERROR(MATCH(Z$1,Рекомы_Лассо!$C$2:$C$27,0)),1,0),-1)</f>
        <v>1</v>
      </c>
      <c r="AA70">
        <f>IF(ISERROR(MATCH(AA$1,Рекомы_Лассо!$B$2:$B$27,0)),IF(ISERROR(MATCH(AA$1,Рекомы_Лассо!$C$2:$C$27,0)),1,0),-1)</f>
        <v>-1</v>
      </c>
      <c r="AB70">
        <f>IF(ISERROR(MATCH(AB$1,Рекомы_Лассо!$B$2:$B$27,0)),IF(ISERROR(MATCH(AB$1,Рекомы_Лассо!$C$2:$C$27,0)),1,0),-1)</f>
        <v>-1</v>
      </c>
      <c r="AC70">
        <f>IF(ISERROR(MATCH(AC$1,Рекомы_Лассо!$B$2:$B$27,0)),IF(ISERROR(MATCH(AC$1,Рекомы_Лассо!$C$2:$C$27,0)),1,0),-1)</f>
        <v>-1</v>
      </c>
      <c r="AD70">
        <f>IF(ISERROR(MATCH(AD$1,Рекомы_Лассо!$B$2:$B$27,0)),IF(ISERROR(MATCH(AD$1,Рекомы_Лассо!$C$2:$C$27,0)),1,0),-1)</f>
        <v>1</v>
      </c>
      <c r="AE70">
        <f>IF(ISERROR(MATCH(AE$1,Рекомы_Лассо!$B$2:$B$27,0)),IF(ISERROR(MATCH(AE$1,Рекомы_Лассо!$C$2:$C$27,0)),1,0),-1)</f>
        <v>-1</v>
      </c>
      <c r="AF70">
        <f>IF(ISERROR(MATCH(AF$1,Рекомы_Лассо!$B$2:$B$27,0)),IF(ISERROR(MATCH(AF$1,Рекомы_Лассо!$C$2:$C$27,0)),1,0),-1)</f>
        <v>-1</v>
      </c>
      <c r="AG70">
        <f>IF(ISERROR(MATCH(AG$1,Рекомы_Лассо!$B$2:$B$27,0)),IF(ISERROR(MATCH(AG$1,Рекомы_Лассо!$C$2:$C$27,0)),1,0),-1)</f>
        <v>1</v>
      </c>
      <c r="AH70">
        <f>IF(ISERROR(MATCH(AH$1,Рекомы_Лассо!$B$2:$B$27,0)),IF(ISERROR(MATCH(AH$1,Рекомы_Лассо!$C$2:$C$27,0)),1,0),-1)</f>
        <v>1</v>
      </c>
      <c r="AI70">
        <f>IF(ISERROR(MATCH(AI$1,Рекомы_Лассо!$B$2:$B$27,0)),IF(ISERROR(MATCH(AI$1,Рекомы_Лассо!$C$2:$C$27,0)),1,0),-1)</f>
        <v>1</v>
      </c>
      <c r="AJ70">
        <f>IF(ISERROR(MATCH(AJ$1,Рекомы_Лассо!$B$2:$B$27,0)),IF(ISERROR(MATCH(AJ$1,Рекомы_Лассо!$C$2:$C$27,0)),1,0),-1)</f>
        <v>-1</v>
      </c>
      <c r="AK70">
        <f>IF(ISERROR(MATCH(AK$1,Рекомы_Лассо!$B$2:$B$27,0)),IF(ISERROR(MATCH(AK$1,Рекомы_Лассо!$C$2:$C$27,0)),1,0),-1)</f>
        <v>1</v>
      </c>
      <c r="AL70">
        <f>IF(ISERROR(MATCH(AL$1,Рекомы_Лассо!$B$2:$B$27,0)),IF(ISERROR(MATCH(AL$1,Рекомы_Лассо!$C$2:$C$27,0)),1,0),-1)</f>
        <v>1</v>
      </c>
      <c r="AM70">
        <f>IF(ISERROR(MATCH(AM$1,Рекомы_Лассо!$B$2:$B$27,0)),IF(ISERROR(MATCH(AM$1,Рекомы_Лассо!$C$2:$C$27,0)),1,0),-1)</f>
        <v>1</v>
      </c>
      <c r="AN70">
        <f>IF(ISERROR(MATCH(AN$1,Рекомы_Лассо!$B$2:$B$27,0)),IF(ISERROR(MATCH(AN$1,Рекомы_Лассо!$C$2:$C$27,0)),1,0),-1)</f>
        <v>1</v>
      </c>
      <c r="AO70">
        <f>IF(ISERROR(MATCH(AO$1,Рекомы_Лассо!$B$2:$B$27,0)),IF(ISERROR(MATCH(AO$1,Рекомы_Лассо!$C$2:$C$27,0)),1,0),-1)</f>
        <v>-1</v>
      </c>
      <c r="AP70">
        <f>IF(ISERROR(MATCH(AP$1,Рекомы_Лассо!$B$2:$B$27,0)),IF(ISERROR(MATCH(AP$1,Рекомы_Лассо!$C$2:$C$27,0)),1,0),-1)</f>
        <v>1</v>
      </c>
      <c r="AQ70">
        <f>IF(ISERROR(MATCH(AQ$1,Рекомы_Лассо!$B$2:$B$27,0)),IF(ISERROR(MATCH(AQ$1,Рекомы_Лассо!$C$2:$C$27,0)),1,0),-1)</f>
        <v>-1</v>
      </c>
      <c r="AR70">
        <f>IF(ISERROR(MATCH(AR$1,Рекомы_Лассо!$B$2:$B$27,0)),IF(ISERROR(MATCH(AR$1,Рекомы_Лассо!$C$2:$C$27,0)),1,0),-1)</f>
        <v>1</v>
      </c>
      <c r="AS70">
        <f>IF(ISERROR(MATCH(AS$1,Рекомы_Лассо!$B$2:$B$27,0)),IF(ISERROR(MATCH(AS$1,Рекомы_Лассо!$C$2:$C$27,0)),1,0),-1)</f>
        <v>1</v>
      </c>
      <c r="AT70">
        <f>IF(ISERROR(MATCH(AT$1,Рекомы_Лассо!$B$2:$B$27,0)),IF(ISERROR(MATCH(AT$1,Рекомы_Лассо!$C$2:$C$27,0)),1,0),-1)</f>
        <v>1</v>
      </c>
      <c r="AU70">
        <f>IF(ISERROR(MATCH(AU$1,Рекомы_Лассо!$B$2:$B$27,0)),IF(ISERROR(MATCH(AU$1,Рекомы_Лассо!$C$2:$C$27,0)),1,0),-1)</f>
        <v>-1</v>
      </c>
      <c r="AV70">
        <f>IF(ISERROR(MATCH(AV$1,Рекомы_Лассо!$B$2:$B$27,0)),IF(ISERROR(MATCH(AV$1,Рекомы_Лассо!$C$2:$C$27,0)),1,0),-1)</f>
        <v>0</v>
      </c>
    </row>
    <row r="71" spans="1:48" x14ac:dyDescent="0.2">
      <c r="A71" s="3" t="s">
        <v>65</v>
      </c>
      <c r="D71">
        <f>cell_udf(D70,IF(Summary!$B$2="CAPM",D68,D69))</f>
        <v>9</v>
      </c>
      <c r="E71">
        <f>cell_udf(E70,IF(Summary!$B$2="CAPM",E68,E69))</f>
        <v>9</v>
      </c>
      <c r="F71">
        <f>cell_udf(F70,IF(Summary!$B$2="CAPM",F68,F69))</f>
        <v>1</v>
      </c>
      <c r="G71">
        <f>cell_udf(G70,IF(Summary!$B$2="CAPM",G68,G69))</f>
        <v>5</v>
      </c>
      <c r="H71">
        <f>cell_udf(H70,IF(Summary!$B$2="CAPM",H68,H69))</f>
        <v>9</v>
      </c>
      <c r="I71">
        <f>cell_udf(I70,IF(Summary!$B$2="CAPM",I68,I69))</f>
        <v>2</v>
      </c>
      <c r="J71">
        <f>cell_udf(J70,IF(Summary!$B$2="CAPM",J68,J69))</f>
        <v>1</v>
      </c>
      <c r="K71">
        <f>cell_udf(K70,IF(Summary!$B$2="CAPM",K68,K69))</f>
        <v>1</v>
      </c>
      <c r="L71">
        <f>cell_udf(L70,IF(Summary!$B$2="CAPM",L68,L69))</f>
        <v>1</v>
      </c>
      <c r="M71">
        <f>cell_udf(M70,IF(Summary!$B$2="CAPM",M68,M69))</f>
        <v>9</v>
      </c>
      <c r="N71">
        <f>cell_udf(N70,IF(Summary!$B$2="CAPM",N68,N69))</f>
        <v>3</v>
      </c>
      <c r="O71">
        <f>cell_udf(O70,IF(Summary!$B$2="CAPM",O68,O69))</f>
        <v>3</v>
      </c>
      <c r="P71">
        <f>cell_udf(P70,IF(Summary!$B$2="CAPM",P68,P69))</f>
        <v>1</v>
      </c>
      <c r="Q71">
        <f>cell_udf(Q70,IF(Summary!$B$2="CAPM",Q68,Q69))</f>
        <v>9</v>
      </c>
      <c r="R71">
        <f>cell_udf(R70,IF(Summary!$B$2="CAPM",R68,R69))</f>
        <v>1</v>
      </c>
      <c r="S71">
        <f>cell_udf(S70,IF(Summary!$B$2="CAPM",S68,S69))</f>
        <v>5</v>
      </c>
      <c r="T71">
        <f>cell_udf(T70,IF(Summary!$B$2="CAPM",T68,T69))</f>
        <v>5</v>
      </c>
      <c r="U71">
        <f>cell_udf(U70,IF(Summary!$B$2="CAPM",U68,U69))</f>
        <v>9</v>
      </c>
      <c r="V71">
        <f>cell_udf(V70,IF(Summary!$B$2="CAPM",V68,V69))</f>
        <v>9</v>
      </c>
      <c r="W71">
        <f>cell_udf(W70,IF(Summary!$B$2="CAPM",W68,W69))</f>
        <v>9</v>
      </c>
      <c r="X71">
        <f>cell_udf(X70,IF(Summary!$B$2="CAPM",X68,X69))</f>
        <v>1</v>
      </c>
      <c r="Y71">
        <f>cell_udf(Y70,IF(Summary!$B$2="CAPM",Y68,Y69))</f>
        <v>9</v>
      </c>
      <c r="Z71">
        <f>cell_udf(Z70,IF(Summary!$B$2="CAPM",Z68,Z69))</f>
        <v>9</v>
      </c>
      <c r="AA71">
        <f>cell_udf(AA70,IF(Summary!$B$2="CAPM",AA68,AA69))</f>
        <v>1</v>
      </c>
      <c r="AB71">
        <f>cell_udf(AB70,IF(Summary!$B$2="CAPM",AB68,AB69))</f>
        <v>1</v>
      </c>
      <c r="AC71">
        <f>cell_udf(AC70,IF(Summary!$B$2="CAPM",AC68,AC69))</f>
        <v>1</v>
      </c>
      <c r="AD71">
        <f>cell_udf(AD70,IF(Summary!$B$2="CAPM",AD68,AD69))</f>
        <v>9</v>
      </c>
      <c r="AE71">
        <f>cell_udf(AE70,IF(Summary!$B$2="CAPM",AE68,AE69))</f>
        <v>1</v>
      </c>
      <c r="AF71">
        <f>cell_udf(AF70,IF(Summary!$B$2="CAPM",AF68,AF69))</f>
        <v>1</v>
      </c>
      <c r="AG71">
        <f>cell_udf(AG70,IF(Summary!$B$2="CAPM",AG68,AG69))</f>
        <v>9</v>
      </c>
      <c r="AH71">
        <f>cell_udf(AH70,IF(Summary!$B$2="CAPM",AH68,AH69))</f>
        <v>9</v>
      </c>
      <c r="AI71">
        <f>cell_udf(AI70,IF(Summary!$B$2="CAPM",AI68,AI69))</f>
        <v>9</v>
      </c>
      <c r="AJ71">
        <f>cell_udf(AJ70,IF(Summary!$B$2="CAPM",AJ68,AJ69))</f>
        <v>1</v>
      </c>
      <c r="AK71">
        <f>cell_udf(AK70,IF(Summary!$B$2="CAPM",AK68,AK69))</f>
        <v>9</v>
      </c>
      <c r="AL71">
        <f>cell_udf(AL70,IF(Summary!$B$2="CAPM",AL68,AL69))</f>
        <v>9</v>
      </c>
      <c r="AM71">
        <f>cell_udf(AM70,IF(Summary!$B$2="CAPM",AM68,AM69))</f>
        <v>9</v>
      </c>
      <c r="AN71">
        <f>cell_udf(AN70,IF(Summary!$B$2="CAPM",AN68,AN69))</f>
        <v>9</v>
      </c>
      <c r="AO71">
        <f>cell_udf(AO70,IF(Summary!$B$2="CAPM",AO68,AO69))</f>
        <v>1</v>
      </c>
      <c r="AP71">
        <f>cell_udf(AP70,IF(Summary!$B$2="CAPM",AP68,AP69))</f>
        <v>6</v>
      </c>
      <c r="AQ71">
        <f>cell_udf(AQ70,IF(Summary!$B$2="CAPM",AQ68,AQ69))</f>
        <v>1</v>
      </c>
      <c r="AR71">
        <f>cell_udf(AR70,IF(Summary!$B$2="CAPM",AR68,AR69))</f>
        <v>9</v>
      </c>
      <c r="AS71">
        <f>cell_udf(AS70,IF(Summary!$B$2="CAPM",AS68,AS69))</f>
        <v>9</v>
      </c>
      <c r="AT71">
        <f>cell_udf(AT70,IF(Summary!$B$2="CAPM",AT68,AT69))</f>
        <v>9</v>
      </c>
      <c r="AU71">
        <f>cell_udf(AU70,IF(Summary!$B$2="CAPM",AU68,AU69))</f>
        <v>1</v>
      </c>
      <c r="AV71">
        <f>cell_udf(AV70,IF(Summary!$B$2="CAPM",AV68,AV69))</f>
        <v>5</v>
      </c>
    </row>
    <row r="72" spans="1:48" x14ac:dyDescent="0.2">
      <c r="D72" s="11">
        <f>(SUMIF(D71:AV71,9,D3:AV3)/COUNTIF(D71:AT71,1))</f>
        <v>-9.9036677629867568E-3</v>
      </c>
    </row>
    <row r="73" spans="1:48" x14ac:dyDescent="0.2">
      <c r="D73" s="12">
        <f>SUMIFS(D3:AV3,D71:AV71,1)</f>
        <v>8.4203243589274189E-3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0"/>
  <sheetViews>
    <sheetView workbookViewId="0">
      <selection activeCell="D28" sqref="D28"/>
    </sheetView>
  </sheetViews>
  <sheetFormatPr baseColWidth="10" defaultColWidth="8.83203125" defaultRowHeight="15" x14ac:dyDescent="0.2"/>
  <sheetData>
    <row r="1" spans="1:4" x14ac:dyDescent="0.2">
      <c r="B1" s="1" t="s">
        <v>51</v>
      </c>
      <c r="C1" s="1" t="s">
        <v>50</v>
      </c>
      <c r="D1" s="1" t="s">
        <v>49</v>
      </c>
    </row>
    <row r="2" spans="1:4" x14ac:dyDescent="0.2">
      <c r="A2" s="1">
        <v>0</v>
      </c>
      <c r="B2" t="s">
        <v>2</v>
      </c>
      <c r="C2" t="s">
        <v>3</v>
      </c>
      <c r="D2" t="s">
        <v>0</v>
      </c>
    </row>
    <row r="3" spans="1:4" x14ac:dyDescent="0.2">
      <c r="A3" s="1">
        <v>1</v>
      </c>
      <c r="B3" t="s">
        <v>5</v>
      </c>
      <c r="C3" t="s">
        <v>16</v>
      </c>
      <c r="D3" t="s">
        <v>1</v>
      </c>
    </row>
    <row r="4" spans="1:4" x14ac:dyDescent="0.2">
      <c r="A4" s="1">
        <v>2</v>
      </c>
      <c r="B4" t="s">
        <v>7</v>
      </c>
      <c r="C4" t="s">
        <v>17</v>
      </c>
      <c r="D4" t="s">
        <v>4</v>
      </c>
    </row>
    <row r="5" spans="1:4" x14ac:dyDescent="0.2">
      <c r="A5" s="1">
        <v>3</v>
      </c>
      <c r="B5" t="s">
        <v>8</v>
      </c>
      <c r="C5" t="s">
        <v>40</v>
      </c>
      <c r="D5" t="s">
        <v>10</v>
      </c>
    </row>
    <row r="6" spans="1:4" x14ac:dyDescent="0.2">
      <c r="A6" s="1">
        <v>4</v>
      </c>
      <c r="B6" t="s">
        <v>9</v>
      </c>
      <c r="C6" t="s">
        <v>47</v>
      </c>
      <c r="D6" t="s">
        <v>14</v>
      </c>
    </row>
    <row r="7" spans="1:4" x14ac:dyDescent="0.2">
      <c r="A7" s="1">
        <v>5</v>
      </c>
      <c r="B7" t="s">
        <v>11</v>
      </c>
      <c r="D7" t="s">
        <v>18</v>
      </c>
    </row>
    <row r="8" spans="1:4" x14ac:dyDescent="0.2">
      <c r="A8" s="1">
        <v>6</v>
      </c>
      <c r="B8" t="s">
        <v>12</v>
      </c>
      <c r="D8" t="s">
        <v>19</v>
      </c>
    </row>
    <row r="9" spans="1:4" x14ac:dyDescent="0.2">
      <c r="A9" s="1">
        <v>7</v>
      </c>
      <c r="B9" t="s">
        <v>13</v>
      </c>
      <c r="D9" t="s">
        <v>20</v>
      </c>
    </row>
    <row r="10" spans="1:4" x14ac:dyDescent="0.2">
      <c r="A10" s="1">
        <v>8</v>
      </c>
      <c r="B10" t="s">
        <v>15</v>
      </c>
      <c r="D10" t="s">
        <v>22</v>
      </c>
    </row>
    <row r="11" spans="1:4" x14ac:dyDescent="0.2">
      <c r="A11" s="1">
        <v>9</v>
      </c>
      <c r="B11" t="s">
        <v>21</v>
      </c>
      <c r="D11" t="s">
        <v>23</v>
      </c>
    </row>
    <row r="12" spans="1:4" x14ac:dyDescent="0.2">
      <c r="A12" s="1">
        <v>10</v>
      </c>
      <c r="B12" t="s">
        <v>24</v>
      </c>
      <c r="D12" t="s">
        <v>28</v>
      </c>
    </row>
    <row r="13" spans="1:4" x14ac:dyDescent="0.2">
      <c r="A13" s="1">
        <v>11</v>
      </c>
      <c r="B13" t="s">
        <v>25</v>
      </c>
      <c r="D13" t="s">
        <v>31</v>
      </c>
    </row>
    <row r="14" spans="1:4" x14ac:dyDescent="0.2">
      <c r="A14" s="1">
        <v>12</v>
      </c>
      <c r="B14" t="s">
        <v>27</v>
      </c>
      <c r="D14" t="s">
        <v>32</v>
      </c>
    </row>
    <row r="15" spans="1:4" x14ac:dyDescent="0.2">
      <c r="A15" s="1">
        <v>13</v>
      </c>
      <c r="B15" t="s">
        <v>29</v>
      </c>
      <c r="D15" t="s">
        <v>33</v>
      </c>
    </row>
    <row r="16" spans="1:4" x14ac:dyDescent="0.2">
      <c r="A16" s="1">
        <v>14</v>
      </c>
      <c r="B16" t="s">
        <v>30</v>
      </c>
      <c r="D16" t="s">
        <v>35</v>
      </c>
    </row>
    <row r="17" spans="1:4" x14ac:dyDescent="0.2">
      <c r="A17" s="1">
        <v>15</v>
      </c>
      <c r="B17" t="s">
        <v>34</v>
      </c>
      <c r="D17" t="s">
        <v>36</v>
      </c>
    </row>
    <row r="18" spans="1:4" x14ac:dyDescent="0.2">
      <c r="A18" s="1">
        <v>16</v>
      </c>
      <c r="B18" t="s">
        <v>39</v>
      </c>
      <c r="D18" t="s">
        <v>37</v>
      </c>
    </row>
    <row r="19" spans="1:4" x14ac:dyDescent="0.2">
      <c r="A19" s="1">
        <v>17</v>
      </c>
      <c r="B19" t="s">
        <v>41</v>
      </c>
      <c r="D19" t="s">
        <v>38</v>
      </c>
    </row>
    <row r="20" spans="1:4" x14ac:dyDescent="0.2">
      <c r="A20" s="1">
        <v>18</v>
      </c>
      <c r="B20" t="s">
        <v>46</v>
      </c>
      <c r="D20" t="s">
        <v>42</v>
      </c>
    </row>
    <row r="21" spans="1:4" x14ac:dyDescent="0.2">
      <c r="A21" s="1">
        <v>19</v>
      </c>
      <c r="D21" t="s">
        <v>44</v>
      </c>
    </row>
    <row r="22" spans="1:4" x14ac:dyDescent="0.2">
      <c r="A22" s="1">
        <v>20</v>
      </c>
      <c r="D22" t="s">
        <v>45</v>
      </c>
    </row>
    <row r="23" spans="1:4" x14ac:dyDescent="0.2">
      <c r="A23" s="1">
        <v>21</v>
      </c>
    </row>
    <row r="24" spans="1:4" x14ac:dyDescent="0.2">
      <c r="A24" s="1">
        <v>22</v>
      </c>
    </row>
    <row r="25" spans="1:4" x14ac:dyDescent="0.2">
      <c r="A25" s="1">
        <v>23</v>
      </c>
    </row>
    <row r="26" spans="1:4" x14ac:dyDescent="0.2">
      <c r="A26" s="1">
        <v>24</v>
      </c>
    </row>
    <row r="27" spans="1:4" x14ac:dyDescent="0.2">
      <c r="A27" s="1">
        <v>25</v>
      </c>
    </row>
    <row r="28" spans="1:4" x14ac:dyDescent="0.2">
      <c r="A28" s="1">
        <v>26</v>
      </c>
    </row>
    <row r="29" spans="1:4" x14ac:dyDescent="0.2">
      <c r="A29" s="1">
        <v>27</v>
      </c>
    </row>
    <row r="30" spans="1:4" x14ac:dyDescent="0.2">
      <c r="A30" s="1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30"/>
  <sheetViews>
    <sheetView workbookViewId="0">
      <selection activeCell="F24" sqref="F24"/>
    </sheetView>
  </sheetViews>
  <sheetFormatPr baseColWidth="10" defaultColWidth="8.83203125" defaultRowHeight="15" x14ac:dyDescent="0.2"/>
  <sheetData>
    <row r="1" spans="1:4" x14ac:dyDescent="0.2">
      <c r="B1" s="1" t="s">
        <v>51</v>
      </c>
      <c r="C1" s="1" t="s">
        <v>50</v>
      </c>
      <c r="D1" s="1" t="s">
        <v>49</v>
      </c>
    </row>
    <row r="2" spans="1:4" x14ac:dyDescent="0.2">
      <c r="A2" s="1">
        <v>0</v>
      </c>
      <c r="B2" t="s">
        <v>2</v>
      </c>
      <c r="C2" t="s">
        <v>3</v>
      </c>
      <c r="D2" t="s">
        <v>0</v>
      </c>
    </row>
    <row r="3" spans="1:4" x14ac:dyDescent="0.2">
      <c r="A3" s="1">
        <v>1</v>
      </c>
      <c r="B3" t="s">
        <v>5</v>
      </c>
      <c r="C3" t="s">
        <v>12</v>
      </c>
      <c r="D3" t="s">
        <v>1</v>
      </c>
    </row>
    <row r="4" spans="1:4" x14ac:dyDescent="0.2">
      <c r="A4" s="1">
        <v>2</v>
      </c>
      <c r="B4" t="s">
        <v>7</v>
      </c>
      <c r="C4" t="s">
        <v>16</v>
      </c>
      <c r="D4" t="s">
        <v>4</v>
      </c>
    </row>
    <row r="5" spans="1:4" x14ac:dyDescent="0.2">
      <c r="A5" s="1">
        <v>3</v>
      </c>
      <c r="B5" t="s">
        <v>8</v>
      </c>
      <c r="C5" t="s">
        <v>17</v>
      </c>
      <c r="D5" t="s">
        <v>10</v>
      </c>
    </row>
    <row r="6" spans="1:4" x14ac:dyDescent="0.2">
      <c r="A6" s="1">
        <v>4</v>
      </c>
      <c r="B6" t="s">
        <v>9</v>
      </c>
      <c r="C6" t="s">
        <v>40</v>
      </c>
      <c r="D6" t="s">
        <v>14</v>
      </c>
    </row>
    <row r="7" spans="1:4" x14ac:dyDescent="0.2">
      <c r="A7" s="1">
        <v>5</v>
      </c>
      <c r="B7" t="s">
        <v>11</v>
      </c>
      <c r="C7" t="s">
        <v>47</v>
      </c>
      <c r="D7" t="s">
        <v>18</v>
      </c>
    </row>
    <row r="8" spans="1:4" x14ac:dyDescent="0.2">
      <c r="A8" s="1">
        <v>6</v>
      </c>
      <c r="B8" t="s">
        <v>13</v>
      </c>
      <c r="D8" t="s">
        <v>19</v>
      </c>
    </row>
    <row r="9" spans="1:4" x14ac:dyDescent="0.2">
      <c r="A9" s="1">
        <v>7</v>
      </c>
      <c r="B9" t="s">
        <v>15</v>
      </c>
      <c r="D9" t="s">
        <v>20</v>
      </c>
    </row>
    <row r="10" spans="1:4" x14ac:dyDescent="0.2">
      <c r="A10" s="1">
        <v>8</v>
      </c>
      <c r="B10" t="s">
        <v>21</v>
      </c>
      <c r="D10" t="s">
        <v>22</v>
      </c>
    </row>
    <row r="11" spans="1:4" x14ac:dyDescent="0.2">
      <c r="A11" s="1">
        <v>9</v>
      </c>
      <c r="B11" t="s">
        <v>24</v>
      </c>
      <c r="D11" t="s">
        <v>23</v>
      </c>
    </row>
    <row r="12" spans="1:4" x14ac:dyDescent="0.2">
      <c r="A12" s="1">
        <v>10</v>
      </c>
      <c r="B12" t="s">
        <v>25</v>
      </c>
      <c r="D12" t="s">
        <v>28</v>
      </c>
    </row>
    <row r="13" spans="1:4" x14ac:dyDescent="0.2">
      <c r="A13" s="1">
        <v>11</v>
      </c>
      <c r="B13" t="s">
        <v>27</v>
      </c>
      <c r="D13" t="s">
        <v>31</v>
      </c>
    </row>
    <row r="14" spans="1:4" x14ac:dyDescent="0.2">
      <c r="A14" s="1">
        <v>12</v>
      </c>
      <c r="B14" t="s">
        <v>29</v>
      </c>
      <c r="D14" t="s">
        <v>32</v>
      </c>
    </row>
    <row r="15" spans="1:4" x14ac:dyDescent="0.2">
      <c r="A15" s="1">
        <v>13</v>
      </c>
      <c r="B15" t="s">
        <v>30</v>
      </c>
      <c r="D15" t="s">
        <v>33</v>
      </c>
    </row>
    <row r="16" spans="1:4" x14ac:dyDescent="0.2">
      <c r="A16" s="1">
        <v>14</v>
      </c>
      <c r="B16" t="s">
        <v>34</v>
      </c>
      <c r="D16" t="s">
        <v>35</v>
      </c>
    </row>
    <row r="17" spans="1:4" x14ac:dyDescent="0.2">
      <c r="A17" s="1">
        <v>15</v>
      </c>
      <c r="B17" t="s">
        <v>39</v>
      </c>
      <c r="D17" t="s">
        <v>36</v>
      </c>
    </row>
    <row r="18" spans="1:4" x14ac:dyDescent="0.2">
      <c r="A18" s="1">
        <v>16</v>
      </c>
      <c r="B18" t="s">
        <v>41</v>
      </c>
      <c r="D18" t="s">
        <v>37</v>
      </c>
    </row>
    <row r="19" spans="1:4" x14ac:dyDescent="0.2">
      <c r="A19" s="1">
        <v>17</v>
      </c>
      <c r="B19" t="s">
        <v>46</v>
      </c>
      <c r="D19" t="s">
        <v>38</v>
      </c>
    </row>
    <row r="20" spans="1:4" x14ac:dyDescent="0.2">
      <c r="A20" s="1">
        <v>18</v>
      </c>
      <c r="D20" t="s">
        <v>42</v>
      </c>
    </row>
    <row r="21" spans="1:4" x14ac:dyDescent="0.2">
      <c r="A21" s="1">
        <v>19</v>
      </c>
      <c r="D21" t="s">
        <v>44</v>
      </c>
    </row>
    <row r="22" spans="1:4" x14ac:dyDescent="0.2">
      <c r="A22" s="1">
        <v>20</v>
      </c>
      <c r="D22" t="s">
        <v>45</v>
      </c>
    </row>
    <row r="23" spans="1:4" x14ac:dyDescent="0.2">
      <c r="A23" s="1">
        <v>21</v>
      </c>
    </row>
    <row r="24" spans="1:4" x14ac:dyDescent="0.2">
      <c r="A24" s="1">
        <v>22</v>
      </c>
    </row>
    <row r="25" spans="1:4" x14ac:dyDescent="0.2">
      <c r="A25" s="1">
        <v>23</v>
      </c>
    </row>
    <row r="26" spans="1:4" x14ac:dyDescent="0.2">
      <c r="A26" s="1">
        <v>24</v>
      </c>
    </row>
    <row r="27" spans="1:4" x14ac:dyDescent="0.2">
      <c r="A27" s="1">
        <v>25</v>
      </c>
    </row>
    <row r="28" spans="1:4" x14ac:dyDescent="0.2">
      <c r="A28" s="1">
        <v>26</v>
      </c>
    </row>
    <row r="29" spans="1:4" x14ac:dyDescent="0.2">
      <c r="A29" s="1">
        <v>27</v>
      </c>
    </row>
    <row r="30" spans="1:4" x14ac:dyDescent="0.2">
      <c r="A30" s="1">
        <v>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8"/>
  <sheetViews>
    <sheetView workbookViewId="0">
      <selection activeCell="F30" sqref="F30"/>
    </sheetView>
  </sheetViews>
  <sheetFormatPr baseColWidth="10" defaultColWidth="8.83203125" defaultRowHeight="15" x14ac:dyDescent="0.2"/>
  <sheetData>
    <row r="1" spans="1:4" x14ac:dyDescent="0.2">
      <c r="B1" s="1" t="s">
        <v>51</v>
      </c>
      <c r="C1" s="1" t="s">
        <v>50</v>
      </c>
      <c r="D1" s="1" t="s">
        <v>49</v>
      </c>
    </row>
    <row r="2" spans="1:4" x14ac:dyDescent="0.2">
      <c r="A2" s="1">
        <v>0</v>
      </c>
      <c r="B2" t="s">
        <v>2</v>
      </c>
      <c r="C2" t="s">
        <v>3</v>
      </c>
      <c r="D2" t="s">
        <v>0</v>
      </c>
    </row>
    <row r="3" spans="1:4" x14ac:dyDescent="0.2">
      <c r="A3" s="1">
        <v>1</v>
      </c>
      <c r="B3" t="s">
        <v>7</v>
      </c>
      <c r="C3" t="s">
        <v>5</v>
      </c>
      <c r="D3" t="s">
        <v>1</v>
      </c>
    </row>
    <row r="4" spans="1:4" x14ac:dyDescent="0.2">
      <c r="A4" s="1">
        <v>2</v>
      </c>
      <c r="B4" t="s">
        <v>8</v>
      </c>
      <c r="C4" t="s">
        <v>16</v>
      </c>
      <c r="D4" t="s">
        <v>4</v>
      </c>
    </row>
    <row r="5" spans="1:4" x14ac:dyDescent="0.2">
      <c r="A5" s="1">
        <v>3</v>
      </c>
      <c r="B5" t="s">
        <v>9</v>
      </c>
      <c r="C5" t="s">
        <v>17</v>
      </c>
      <c r="D5" t="s">
        <v>10</v>
      </c>
    </row>
    <row r="6" spans="1:4" x14ac:dyDescent="0.2">
      <c r="A6" s="1">
        <v>4</v>
      </c>
      <c r="B6" t="s">
        <v>13</v>
      </c>
      <c r="C6" t="s">
        <v>47</v>
      </c>
      <c r="D6" t="s">
        <v>11</v>
      </c>
    </row>
    <row r="7" spans="1:4" x14ac:dyDescent="0.2">
      <c r="A7" s="1">
        <v>5</v>
      </c>
      <c r="B7" t="s">
        <v>15</v>
      </c>
      <c r="D7" t="s">
        <v>12</v>
      </c>
    </row>
    <row r="8" spans="1:4" x14ac:dyDescent="0.2">
      <c r="A8" s="1">
        <v>6</v>
      </c>
      <c r="B8" t="s">
        <v>21</v>
      </c>
      <c r="D8" t="s">
        <v>14</v>
      </c>
    </row>
    <row r="9" spans="1:4" x14ac:dyDescent="0.2">
      <c r="A9" s="1">
        <v>7</v>
      </c>
      <c r="B9" t="s">
        <v>24</v>
      </c>
      <c r="D9" t="s">
        <v>18</v>
      </c>
    </row>
    <row r="10" spans="1:4" x14ac:dyDescent="0.2">
      <c r="A10" s="1">
        <v>8</v>
      </c>
      <c r="B10" t="s">
        <v>25</v>
      </c>
      <c r="D10" t="s">
        <v>19</v>
      </c>
    </row>
    <row r="11" spans="1:4" x14ac:dyDescent="0.2">
      <c r="A11" s="1">
        <v>9</v>
      </c>
      <c r="B11" t="s">
        <v>27</v>
      </c>
      <c r="D11" t="s">
        <v>20</v>
      </c>
    </row>
    <row r="12" spans="1:4" x14ac:dyDescent="0.2">
      <c r="A12" s="1">
        <v>10</v>
      </c>
      <c r="B12" t="s">
        <v>29</v>
      </c>
      <c r="D12" t="s">
        <v>22</v>
      </c>
    </row>
    <row r="13" spans="1:4" x14ac:dyDescent="0.2">
      <c r="A13" s="1">
        <v>11</v>
      </c>
      <c r="B13" t="s">
        <v>30</v>
      </c>
      <c r="D13" t="s">
        <v>23</v>
      </c>
    </row>
    <row r="14" spans="1:4" x14ac:dyDescent="0.2">
      <c r="A14" s="1">
        <v>12</v>
      </c>
      <c r="B14" t="s">
        <v>34</v>
      </c>
      <c r="D14" t="s">
        <v>28</v>
      </c>
    </row>
    <row r="15" spans="1:4" x14ac:dyDescent="0.2">
      <c r="A15" s="1">
        <v>13</v>
      </c>
      <c r="B15" t="s">
        <v>39</v>
      </c>
      <c r="D15" t="s">
        <v>31</v>
      </c>
    </row>
    <row r="16" spans="1:4" x14ac:dyDescent="0.2">
      <c r="A16" s="1">
        <v>14</v>
      </c>
      <c r="B16" t="s">
        <v>41</v>
      </c>
      <c r="D16" t="s">
        <v>32</v>
      </c>
    </row>
    <row r="17" spans="1:4" x14ac:dyDescent="0.2">
      <c r="A17" s="1">
        <v>15</v>
      </c>
      <c r="B17" t="s">
        <v>46</v>
      </c>
      <c r="D17" t="s">
        <v>33</v>
      </c>
    </row>
    <row r="18" spans="1:4" x14ac:dyDescent="0.2">
      <c r="A18" s="1">
        <v>16</v>
      </c>
      <c r="D18" t="s">
        <v>35</v>
      </c>
    </row>
    <row r="19" spans="1:4" x14ac:dyDescent="0.2">
      <c r="A19" s="1">
        <v>17</v>
      </c>
      <c r="D19" t="s">
        <v>36</v>
      </c>
    </row>
    <row r="20" spans="1:4" x14ac:dyDescent="0.2">
      <c r="A20" s="1">
        <v>18</v>
      </c>
      <c r="D20" t="s">
        <v>37</v>
      </c>
    </row>
    <row r="21" spans="1:4" x14ac:dyDescent="0.2">
      <c r="A21" s="1">
        <v>19</v>
      </c>
      <c r="D21" t="s">
        <v>38</v>
      </c>
    </row>
    <row r="22" spans="1:4" x14ac:dyDescent="0.2">
      <c r="A22" s="1">
        <v>20</v>
      </c>
      <c r="D22" t="s">
        <v>40</v>
      </c>
    </row>
    <row r="23" spans="1:4" x14ac:dyDescent="0.2">
      <c r="A23" s="1">
        <v>21</v>
      </c>
      <c r="D23" t="s">
        <v>42</v>
      </c>
    </row>
    <row r="24" spans="1:4" x14ac:dyDescent="0.2">
      <c r="A24" s="1">
        <v>22</v>
      </c>
      <c r="D24" t="s">
        <v>44</v>
      </c>
    </row>
    <row r="25" spans="1:4" x14ac:dyDescent="0.2">
      <c r="A25" s="1">
        <v>23</v>
      </c>
      <c r="D25" t="s">
        <v>45</v>
      </c>
    </row>
    <row r="26" spans="1:4" x14ac:dyDescent="0.2">
      <c r="A26" s="1">
        <v>24</v>
      </c>
    </row>
    <row r="27" spans="1:4" x14ac:dyDescent="0.2">
      <c r="A27" s="1">
        <v>25</v>
      </c>
    </row>
    <row r="28" spans="1:4" x14ac:dyDescent="0.2">
      <c r="A28" s="1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Summary</vt:lpstr>
      <vt:lpstr>Цены</vt:lpstr>
      <vt:lpstr>Доходности</vt:lpstr>
      <vt:lpstr>Рекомы_CAPM</vt:lpstr>
      <vt:lpstr>Рекомы_Фама_Френч</vt:lpstr>
      <vt:lpstr>Рекомы_Лассо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alise</dc:creator>
  <cp:lastModifiedBy>14170114 Петраков Сергей Денисович</cp:lastModifiedBy>
  <dcterms:created xsi:type="dcterms:W3CDTF">2021-05-02T15:47:38Z</dcterms:created>
  <dcterms:modified xsi:type="dcterms:W3CDTF">2021-05-06T18:42:28Z</dcterms:modified>
</cp:coreProperties>
</file>