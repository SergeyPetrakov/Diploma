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11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ergeypetrakov/Documents/Documents/Диплом /ВКР/Diploma/"/>
    </mc:Choice>
  </mc:AlternateContent>
  <xr:revisionPtr revIDLastSave="0" documentId="13_ncr:1_{07151DA8-62E2-A346-AA9B-40C8CD4ABBC4}" xr6:coauthVersionLast="46" xr6:coauthVersionMax="46" xr10:uidLastSave="{00000000-0000-0000-0000-000000000000}"/>
  <bookViews>
    <workbookView xWindow="23260" yWindow="960" windowWidth="11800" windowHeight="17900" xr2:uid="{00000000-000D-0000-FFFF-FFFF00000000}"/>
  </bookViews>
  <sheets>
    <sheet name="Summary" sheetId="6" r:id="rId1"/>
    <sheet name="Цены" sheetId="1" r:id="rId2"/>
    <sheet name="Доходности" sheetId="5" r:id="rId3"/>
    <sheet name="Рекомы_CAPM" sheetId="2" r:id="rId4"/>
    <sheet name="Рекомы_Фама_Френч" sheetId="3" r:id="rId5"/>
    <sheet name="Рекомы_Лассо" sheetId="4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6" l="1"/>
  <c r="AX87" i="5"/>
  <c r="AY87" i="5"/>
  <c r="AX88" i="5"/>
  <c r="AY88" i="5"/>
  <c r="AX89" i="5"/>
  <c r="AY89" i="5"/>
  <c r="AW3" i="5"/>
  <c r="AX3" i="5"/>
  <c r="AY3" i="5"/>
  <c r="AW4" i="5"/>
  <c r="AX4" i="5"/>
  <c r="AY4" i="5"/>
  <c r="AW5" i="5"/>
  <c r="AX5" i="5"/>
  <c r="AY5" i="5"/>
  <c r="AW6" i="5"/>
  <c r="AX6" i="5"/>
  <c r="AY6" i="5"/>
  <c r="AW7" i="5"/>
  <c r="AX7" i="5"/>
  <c r="AY7" i="5"/>
  <c r="AW8" i="5"/>
  <c r="AX8" i="5"/>
  <c r="AY8" i="5"/>
  <c r="AW9" i="5"/>
  <c r="AX9" i="5"/>
  <c r="AY9" i="5"/>
  <c r="AW10" i="5"/>
  <c r="AX10" i="5"/>
  <c r="AY10" i="5"/>
  <c r="AW11" i="5"/>
  <c r="AX11" i="5"/>
  <c r="AY11" i="5"/>
  <c r="AW12" i="5"/>
  <c r="AX12" i="5"/>
  <c r="AY12" i="5"/>
  <c r="AW13" i="5"/>
  <c r="AX13" i="5"/>
  <c r="AY13" i="5"/>
  <c r="AW14" i="5"/>
  <c r="AX14" i="5"/>
  <c r="AY14" i="5"/>
  <c r="AW15" i="5"/>
  <c r="AX15" i="5"/>
  <c r="AY15" i="5"/>
  <c r="AW16" i="5"/>
  <c r="AX16" i="5"/>
  <c r="AY16" i="5"/>
  <c r="AW17" i="5"/>
  <c r="AX17" i="5"/>
  <c r="AY17" i="5"/>
  <c r="AW18" i="5"/>
  <c r="AX18" i="5"/>
  <c r="AY18" i="5"/>
  <c r="AW19" i="5"/>
  <c r="AX19" i="5"/>
  <c r="AY19" i="5"/>
  <c r="AW20" i="5"/>
  <c r="AX20" i="5"/>
  <c r="AY20" i="5"/>
  <c r="AW21" i="5"/>
  <c r="AX21" i="5"/>
  <c r="AY21" i="5"/>
  <c r="AW22" i="5"/>
  <c r="AX22" i="5"/>
  <c r="AY22" i="5"/>
  <c r="AW23" i="5"/>
  <c r="AX23" i="5"/>
  <c r="AY23" i="5"/>
  <c r="AW24" i="5"/>
  <c r="AX24" i="5"/>
  <c r="AY24" i="5"/>
  <c r="AW25" i="5"/>
  <c r="AX25" i="5"/>
  <c r="AY25" i="5"/>
  <c r="AW26" i="5"/>
  <c r="AX26" i="5"/>
  <c r="AY26" i="5"/>
  <c r="AW27" i="5"/>
  <c r="AX27" i="5"/>
  <c r="AY27" i="5"/>
  <c r="AW28" i="5"/>
  <c r="AX28" i="5"/>
  <c r="AY28" i="5"/>
  <c r="AW29" i="5"/>
  <c r="AX29" i="5"/>
  <c r="AY29" i="5"/>
  <c r="AW30" i="5"/>
  <c r="AX30" i="5"/>
  <c r="AY30" i="5"/>
  <c r="AW31" i="5"/>
  <c r="AX31" i="5"/>
  <c r="AY31" i="5"/>
  <c r="AW32" i="5"/>
  <c r="AX32" i="5"/>
  <c r="AY32" i="5"/>
  <c r="AW33" i="5"/>
  <c r="AX33" i="5"/>
  <c r="AY33" i="5"/>
  <c r="AW34" i="5"/>
  <c r="AX34" i="5"/>
  <c r="AY34" i="5"/>
  <c r="AW35" i="5"/>
  <c r="AX35" i="5"/>
  <c r="AY35" i="5"/>
  <c r="AW36" i="5"/>
  <c r="AX36" i="5"/>
  <c r="AY36" i="5"/>
  <c r="AW37" i="5"/>
  <c r="AX37" i="5"/>
  <c r="AY37" i="5"/>
  <c r="AW38" i="5"/>
  <c r="AX38" i="5"/>
  <c r="AY38" i="5"/>
  <c r="AW39" i="5"/>
  <c r="AX39" i="5"/>
  <c r="AY39" i="5"/>
  <c r="AW40" i="5"/>
  <c r="AX40" i="5"/>
  <c r="AY40" i="5"/>
  <c r="AW41" i="5"/>
  <c r="AX41" i="5"/>
  <c r="AY41" i="5"/>
  <c r="AW42" i="5"/>
  <c r="AX42" i="5"/>
  <c r="AY42" i="5"/>
  <c r="AW43" i="5"/>
  <c r="AX43" i="5"/>
  <c r="AY43" i="5"/>
  <c r="AW44" i="5"/>
  <c r="AX44" i="5"/>
  <c r="AY44" i="5"/>
  <c r="AW45" i="5"/>
  <c r="AX45" i="5"/>
  <c r="AY45" i="5"/>
  <c r="AW46" i="5"/>
  <c r="AX46" i="5"/>
  <c r="AY46" i="5"/>
  <c r="AW47" i="5"/>
  <c r="AX47" i="5"/>
  <c r="AY47" i="5"/>
  <c r="AW48" i="5"/>
  <c r="AX48" i="5"/>
  <c r="AY48" i="5"/>
  <c r="AW49" i="5"/>
  <c r="AX49" i="5"/>
  <c r="AY49" i="5"/>
  <c r="AW50" i="5"/>
  <c r="AX50" i="5"/>
  <c r="AY50" i="5"/>
  <c r="AW51" i="5"/>
  <c r="AX51" i="5"/>
  <c r="AY51" i="5"/>
  <c r="AW52" i="5"/>
  <c r="AX52" i="5"/>
  <c r="AY52" i="5"/>
  <c r="AW53" i="5"/>
  <c r="AX53" i="5"/>
  <c r="AY53" i="5"/>
  <c r="AW54" i="5"/>
  <c r="AX54" i="5"/>
  <c r="AY54" i="5"/>
  <c r="AW55" i="5"/>
  <c r="AX55" i="5"/>
  <c r="AY55" i="5"/>
  <c r="AW56" i="5"/>
  <c r="AX56" i="5"/>
  <c r="AY56" i="5"/>
  <c r="AW57" i="5"/>
  <c r="AX57" i="5"/>
  <c r="AY57" i="5"/>
  <c r="AW58" i="5"/>
  <c r="AX58" i="5"/>
  <c r="AY58" i="5"/>
  <c r="AW59" i="5"/>
  <c r="AX59" i="5"/>
  <c r="AY59" i="5"/>
  <c r="AW60" i="5"/>
  <c r="AX60" i="5"/>
  <c r="AY60" i="5"/>
  <c r="AW61" i="5"/>
  <c r="AX61" i="5"/>
  <c r="AY61" i="5"/>
  <c r="AW62" i="5"/>
  <c r="AX62" i="5"/>
  <c r="AY62" i="5"/>
  <c r="AW63" i="5"/>
  <c r="AX63" i="5"/>
  <c r="AY63" i="5"/>
  <c r="AW64" i="5"/>
  <c r="AX64" i="5"/>
  <c r="AY64" i="5"/>
  <c r="AW65" i="5"/>
  <c r="AX65" i="5"/>
  <c r="AY65" i="5"/>
  <c r="AW66" i="5"/>
  <c r="AX66" i="5"/>
  <c r="AY66" i="5"/>
  <c r="AW67" i="5"/>
  <c r="AX67" i="5"/>
  <c r="AY67" i="5"/>
  <c r="AW68" i="5"/>
  <c r="AX68" i="5"/>
  <c r="AY68" i="5"/>
  <c r="AW69" i="5"/>
  <c r="AX69" i="5"/>
  <c r="AY69" i="5"/>
  <c r="AW70" i="5"/>
  <c r="AX70" i="5"/>
  <c r="AY70" i="5"/>
  <c r="AW71" i="5"/>
  <c r="AX71" i="5"/>
  <c r="AY71" i="5"/>
  <c r="AW72" i="5"/>
  <c r="AX72" i="5"/>
  <c r="AY72" i="5"/>
  <c r="AW73" i="5"/>
  <c r="AX73" i="5"/>
  <c r="AY73" i="5"/>
  <c r="AW74" i="5"/>
  <c r="AX74" i="5"/>
  <c r="AY74" i="5"/>
  <c r="AW75" i="5"/>
  <c r="AX75" i="5"/>
  <c r="AY75" i="5"/>
  <c r="AW76" i="5"/>
  <c r="AX76" i="5"/>
  <c r="AY76" i="5"/>
  <c r="AW77" i="5"/>
  <c r="AX77" i="5"/>
  <c r="AY77" i="5"/>
  <c r="AX2" i="5"/>
  <c r="AY2" i="5"/>
  <c r="AO2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Y3" i="5"/>
  <c r="Z3" i="5"/>
  <c r="AA3" i="5"/>
  <c r="AB3" i="5"/>
  <c r="AC3" i="5"/>
  <c r="AD3" i="5"/>
  <c r="AE3" i="5"/>
  <c r="AF3" i="5"/>
  <c r="AG3" i="5"/>
  <c r="AH3" i="5"/>
  <c r="AI3" i="5"/>
  <c r="AJ3" i="5"/>
  <c r="AK3" i="5"/>
  <c r="AL3" i="5"/>
  <c r="AM3" i="5"/>
  <c r="AN3" i="5"/>
  <c r="AO3" i="5"/>
  <c r="AP3" i="5"/>
  <c r="AQ3" i="5"/>
  <c r="AR3" i="5"/>
  <c r="AS3" i="5"/>
  <c r="AT3" i="5"/>
  <c r="AU3" i="5"/>
  <c r="AV3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Z4" i="5"/>
  <c r="AA4" i="5"/>
  <c r="AB4" i="5"/>
  <c r="AC4" i="5"/>
  <c r="AD4" i="5"/>
  <c r="AE4" i="5"/>
  <c r="AF4" i="5"/>
  <c r="AG4" i="5"/>
  <c r="AH4" i="5"/>
  <c r="AI4" i="5"/>
  <c r="AJ4" i="5"/>
  <c r="AK4" i="5"/>
  <c r="AL4" i="5"/>
  <c r="AM4" i="5"/>
  <c r="AN4" i="5"/>
  <c r="AO4" i="5"/>
  <c r="AP4" i="5"/>
  <c r="AQ4" i="5"/>
  <c r="AR4" i="5"/>
  <c r="AS4" i="5"/>
  <c r="AT4" i="5"/>
  <c r="AU4" i="5"/>
  <c r="AV4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Y5" i="5"/>
  <c r="Z5" i="5"/>
  <c r="AA5" i="5"/>
  <c r="AB5" i="5"/>
  <c r="AC5" i="5"/>
  <c r="AD5" i="5"/>
  <c r="AE5" i="5"/>
  <c r="AF5" i="5"/>
  <c r="AG5" i="5"/>
  <c r="AH5" i="5"/>
  <c r="AI5" i="5"/>
  <c r="AJ5" i="5"/>
  <c r="AK5" i="5"/>
  <c r="AL5" i="5"/>
  <c r="AM5" i="5"/>
  <c r="AN5" i="5"/>
  <c r="AO5" i="5"/>
  <c r="AP5" i="5"/>
  <c r="AQ5" i="5"/>
  <c r="AR5" i="5"/>
  <c r="AS5" i="5"/>
  <c r="AT5" i="5"/>
  <c r="AU5" i="5"/>
  <c r="AV5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W6" i="5"/>
  <c r="X6" i="5"/>
  <c r="Y6" i="5"/>
  <c r="Z6" i="5"/>
  <c r="AA6" i="5"/>
  <c r="AB6" i="5"/>
  <c r="AC6" i="5"/>
  <c r="AD6" i="5"/>
  <c r="AE6" i="5"/>
  <c r="AF6" i="5"/>
  <c r="AG6" i="5"/>
  <c r="AH6" i="5"/>
  <c r="AI6" i="5"/>
  <c r="AJ6" i="5"/>
  <c r="AK6" i="5"/>
  <c r="AL6" i="5"/>
  <c r="AM6" i="5"/>
  <c r="AN6" i="5"/>
  <c r="AO6" i="5"/>
  <c r="AP6" i="5"/>
  <c r="AQ6" i="5"/>
  <c r="AR6" i="5"/>
  <c r="AS6" i="5"/>
  <c r="AT6" i="5"/>
  <c r="AU6" i="5"/>
  <c r="AV6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Y7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P7" i="5"/>
  <c r="AQ7" i="5"/>
  <c r="AR7" i="5"/>
  <c r="AS7" i="5"/>
  <c r="AT7" i="5"/>
  <c r="AU7" i="5"/>
  <c r="AV7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Y8" i="5"/>
  <c r="Z8" i="5"/>
  <c r="AA8" i="5"/>
  <c r="AB8" i="5"/>
  <c r="AC8" i="5"/>
  <c r="AD8" i="5"/>
  <c r="AE8" i="5"/>
  <c r="AF8" i="5"/>
  <c r="AG8" i="5"/>
  <c r="AH8" i="5"/>
  <c r="AI8" i="5"/>
  <c r="AJ8" i="5"/>
  <c r="AK8" i="5"/>
  <c r="AL8" i="5"/>
  <c r="AM8" i="5"/>
  <c r="AN8" i="5"/>
  <c r="AO8" i="5"/>
  <c r="AP8" i="5"/>
  <c r="AQ8" i="5"/>
  <c r="AR8" i="5"/>
  <c r="AS8" i="5"/>
  <c r="AT8" i="5"/>
  <c r="AU8" i="5"/>
  <c r="AV8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Y9" i="5"/>
  <c r="Z9" i="5"/>
  <c r="AA9" i="5"/>
  <c r="AB9" i="5"/>
  <c r="AC9" i="5"/>
  <c r="AD9" i="5"/>
  <c r="AE9" i="5"/>
  <c r="AF9" i="5"/>
  <c r="AG9" i="5"/>
  <c r="AH9" i="5"/>
  <c r="AI9" i="5"/>
  <c r="AJ9" i="5"/>
  <c r="AK9" i="5"/>
  <c r="AL9" i="5"/>
  <c r="AM9" i="5"/>
  <c r="AN9" i="5"/>
  <c r="AO9" i="5"/>
  <c r="AP9" i="5"/>
  <c r="AQ9" i="5"/>
  <c r="AR9" i="5"/>
  <c r="AS9" i="5"/>
  <c r="AT9" i="5"/>
  <c r="AU9" i="5"/>
  <c r="AV9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W10" i="5"/>
  <c r="X10" i="5"/>
  <c r="Y10" i="5"/>
  <c r="Z10" i="5"/>
  <c r="AA10" i="5"/>
  <c r="AB10" i="5"/>
  <c r="AC10" i="5"/>
  <c r="AD10" i="5"/>
  <c r="AE10" i="5"/>
  <c r="AF10" i="5"/>
  <c r="AG10" i="5"/>
  <c r="AH10" i="5"/>
  <c r="AI10" i="5"/>
  <c r="AJ10" i="5"/>
  <c r="AK10" i="5"/>
  <c r="AL10" i="5"/>
  <c r="AM10" i="5"/>
  <c r="AN10" i="5"/>
  <c r="AO10" i="5"/>
  <c r="AP10" i="5"/>
  <c r="AQ10" i="5"/>
  <c r="AR10" i="5"/>
  <c r="AS10" i="5"/>
  <c r="AT10" i="5"/>
  <c r="AU10" i="5"/>
  <c r="AV10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AA11" i="5"/>
  <c r="AB11" i="5"/>
  <c r="AC11" i="5"/>
  <c r="AD11" i="5"/>
  <c r="AE11" i="5"/>
  <c r="AF11" i="5"/>
  <c r="AG11" i="5"/>
  <c r="AH11" i="5"/>
  <c r="AI11" i="5"/>
  <c r="AJ11" i="5"/>
  <c r="AK11" i="5"/>
  <c r="AL11" i="5"/>
  <c r="AM11" i="5"/>
  <c r="AN11" i="5"/>
  <c r="AO11" i="5"/>
  <c r="AP11" i="5"/>
  <c r="AQ11" i="5"/>
  <c r="AR11" i="5"/>
  <c r="AS11" i="5"/>
  <c r="AT11" i="5"/>
  <c r="AU11" i="5"/>
  <c r="AV11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AK12" i="5"/>
  <c r="AL12" i="5"/>
  <c r="AM12" i="5"/>
  <c r="AN12" i="5"/>
  <c r="AO12" i="5"/>
  <c r="AP12" i="5"/>
  <c r="AQ12" i="5"/>
  <c r="AR12" i="5"/>
  <c r="AS12" i="5"/>
  <c r="AT12" i="5"/>
  <c r="AU12" i="5"/>
  <c r="AV12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Y13" i="5"/>
  <c r="Z13" i="5"/>
  <c r="AA13" i="5"/>
  <c r="AB13" i="5"/>
  <c r="AC13" i="5"/>
  <c r="AD13" i="5"/>
  <c r="AE13" i="5"/>
  <c r="AF13" i="5"/>
  <c r="AG13" i="5"/>
  <c r="AH13" i="5"/>
  <c r="AI13" i="5"/>
  <c r="AJ13" i="5"/>
  <c r="AK13" i="5"/>
  <c r="AL13" i="5"/>
  <c r="AM13" i="5"/>
  <c r="AN13" i="5"/>
  <c r="AO13" i="5"/>
  <c r="AP13" i="5"/>
  <c r="AQ13" i="5"/>
  <c r="AR13" i="5"/>
  <c r="AS13" i="5"/>
  <c r="AT13" i="5"/>
  <c r="AU13" i="5"/>
  <c r="AV13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W14" i="5"/>
  <c r="X14" i="5"/>
  <c r="Y14" i="5"/>
  <c r="Z14" i="5"/>
  <c r="AA14" i="5"/>
  <c r="AB14" i="5"/>
  <c r="AC14" i="5"/>
  <c r="AD14" i="5"/>
  <c r="AE14" i="5"/>
  <c r="AF14" i="5"/>
  <c r="AG14" i="5"/>
  <c r="AH14" i="5"/>
  <c r="AI14" i="5"/>
  <c r="AJ14" i="5"/>
  <c r="AK14" i="5"/>
  <c r="AL14" i="5"/>
  <c r="AM14" i="5"/>
  <c r="AN14" i="5"/>
  <c r="AO14" i="5"/>
  <c r="AP14" i="5"/>
  <c r="AQ14" i="5"/>
  <c r="AR14" i="5"/>
  <c r="AS14" i="5"/>
  <c r="AT14" i="5"/>
  <c r="AU14" i="5"/>
  <c r="AV14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Y15" i="5"/>
  <c r="Z15" i="5"/>
  <c r="AA15" i="5"/>
  <c r="AB15" i="5"/>
  <c r="AC15" i="5"/>
  <c r="AD15" i="5"/>
  <c r="AE15" i="5"/>
  <c r="AF15" i="5"/>
  <c r="AG15" i="5"/>
  <c r="AH15" i="5"/>
  <c r="AI15" i="5"/>
  <c r="AJ15" i="5"/>
  <c r="AK15" i="5"/>
  <c r="AL15" i="5"/>
  <c r="AM15" i="5"/>
  <c r="AN15" i="5"/>
  <c r="AO15" i="5"/>
  <c r="AP15" i="5"/>
  <c r="AQ15" i="5"/>
  <c r="AR15" i="5"/>
  <c r="AS15" i="5"/>
  <c r="AT15" i="5"/>
  <c r="AU15" i="5"/>
  <c r="AV15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Y16" i="5"/>
  <c r="Z16" i="5"/>
  <c r="AA16" i="5"/>
  <c r="AB16" i="5"/>
  <c r="AC16" i="5"/>
  <c r="AD16" i="5"/>
  <c r="AE16" i="5"/>
  <c r="AF16" i="5"/>
  <c r="AG16" i="5"/>
  <c r="AH16" i="5"/>
  <c r="AI16" i="5"/>
  <c r="AJ16" i="5"/>
  <c r="AK16" i="5"/>
  <c r="AL16" i="5"/>
  <c r="AM16" i="5"/>
  <c r="AN16" i="5"/>
  <c r="AO16" i="5"/>
  <c r="AP16" i="5"/>
  <c r="AQ16" i="5"/>
  <c r="AR16" i="5"/>
  <c r="AS16" i="5"/>
  <c r="AT16" i="5"/>
  <c r="AU16" i="5"/>
  <c r="AV16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S17" i="5"/>
  <c r="AT17" i="5"/>
  <c r="AU17" i="5"/>
  <c r="AV17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W18" i="5"/>
  <c r="X18" i="5"/>
  <c r="Y18" i="5"/>
  <c r="Z18" i="5"/>
  <c r="AA18" i="5"/>
  <c r="AB18" i="5"/>
  <c r="AC18" i="5"/>
  <c r="AD18" i="5"/>
  <c r="AE18" i="5"/>
  <c r="AF18" i="5"/>
  <c r="AG18" i="5"/>
  <c r="AH18" i="5"/>
  <c r="AI18" i="5"/>
  <c r="AJ18" i="5"/>
  <c r="AK18" i="5"/>
  <c r="AL18" i="5"/>
  <c r="AM18" i="5"/>
  <c r="AN18" i="5"/>
  <c r="AO18" i="5"/>
  <c r="AP18" i="5"/>
  <c r="AQ18" i="5"/>
  <c r="AR18" i="5"/>
  <c r="AS18" i="5"/>
  <c r="AT18" i="5"/>
  <c r="AU18" i="5"/>
  <c r="AV18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Y19" i="5"/>
  <c r="Z19" i="5"/>
  <c r="AA19" i="5"/>
  <c r="AB19" i="5"/>
  <c r="AC19" i="5"/>
  <c r="AD19" i="5"/>
  <c r="AE19" i="5"/>
  <c r="AF19" i="5"/>
  <c r="AG19" i="5"/>
  <c r="AH19" i="5"/>
  <c r="AI19" i="5"/>
  <c r="AJ19" i="5"/>
  <c r="AK19" i="5"/>
  <c r="AL19" i="5"/>
  <c r="AM19" i="5"/>
  <c r="AN19" i="5"/>
  <c r="AO19" i="5"/>
  <c r="AP19" i="5"/>
  <c r="AQ19" i="5"/>
  <c r="AR19" i="5"/>
  <c r="AS19" i="5"/>
  <c r="AT19" i="5"/>
  <c r="AU19" i="5"/>
  <c r="AV19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Y20" i="5"/>
  <c r="Z20" i="5"/>
  <c r="AA20" i="5"/>
  <c r="AB20" i="5"/>
  <c r="AC20" i="5"/>
  <c r="AD20" i="5"/>
  <c r="AE20" i="5"/>
  <c r="AF20" i="5"/>
  <c r="AG20" i="5"/>
  <c r="AH20" i="5"/>
  <c r="AI20" i="5"/>
  <c r="AJ20" i="5"/>
  <c r="AK20" i="5"/>
  <c r="AL20" i="5"/>
  <c r="AM20" i="5"/>
  <c r="AN20" i="5"/>
  <c r="AO20" i="5"/>
  <c r="AP20" i="5"/>
  <c r="AQ20" i="5"/>
  <c r="AR20" i="5"/>
  <c r="AS20" i="5"/>
  <c r="AT20" i="5"/>
  <c r="AU20" i="5"/>
  <c r="AV20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Y21" i="5"/>
  <c r="Z21" i="5"/>
  <c r="AA21" i="5"/>
  <c r="AB21" i="5"/>
  <c r="AC21" i="5"/>
  <c r="AD21" i="5"/>
  <c r="AE21" i="5"/>
  <c r="AF21" i="5"/>
  <c r="AG21" i="5"/>
  <c r="AH21" i="5"/>
  <c r="AI21" i="5"/>
  <c r="AJ21" i="5"/>
  <c r="AK21" i="5"/>
  <c r="AL21" i="5"/>
  <c r="AM21" i="5"/>
  <c r="AN21" i="5"/>
  <c r="AO21" i="5"/>
  <c r="AP21" i="5"/>
  <c r="AQ21" i="5"/>
  <c r="AR21" i="5"/>
  <c r="AS21" i="5"/>
  <c r="AT21" i="5"/>
  <c r="AU21" i="5"/>
  <c r="AV21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W22" i="5"/>
  <c r="X22" i="5"/>
  <c r="Y22" i="5"/>
  <c r="Z22" i="5"/>
  <c r="AA22" i="5"/>
  <c r="AB22" i="5"/>
  <c r="AC22" i="5"/>
  <c r="AD22" i="5"/>
  <c r="AE22" i="5"/>
  <c r="AF22" i="5"/>
  <c r="AG22" i="5"/>
  <c r="AH22" i="5"/>
  <c r="AI22" i="5"/>
  <c r="AJ22" i="5"/>
  <c r="AK22" i="5"/>
  <c r="AL22" i="5"/>
  <c r="AM22" i="5"/>
  <c r="AN22" i="5"/>
  <c r="AP22" i="5"/>
  <c r="AQ22" i="5"/>
  <c r="AR22" i="5"/>
  <c r="AS22" i="5"/>
  <c r="AT22" i="5"/>
  <c r="AU22" i="5"/>
  <c r="AV22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W23" i="5"/>
  <c r="X23" i="5"/>
  <c r="Y23" i="5"/>
  <c r="Z23" i="5"/>
  <c r="AA23" i="5"/>
  <c r="AB23" i="5"/>
  <c r="AC23" i="5"/>
  <c r="AD23" i="5"/>
  <c r="AE23" i="5"/>
  <c r="AF23" i="5"/>
  <c r="AG23" i="5"/>
  <c r="AH23" i="5"/>
  <c r="AI23" i="5"/>
  <c r="AJ23" i="5"/>
  <c r="AK23" i="5"/>
  <c r="AL23" i="5"/>
  <c r="AM23" i="5"/>
  <c r="AN23" i="5"/>
  <c r="AO23" i="5"/>
  <c r="AP23" i="5"/>
  <c r="AQ23" i="5"/>
  <c r="AR23" i="5"/>
  <c r="AS23" i="5"/>
  <c r="AT23" i="5"/>
  <c r="AU23" i="5"/>
  <c r="AV23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W24" i="5"/>
  <c r="X24" i="5"/>
  <c r="Y24" i="5"/>
  <c r="Z24" i="5"/>
  <c r="AA24" i="5"/>
  <c r="AB24" i="5"/>
  <c r="AC24" i="5"/>
  <c r="AD24" i="5"/>
  <c r="AE24" i="5"/>
  <c r="AF24" i="5"/>
  <c r="AG24" i="5"/>
  <c r="AH24" i="5"/>
  <c r="AI24" i="5"/>
  <c r="AJ24" i="5"/>
  <c r="AK24" i="5"/>
  <c r="AL24" i="5"/>
  <c r="AM24" i="5"/>
  <c r="AN24" i="5"/>
  <c r="AO24" i="5"/>
  <c r="AP24" i="5"/>
  <c r="AQ24" i="5"/>
  <c r="AR24" i="5"/>
  <c r="AS24" i="5"/>
  <c r="AT24" i="5"/>
  <c r="AU24" i="5"/>
  <c r="AV24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W25" i="5"/>
  <c r="X25" i="5"/>
  <c r="Y25" i="5"/>
  <c r="Z25" i="5"/>
  <c r="AA25" i="5"/>
  <c r="AB25" i="5"/>
  <c r="AC25" i="5"/>
  <c r="AD25" i="5"/>
  <c r="AE25" i="5"/>
  <c r="AF25" i="5"/>
  <c r="AG25" i="5"/>
  <c r="AH25" i="5"/>
  <c r="AI25" i="5"/>
  <c r="AJ25" i="5"/>
  <c r="AK25" i="5"/>
  <c r="AL25" i="5"/>
  <c r="AM25" i="5"/>
  <c r="AN25" i="5"/>
  <c r="AO25" i="5"/>
  <c r="AP25" i="5"/>
  <c r="AQ25" i="5"/>
  <c r="AR25" i="5"/>
  <c r="AS25" i="5"/>
  <c r="AT25" i="5"/>
  <c r="AU25" i="5"/>
  <c r="AV25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W26" i="5"/>
  <c r="X26" i="5"/>
  <c r="Y26" i="5"/>
  <c r="Z26" i="5"/>
  <c r="AA26" i="5"/>
  <c r="AB26" i="5"/>
  <c r="AC26" i="5"/>
  <c r="AD26" i="5"/>
  <c r="AE26" i="5"/>
  <c r="AF26" i="5"/>
  <c r="AG26" i="5"/>
  <c r="AH26" i="5"/>
  <c r="AI26" i="5"/>
  <c r="AJ26" i="5"/>
  <c r="AK26" i="5"/>
  <c r="AL26" i="5"/>
  <c r="AM26" i="5"/>
  <c r="AN26" i="5"/>
  <c r="AO26" i="5"/>
  <c r="AP26" i="5"/>
  <c r="AQ26" i="5"/>
  <c r="AR26" i="5"/>
  <c r="AS26" i="5"/>
  <c r="AT26" i="5"/>
  <c r="AU26" i="5"/>
  <c r="AV26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W27" i="5"/>
  <c r="X27" i="5"/>
  <c r="Y27" i="5"/>
  <c r="Z27" i="5"/>
  <c r="AA27" i="5"/>
  <c r="AB27" i="5"/>
  <c r="AC27" i="5"/>
  <c r="AD27" i="5"/>
  <c r="AE27" i="5"/>
  <c r="AF27" i="5"/>
  <c r="AG27" i="5"/>
  <c r="AH27" i="5"/>
  <c r="AI27" i="5"/>
  <c r="AJ27" i="5"/>
  <c r="AK27" i="5"/>
  <c r="AL27" i="5"/>
  <c r="AM27" i="5"/>
  <c r="AN27" i="5"/>
  <c r="AO27" i="5"/>
  <c r="AP27" i="5"/>
  <c r="AQ27" i="5"/>
  <c r="AR27" i="5"/>
  <c r="AS27" i="5"/>
  <c r="AT27" i="5"/>
  <c r="AU27" i="5"/>
  <c r="AV27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X28" i="5"/>
  <c r="Y28" i="5"/>
  <c r="Z28" i="5"/>
  <c r="AA28" i="5"/>
  <c r="AB28" i="5"/>
  <c r="AC28" i="5"/>
  <c r="AD28" i="5"/>
  <c r="AE28" i="5"/>
  <c r="AF28" i="5"/>
  <c r="AG28" i="5"/>
  <c r="AH28" i="5"/>
  <c r="AI28" i="5"/>
  <c r="AJ28" i="5"/>
  <c r="AK28" i="5"/>
  <c r="AL28" i="5"/>
  <c r="AM28" i="5"/>
  <c r="AN28" i="5"/>
  <c r="AO28" i="5"/>
  <c r="AP28" i="5"/>
  <c r="AQ28" i="5"/>
  <c r="AR28" i="5"/>
  <c r="AS28" i="5"/>
  <c r="AT28" i="5"/>
  <c r="AU28" i="5"/>
  <c r="AV28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X29" i="5"/>
  <c r="Y29" i="5"/>
  <c r="Z29" i="5"/>
  <c r="AA29" i="5"/>
  <c r="AB29" i="5"/>
  <c r="AC29" i="5"/>
  <c r="AD29" i="5"/>
  <c r="AE29" i="5"/>
  <c r="AF29" i="5"/>
  <c r="AG29" i="5"/>
  <c r="AH29" i="5"/>
  <c r="AI29" i="5"/>
  <c r="AJ29" i="5"/>
  <c r="AK29" i="5"/>
  <c r="AL29" i="5"/>
  <c r="AM29" i="5"/>
  <c r="AN29" i="5"/>
  <c r="AO29" i="5"/>
  <c r="AP29" i="5"/>
  <c r="AQ29" i="5"/>
  <c r="AR29" i="5"/>
  <c r="AS29" i="5"/>
  <c r="AT29" i="5"/>
  <c r="AU29" i="5"/>
  <c r="AV29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W30" i="5"/>
  <c r="X30" i="5"/>
  <c r="Y30" i="5"/>
  <c r="Z30" i="5"/>
  <c r="AA30" i="5"/>
  <c r="AB30" i="5"/>
  <c r="AC30" i="5"/>
  <c r="AD30" i="5"/>
  <c r="AE30" i="5"/>
  <c r="AF30" i="5"/>
  <c r="AG30" i="5"/>
  <c r="AH30" i="5"/>
  <c r="AI30" i="5"/>
  <c r="AJ30" i="5"/>
  <c r="AK30" i="5"/>
  <c r="AL30" i="5"/>
  <c r="AM30" i="5"/>
  <c r="AN30" i="5"/>
  <c r="AO30" i="5"/>
  <c r="AP30" i="5"/>
  <c r="AQ30" i="5"/>
  <c r="AR30" i="5"/>
  <c r="AS30" i="5"/>
  <c r="AT30" i="5"/>
  <c r="AU30" i="5"/>
  <c r="AV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W31" i="5"/>
  <c r="X31" i="5"/>
  <c r="Y31" i="5"/>
  <c r="Z31" i="5"/>
  <c r="AA31" i="5"/>
  <c r="AB31" i="5"/>
  <c r="AC31" i="5"/>
  <c r="AD31" i="5"/>
  <c r="AE31" i="5"/>
  <c r="AF31" i="5"/>
  <c r="AG31" i="5"/>
  <c r="AH31" i="5"/>
  <c r="AI31" i="5"/>
  <c r="AJ31" i="5"/>
  <c r="AK31" i="5"/>
  <c r="AL31" i="5"/>
  <c r="AM31" i="5"/>
  <c r="AN31" i="5"/>
  <c r="AO31" i="5"/>
  <c r="AP31" i="5"/>
  <c r="AQ31" i="5"/>
  <c r="AR31" i="5"/>
  <c r="AS31" i="5"/>
  <c r="AT31" i="5"/>
  <c r="AU31" i="5"/>
  <c r="AV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W32" i="5"/>
  <c r="X32" i="5"/>
  <c r="Y32" i="5"/>
  <c r="Z32" i="5"/>
  <c r="AA32" i="5"/>
  <c r="AB32" i="5"/>
  <c r="AC32" i="5"/>
  <c r="AD32" i="5"/>
  <c r="AE32" i="5"/>
  <c r="AF32" i="5"/>
  <c r="AG32" i="5"/>
  <c r="AH32" i="5"/>
  <c r="AI32" i="5"/>
  <c r="AJ32" i="5"/>
  <c r="AK32" i="5"/>
  <c r="AL32" i="5"/>
  <c r="AM32" i="5"/>
  <c r="AN32" i="5"/>
  <c r="AO32" i="5"/>
  <c r="AP32" i="5"/>
  <c r="AQ32" i="5"/>
  <c r="AR32" i="5"/>
  <c r="AS32" i="5"/>
  <c r="AT32" i="5"/>
  <c r="AU32" i="5"/>
  <c r="AV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W33" i="5"/>
  <c r="X33" i="5"/>
  <c r="Y33" i="5"/>
  <c r="Z33" i="5"/>
  <c r="AA33" i="5"/>
  <c r="AB33" i="5"/>
  <c r="AC33" i="5"/>
  <c r="AD33" i="5"/>
  <c r="AE33" i="5"/>
  <c r="AF33" i="5"/>
  <c r="AG33" i="5"/>
  <c r="AH33" i="5"/>
  <c r="AI33" i="5"/>
  <c r="AJ33" i="5"/>
  <c r="AK33" i="5"/>
  <c r="AL33" i="5"/>
  <c r="AM33" i="5"/>
  <c r="AN33" i="5"/>
  <c r="AO33" i="5"/>
  <c r="AP33" i="5"/>
  <c r="AQ33" i="5"/>
  <c r="AR33" i="5"/>
  <c r="AS33" i="5"/>
  <c r="AT33" i="5"/>
  <c r="AU33" i="5"/>
  <c r="AV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W34" i="5"/>
  <c r="X34" i="5"/>
  <c r="Y34" i="5"/>
  <c r="Z34" i="5"/>
  <c r="AA34" i="5"/>
  <c r="AB34" i="5"/>
  <c r="AC34" i="5"/>
  <c r="AD34" i="5"/>
  <c r="AE34" i="5"/>
  <c r="AF34" i="5"/>
  <c r="AG34" i="5"/>
  <c r="AH34" i="5"/>
  <c r="AI34" i="5"/>
  <c r="AJ34" i="5"/>
  <c r="AK34" i="5"/>
  <c r="AL34" i="5"/>
  <c r="AM34" i="5"/>
  <c r="AN34" i="5"/>
  <c r="AO34" i="5"/>
  <c r="AP34" i="5"/>
  <c r="AQ34" i="5"/>
  <c r="AR34" i="5"/>
  <c r="AS34" i="5"/>
  <c r="AT34" i="5"/>
  <c r="AU34" i="5"/>
  <c r="AV34" i="5"/>
  <c r="D35" i="5"/>
  <c r="E35" i="5"/>
  <c r="F35" i="5"/>
  <c r="G35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V35" i="5"/>
  <c r="W35" i="5"/>
  <c r="X35" i="5"/>
  <c r="Y35" i="5"/>
  <c r="Z35" i="5"/>
  <c r="AA35" i="5"/>
  <c r="AB35" i="5"/>
  <c r="AC35" i="5"/>
  <c r="AD35" i="5"/>
  <c r="AE35" i="5"/>
  <c r="AF35" i="5"/>
  <c r="AG35" i="5"/>
  <c r="AH35" i="5"/>
  <c r="AI35" i="5"/>
  <c r="AJ35" i="5"/>
  <c r="AK35" i="5"/>
  <c r="AL35" i="5"/>
  <c r="AM35" i="5"/>
  <c r="AN35" i="5"/>
  <c r="AO35" i="5"/>
  <c r="AP35" i="5"/>
  <c r="AQ35" i="5"/>
  <c r="AR35" i="5"/>
  <c r="AS35" i="5"/>
  <c r="AT35" i="5"/>
  <c r="AU35" i="5"/>
  <c r="AV35" i="5"/>
  <c r="D36" i="5"/>
  <c r="E36" i="5"/>
  <c r="F36" i="5"/>
  <c r="G36" i="5"/>
  <c r="H36" i="5"/>
  <c r="I36" i="5"/>
  <c r="J36" i="5"/>
  <c r="K36" i="5"/>
  <c r="L36" i="5"/>
  <c r="M36" i="5"/>
  <c r="N36" i="5"/>
  <c r="O36" i="5"/>
  <c r="P36" i="5"/>
  <c r="Q36" i="5"/>
  <c r="R36" i="5"/>
  <c r="S36" i="5"/>
  <c r="T36" i="5"/>
  <c r="U36" i="5"/>
  <c r="V36" i="5"/>
  <c r="W36" i="5"/>
  <c r="X36" i="5"/>
  <c r="Y36" i="5"/>
  <c r="Z36" i="5"/>
  <c r="AA36" i="5"/>
  <c r="AB36" i="5"/>
  <c r="AC36" i="5"/>
  <c r="AD36" i="5"/>
  <c r="AE36" i="5"/>
  <c r="AF36" i="5"/>
  <c r="AG36" i="5"/>
  <c r="AH36" i="5"/>
  <c r="AI36" i="5"/>
  <c r="AJ36" i="5"/>
  <c r="AK36" i="5"/>
  <c r="AL36" i="5"/>
  <c r="AM36" i="5"/>
  <c r="AN36" i="5"/>
  <c r="AO36" i="5"/>
  <c r="AP36" i="5"/>
  <c r="AQ36" i="5"/>
  <c r="AR36" i="5"/>
  <c r="AS36" i="5"/>
  <c r="AT36" i="5"/>
  <c r="AU36" i="5"/>
  <c r="AV36" i="5"/>
  <c r="D37" i="5"/>
  <c r="E37" i="5"/>
  <c r="F37" i="5"/>
  <c r="G37" i="5"/>
  <c r="H37" i="5"/>
  <c r="I37" i="5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W37" i="5"/>
  <c r="X37" i="5"/>
  <c r="Y37" i="5"/>
  <c r="Z37" i="5"/>
  <c r="AA37" i="5"/>
  <c r="AB37" i="5"/>
  <c r="AC37" i="5"/>
  <c r="AD37" i="5"/>
  <c r="AE37" i="5"/>
  <c r="AF37" i="5"/>
  <c r="AG37" i="5"/>
  <c r="AH37" i="5"/>
  <c r="AI37" i="5"/>
  <c r="AJ37" i="5"/>
  <c r="AK37" i="5"/>
  <c r="AL37" i="5"/>
  <c r="AM37" i="5"/>
  <c r="AN37" i="5"/>
  <c r="AO37" i="5"/>
  <c r="AP37" i="5"/>
  <c r="AQ37" i="5"/>
  <c r="AR37" i="5"/>
  <c r="AS37" i="5"/>
  <c r="AT37" i="5"/>
  <c r="AU37" i="5"/>
  <c r="AV37" i="5"/>
  <c r="D38" i="5"/>
  <c r="E38" i="5"/>
  <c r="F38" i="5"/>
  <c r="G38" i="5"/>
  <c r="H38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X38" i="5"/>
  <c r="Y38" i="5"/>
  <c r="Z38" i="5"/>
  <c r="AA38" i="5"/>
  <c r="AB38" i="5"/>
  <c r="AC38" i="5"/>
  <c r="AD38" i="5"/>
  <c r="AE38" i="5"/>
  <c r="AF38" i="5"/>
  <c r="AG38" i="5"/>
  <c r="AH38" i="5"/>
  <c r="AI38" i="5"/>
  <c r="AJ38" i="5"/>
  <c r="AK38" i="5"/>
  <c r="AL38" i="5"/>
  <c r="AM38" i="5"/>
  <c r="AN38" i="5"/>
  <c r="AO38" i="5"/>
  <c r="AP38" i="5"/>
  <c r="AQ38" i="5"/>
  <c r="AR38" i="5"/>
  <c r="AS38" i="5"/>
  <c r="AT38" i="5"/>
  <c r="AU38" i="5"/>
  <c r="AV38" i="5"/>
  <c r="D39" i="5"/>
  <c r="E39" i="5"/>
  <c r="F39" i="5"/>
  <c r="G39" i="5"/>
  <c r="H39" i="5"/>
  <c r="I39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W39" i="5"/>
  <c r="X39" i="5"/>
  <c r="Y39" i="5"/>
  <c r="Z39" i="5"/>
  <c r="AA39" i="5"/>
  <c r="AB39" i="5"/>
  <c r="AC39" i="5"/>
  <c r="AD39" i="5"/>
  <c r="AE39" i="5"/>
  <c r="AF39" i="5"/>
  <c r="AG39" i="5"/>
  <c r="AH39" i="5"/>
  <c r="AI39" i="5"/>
  <c r="AJ39" i="5"/>
  <c r="AK39" i="5"/>
  <c r="AL39" i="5"/>
  <c r="AM39" i="5"/>
  <c r="AN39" i="5"/>
  <c r="AO39" i="5"/>
  <c r="AP39" i="5"/>
  <c r="AQ39" i="5"/>
  <c r="AR39" i="5"/>
  <c r="AS39" i="5"/>
  <c r="AT39" i="5"/>
  <c r="AU39" i="5"/>
  <c r="AV39" i="5"/>
  <c r="D40" i="5"/>
  <c r="E40" i="5"/>
  <c r="F40" i="5"/>
  <c r="G40" i="5"/>
  <c r="H40" i="5"/>
  <c r="I40" i="5"/>
  <c r="J40" i="5"/>
  <c r="K40" i="5"/>
  <c r="L40" i="5"/>
  <c r="M40" i="5"/>
  <c r="N40" i="5"/>
  <c r="O40" i="5"/>
  <c r="P40" i="5"/>
  <c r="Q40" i="5"/>
  <c r="R40" i="5"/>
  <c r="S40" i="5"/>
  <c r="T40" i="5"/>
  <c r="U40" i="5"/>
  <c r="V40" i="5"/>
  <c r="W40" i="5"/>
  <c r="X40" i="5"/>
  <c r="Y40" i="5"/>
  <c r="Z40" i="5"/>
  <c r="AA40" i="5"/>
  <c r="AB40" i="5"/>
  <c r="AC40" i="5"/>
  <c r="AD40" i="5"/>
  <c r="AE40" i="5"/>
  <c r="AF40" i="5"/>
  <c r="AG40" i="5"/>
  <c r="AH40" i="5"/>
  <c r="AI40" i="5"/>
  <c r="AJ40" i="5"/>
  <c r="AK40" i="5"/>
  <c r="AL40" i="5"/>
  <c r="AM40" i="5"/>
  <c r="AN40" i="5"/>
  <c r="AO40" i="5"/>
  <c r="AP40" i="5"/>
  <c r="AQ40" i="5"/>
  <c r="AR40" i="5"/>
  <c r="AS40" i="5"/>
  <c r="AT40" i="5"/>
  <c r="AU40" i="5"/>
  <c r="AV40" i="5"/>
  <c r="D41" i="5"/>
  <c r="E41" i="5"/>
  <c r="F41" i="5"/>
  <c r="G41" i="5"/>
  <c r="H41" i="5"/>
  <c r="I41" i="5"/>
  <c r="J41" i="5"/>
  <c r="K41" i="5"/>
  <c r="L41" i="5"/>
  <c r="M41" i="5"/>
  <c r="N41" i="5"/>
  <c r="O41" i="5"/>
  <c r="P41" i="5"/>
  <c r="Q41" i="5"/>
  <c r="R41" i="5"/>
  <c r="S41" i="5"/>
  <c r="T41" i="5"/>
  <c r="U41" i="5"/>
  <c r="V41" i="5"/>
  <c r="W41" i="5"/>
  <c r="X41" i="5"/>
  <c r="Y41" i="5"/>
  <c r="Z41" i="5"/>
  <c r="AA41" i="5"/>
  <c r="AB41" i="5"/>
  <c r="AC41" i="5"/>
  <c r="AD41" i="5"/>
  <c r="AE41" i="5"/>
  <c r="AF41" i="5"/>
  <c r="AG41" i="5"/>
  <c r="AH41" i="5"/>
  <c r="AI41" i="5"/>
  <c r="AJ41" i="5"/>
  <c r="AK41" i="5"/>
  <c r="AL41" i="5"/>
  <c r="AM41" i="5"/>
  <c r="AN41" i="5"/>
  <c r="AO41" i="5"/>
  <c r="AP41" i="5"/>
  <c r="AQ41" i="5"/>
  <c r="AR41" i="5"/>
  <c r="AS41" i="5"/>
  <c r="AT41" i="5"/>
  <c r="AU41" i="5"/>
  <c r="AV41" i="5"/>
  <c r="D42" i="5"/>
  <c r="E42" i="5"/>
  <c r="F42" i="5"/>
  <c r="G42" i="5"/>
  <c r="H42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W42" i="5"/>
  <c r="X42" i="5"/>
  <c r="Y42" i="5"/>
  <c r="Z42" i="5"/>
  <c r="AA42" i="5"/>
  <c r="AB42" i="5"/>
  <c r="AC42" i="5"/>
  <c r="AD42" i="5"/>
  <c r="AE42" i="5"/>
  <c r="AF42" i="5"/>
  <c r="AG42" i="5"/>
  <c r="AH42" i="5"/>
  <c r="AI42" i="5"/>
  <c r="AJ42" i="5"/>
  <c r="AK42" i="5"/>
  <c r="AL42" i="5"/>
  <c r="AM42" i="5"/>
  <c r="AN42" i="5"/>
  <c r="AO42" i="5"/>
  <c r="AP42" i="5"/>
  <c r="AQ42" i="5"/>
  <c r="AR42" i="5"/>
  <c r="AS42" i="5"/>
  <c r="AT42" i="5"/>
  <c r="AU42" i="5"/>
  <c r="AV42" i="5"/>
  <c r="D43" i="5"/>
  <c r="E43" i="5"/>
  <c r="F43" i="5"/>
  <c r="G43" i="5"/>
  <c r="H43" i="5"/>
  <c r="I43" i="5"/>
  <c r="J43" i="5"/>
  <c r="K43" i="5"/>
  <c r="L43" i="5"/>
  <c r="M43" i="5"/>
  <c r="N43" i="5"/>
  <c r="O43" i="5"/>
  <c r="P43" i="5"/>
  <c r="Q43" i="5"/>
  <c r="R43" i="5"/>
  <c r="S43" i="5"/>
  <c r="T43" i="5"/>
  <c r="U43" i="5"/>
  <c r="V43" i="5"/>
  <c r="W43" i="5"/>
  <c r="X43" i="5"/>
  <c r="Y43" i="5"/>
  <c r="Z43" i="5"/>
  <c r="AA43" i="5"/>
  <c r="AB43" i="5"/>
  <c r="AC43" i="5"/>
  <c r="AD43" i="5"/>
  <c r="AE43" i="5"/>
  <c r="AF43" i="5"/>
  <c r="AG43" i="5"/>
  <c r="AH43" i="5"/>
  <c r="AI43" i="5"/>
  <c r="AJ43" i="5"/>
  <c r="AK43" i="5"/>
  <c r="AL43" i="5"/>
  <c r="AM43" i="5"/>
  <c r="AN43" i="5"/>
  <c r="AO43" i="5"/>
  <c r="AP43" i="5"/>
  <c r="AQ43" i="5"/>
  <c r="AR43" i="5"/>
  <c r="AS43" i="5"/>
  <c r="AT43" i="5"/>
  <c r="AU43" i="5"/>
  <c r="AV43" i="5"/>
  <c r="D44" i="5"/>
  <c r="E44" i="5"/>
  <c r="F44" i="5"/>
  <c r="G44" i="5"/>
  <c r="H44" i="5"/>
  <c r="I44" i="5"/>
  <c r="J44" i="5"/>
  <c r="K44" i="5"/>
  <c r="L44" i="5"/>
  <c r="M44" i="5"/>
  <c r="N44" i="5"/>
  <c r="O44" i="5"/>
  <c r="P44" i="5"/>
  <c r="Q44" i="5"/>
  <c r="R44" i="5"/>
  <c r="S44" i="5"/>
  <c r="T44" i="5"/>
  <c r="U44" i="5"/>
  <c r="V44" i="5"/>
  <c r="W44" i="5"/>
  <c r="X44" i="5"/>
  <c r="Y44" i="5"/>
  <c r="Z44" i="5"/>
  <c r="AA44" i="5"/>
  <c r="AB44" i="5"/>
  <c r="AC44" i="5"/>
  <c r="AD44" i="5"/>
  <c r="AE44" i="5"/>
  <c r="AF44" i="5"/>
  <c r="AG44" i="5"/>
  <c r="AH44" i="5"/>
  <c r="AI44" i="5"/>
  <c r="AJ44" i="5"/>
  <c r="AK44" i="5"/>
  <c r="AL44" i="5"/>
  <c r="AM44" i="5"/>
  <c r="AN44" i="5"/>
  <c r="AO44" i="5"/>
  <c r="AP44" i="5"/>
  <c r="AQ44" i="5"/>
  <c r="AR44" i="5"/>
  <c r="AS44" i="5"/>
  <c r="AT44" i="5"/>
  <c r="AU44" i="5"/>
  <c r="AV44" i="5"/>
  <c r="D45" i="5"/>
  <c r="E45" i="5"/>
  <c r="F45" i="5"/>
  <c r="G45" i="5"/>
  <c r="H45" i="5"/>
  <c r="I45" i="5"/>
  <c r="J45" i="5"/>
  <c r="K45" i="5"/>
  <c r="L45" i="5"/>
  <c r="M45" i="5"/>
  <c r="N45" i="5"/>
  <c r="O45" i="5"/>
  <c r="P45" i="5"/>
  <c r="Q45" i="5"/>
  <c r="R45" i="5"/>
  <c r="S45" i="5"/>
  <c r="T45" i="5"/>
  <c r="U45" i="5"/>
  <c r="V45" i="5"/>
  <c r="W45" i="5"/>
  <c r="X45" i="5"/>
  <c r="Y45" i="5"/>
  <c r="Z45" i="5"/>
  <c r="AA45" i="5"/>
  <c r="AB45" i="5"/>
  <c r="AC45" i="5"/>
  <c r="AD45" i="5"/>
  <c r="AE45" i="5"/>
  <c r="AF45" i="5"/>
  <c r="AG45" i="5"/>
  <c r="AH45" i="5"/>
  <c r="AI45" i="5"/>
  <c r="AJ45" i="5"/>
  <c r="AK45" i="5"/>
  <c r="AL45" i="5"/>
  <c r="AM45" i="5"/>
  <c r="AN45" i="5"/>
  <c r="AO45" i="5"/>
  <c r="AP45" i="5"/>
  <c r="AQ45" i="5"/>
  <c r="AR45" i="5"/>
  <c r="AS45" i="5"/>
  <c r="AT45" i="5"/>
  <c r="AU45" i="5"/>
  <c r="AV45" i="5"/>
  <c r="D46" i="5"/>
  <c r="E46" i="5"/>
  <c r="F46" i="5"/>
  <c r="G46" i="5"/>
  <c r="H46" i="5"/>
  <c r="I46" i="5"/>
  <c r="J46" i="5"/>
  <c r="K46" i="5"/>
  <c r="L46" i="5"/>
  <c r="M46" i="5"/>
  <c r="N46" i="5"/>
  <c r="O46" i="5"/>
  <c r="P46" i="5"/>
  <c r="Q46" i="5"/>
  <c r="R46" i="5"/>
  <c r="S46" i="5"/>
  <c r="T46" i="5"/>
  <c r="U46" i="5"/>
  <c r="V46" i="5"/>
  <c r="W46" i="5"/>
  <c r="X46" i="5"/>
  <c r="Y46" i="5"/>
  <c r="Z46" i="5"/>
  <c r="AA46" i="5"/>
  <c r="AB46" i="5"/>
  <c r="AC46" i="5"/>
  <c r="AD46" i="5"/>
  <c r="AE46" i="5"/>
  <c r="AF46" i="5"/>
  <c r="AG46" i="5"/>
  <c r="AH46" i="5"/>
  <c r="AI46" i="5"/>
  <c r="AJ46" i="5"/>
  <c r="AK46" i="5"/>
  <c r="AL46" i="5"/>
  <c r="AM46" i="5"/>
  <c r="AN46" i="5"/>
  <c r="AO46" i="5"/>
  <c r="AP46" i="5"/>
  <c r="AQ46" i="5"/>
  <c r="AR46" i="5"/>
  <c r="AS46" i="5"/>
  <c r="AT46" i="5"/>
  <c r="AU46" i="5"/>
  <c r="AV46" i="5"/>
  <c r="D47" i="5"/>
  <c r="E47" i="5"/>
  <c r="F47" i="5"/>
  <c r="G47" i="5"/>
  <c r="H47" i="5"/>
  <c r="I47" i="5"/>
  <c r="J47" i="5"/>
  <c r="K47" i="5"/>
  <c r="L47" i="5"/>
  <c r="M47" i="5"/>
  <c r="N47" i="5"/>
  <c r="O47" i="5"/>
  <c r="P47" i="5"/>
  <c r="Q47" i="5"/>
  <c r="R47" i="5"/>
  <c r="S47" i="5"/>
  <c r="T47" i="5"/>
  <c r="U47" i="5"/>
  <c r="V47" i="5"/>
  <c r="W47" i="5"/>
  <c r="X47" i="5"/>
  <c r="Y47" i="5"/>
  <c r="Z47" i="5"/>
  <c r="AA47" i="5"/>
  <c r="AB47" i="5"/>
  <c r="AC47" i="5"/>
  <c r="AD47" i="5"/>
  <c r="AE47" i="5"/>
  <c r="AF47" i="5"/>
  <c r="AG47" i="5"/>
  <c r="AH47" i="5"/>
  <c r="AI47" i="5"/>
  <c r="AJ47" i="5"/>
  <c r="AK47" i="5"/>
  <c r="AL47" i="5"/>
  <c r="AM47" i="5"/>
  <c r="AN47" i="5"/>
  <c r="AO47" i="5"/>
  <c r="AP47" i="5"/>
  <c r="AQ47" i="5"/>
  <c r="AR47" i="5"/>
  <c r="AS47" i="5"/>
  <c r="AT47" i="5"/>
  <c r="AU47" i="5"/>
  <c r="AV47" i="5"/>
  <c r="D48" i="5"/>
  <c r="E48" i="5"/>
  <c r="F48" i="5"/>
  <c r="G48" i="5"/>
  <c r="H48" i="5"/>
  <c r="I48" i="5"/>
  <c r="J48" i="5"/>
  <c r="K48" i="5"/>
  <c r="L48" i="5"/>
  <c r="M48" i="5"/>
  <c r="N48" i="5"/>
  <c r="O48" i="5"/>
  <c r="P48" i="5"/>
  <c r="Q48" i="5"/>
  <c r="R48" i="5"/>
  <c r="S48" i="5"/>
  <c r="T48" i="5"/>
  <c r="U48" i="5"/>
  <c r="V48" i="5"/>
  <c r="W48" i="5"/>
  <c r="X48" i="5"/>
  <c r="Y48" i="5"/>
  <c r="Z48" i="5"/>
  <c r="AA48" i="5"/>
  <c r="AB48" i="5"/>
  <c r="AC48" i="5"/>
  <c r="AD48" i="5"/>
  <c r="AE48" i="5"/>
  <c r="AF48" i="5"/>
  <c r="AG48" i="5"/>
  <c r="AH48" i="5"/>
  <c r="AI48" i="5"/>
  <c r="AJ48" i="5"/>
  <c r="AK48" i="5"/>
  <c r="AL48" i="5"/>
  <c r="AM48" i="5"/>
  <c r="AN48" i="5"/>
  <c r="AO48" i="5"/>
  <c r="AP48" i="5"/>
  <c r="AQ48" i="5"/>
  <c r="AR48" i="5"/>
  <c r="AS48" i="5"/>
  <c r="AT48" i="5"/>
  <c r="AU48" i="5"/>
  <c r="AV48" i="5"/>
  <c r="D49" i="5"/>
  <c r="E49" i="5"/>
  <c r="F49" i="5"/>
  <c r="G49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W49" i="5"/>
  <c r="X49" i="5"/>
  <c r="Y49" i="5"/>
  <c r="Z49" i="5"/>
  <c r="AA49" i="5"/>
  <c r="AB49" i="5"/>
  <c r="AC49" i="5"/>
  <c r="AD49" i="5"/>
  <c r="AE49" i="5"/>
  <c r="AF49" i="5"/>
  <c r="AG49" i="5"/>
  <c r="AH49" i="5"/>
  <c r="AI49" i="5"/>
  <c r="AJ49" i="5"/>
  <c r="AK49" i="5"/>
  <c r="AL49" i="5"/>
  <c r="AM49" i="5"/>
  <c r="AN49" i="5"/>
  <c r="AO49" i="5"/>
  <c r="AP49" i="5"/>
  <c r="AQ49" i="5"/>
  <c r="AR49" i="5"/>
  <c r="AS49" i="5"/>
  <c r="AT49" i="5"/>
  <c r="AU49" i="5"/>
  <c r="AV49" i="5"/>
  <c r="D50" i="5"/>
  <c r="E50" i="5"/>
  <c r="F50" i="5"/>
  <c r="G50" i="5"/>
  <c r="H50" i="5"/>
  <c r="I50" i="5"/>
  <c r="J50" i="5"/>
  <c r="K50" i="5"/>
  <c r="L50" i="5"/>
  <c r="M50" i="5"/>
  <c r="N50" i="5"/>
  <c r="O50" i="5"/>
  <c r="P50" i="5"/>
  <c r="Q50" i="5"/>
  <c r="R50" i="5"/>
  <c r="S50" i="5"/>
  <c r="T50" i="5"/>
  <c r="U50" i="5"/>
  <c r="V50" i="5"/>
  <c r="W50" i="5"/>
  <c r="X50" i="5"/>
  <c r="Y50" i="5"/>
  <c r="Z50" i="5"/>
  <c r="AA50" i="5"/>
  <c r="AB50" i="5"/>
  <c r="AC50" i="5"/>
  <c r="AD50" i="5"/>
  <c r="AE50" i="5"/>
  <c r="AF50" i="5"/>
  <c r="AG50" i="5"/>
  <c r="AH50" i="5"/>
  <c r="AI50" i="5"/>
  <c r="AJ50" i="5"/>
  <c r="AK50" i="5"/>
  <c r="AL50" i="5"/>
  <c r="AM50" i="5"/>
  <c r="AN50" i="5"/>
  <c r="AO50" i="5"/>
  <c r="AP50" i="5"/>
  <c r="AQ50" i="5"/>
  <c r="AR50" i="5"/>
  <c r="AS50" i="5"/>
  <c r="AT50" i="5"/>
  <c r="AU50" i="5"/>
  <c r="AV50" i="5"/>
  <c r="D51" i="5"/>
  <c r="E51" i="5"/>
  <c r="F51" i="5"/>
  <c r="G51" i="5"/>
  <c r="H51" i="5"/>
  <c r="I51" i="5"/>
  <c r="J51" i="5"/>
  <c r="K51" i="5"/>
  <c r="L51" i="5"/>
  <c r="M51" i="5"/>
  <c r="N51" i="5"/>
  <c r="O51" i="5"/>
  <c r="P51" i="5"/>
  <c r="Q51" i="5"/>
  <c r="R51" i="5"/>
  <c r="S51" i="5"/>
  <c r="T51" i="5"/>
  <c r="U51" i="5"/>
  <c r="V51" i="5"/>
  <c r="W51" i="5"/>
  <c r="X51" i="5"/>
  <c r="Y51" i="5"/>
  <c r="Z51" i="5"/>
  <c r="AA51" i="5"/>
  <c r="AB51" i="5"/>
  <c r="AC51" i="5"/>
  <c r="AD51" i="5"/>
  <c r="AE51" i="5"/>
  <c r="AF51" i="5"/>
  <c r="AG51" i="5"/>
  <c r="AH51" i="5"/>
  <c r="AI51" i="5"/>
  <c r="AJ51" i="5"/>
  <c r="AK51" i="5"/>
  <c r="AL51" i="5"/>
  <c r="AM51" i="5"/>
  <c r="AN51" i="5"/>
  <c r="AO51" i="5"/>
  <c r="AP51" i="5"/>
  <c r="AQ51" i="5"/>
  <c r="AR51" i="5"/>
  <c r="AS51" i="5"/>
  <c r="AT51" i="5"/>
  <c r="AU51" i="5"/>
  <c r="AV51" i="5"/>
  <c r="D52" i="5"/>
  <c r="E52" i="5"/>
  <c r="F52" i="5"/>
  <c r="G52" i="5"/>
  <c r="H52" i="5"/>
  <c r="I52" i="5"/>
  <c r="J52" i="5"/>
  <c r="K52" i="5"/>
  <c r="L52" i="5"/>
  <c r="M52" i="5"/>
  <c r="N52" i="5"/>
  <c r="O52" i="5"/>
  <c r="P52" i="5"/>
  <c r="Q52" i="5"/>
  <c r="R52" i="5"/>
  <c r="S52" i="5"/>
  <c r="T52" i="5"/>
  <c r="U52" i="5"/>
  <c r="V52" i="5"/>
  <c r="W52" i="5"/>
  <c r="X52" i="5"/>
  <c r="Y52" i="5"/>
  <c r="Z52" i="5"/>
  <c r="AA52" i="5"/>
  <c r="AB52" i="5"/>
  <c r="AC52" i="5"/>
  <c r="AD52" i="5"/>
  <c r="AE52" i="5"/>
  <c r="AF52" i="5"/>
  <c r="AG52" i="5"/>
  <c r="AH52" i="5"/>
  <c r="AI52" i="5"/>
  <c r="AJ52" i="5"/>
  <c r="AK52" i="5"/>
  <c r="AL52" i="5"/>
  <c r="AM52" i="5"/>
  <c r="AN52" i="5"/>
  <c r="AO52" i="5"/>
  <c r="AP52" i="5"/>
  <c r="AQ52" i="5"/>
  <c r="AR52" i="5"/>
  <c r="AS52" i="5"/>
  <c r="AT52" i="5"/>
  <c r="AU52" i="5"/>
  <c r="AV52" i="5"/>
  <c r="D53" i="5"/>
  <c r="E53" i="5"/>
  <c r="F53" i="5"/>
  <c r="G53" i="5"/>
  <c r="H53" i="5"/>
  <c r="I53" i="5"/>
  <c r="J53" i="5"/>
  <c r="K53" i="5"/>
  <c r="L53" i="5"/>
  <c r="M53" i="5"/>
  <c r="N53" i="5"/>
  <c r="O53" i="5"/>
  <c r="P53" i="5"/>
  <c r="Q53" i="5"/>
  <c r="R53" i="5"/>
  <c r="S53" i="5"/>
  <c r="T53" i="5"/>
  <c r="U53" i="5"/>
  <c r="V53" i="5"/>
  <c r="W53" i="5"/>
  <c r="X53" i="5"/>
  <c r="Y53" i="5"/>
  <c r="Z53" i="5"/>
  <c r="AA53" i="5"/>
  <c r="AB53" i="5"/>
  <c r="AC53" i="5"/>
  <c r="AD53" i="5"/>
  <c r="AE53" i="5"/>
  <c r="AF53" i="5"/>
  <c r="AG53" i="5"/>
  <c r="AH53" i="5"/>
  <c r="AI53" i="5"/>
  <c r="AJ53" i="5"/>
  <c r="AK53" i="5"/>
  <c r="AL53" i="5"/>
  <c r="AM53" i="5"/>
  <c r="AN53" i="5"/>
  <c r="AO53" i="5"/>
  <c r="AP53" i="5"/>
  <c r="AQ53" i="5"/>
  <c r="AR53" i="5"/>
  <c r="AS53" i="5"/>
  <c r="AT53" i="5"/>
  <c r="AU53" i="5"/>
  <c r="AV53" i="5"/>
  <c r="D54" i="5"/>
  <c r="E54" i="5"/>
  <c r="F54" i="5"/>
  <c r="G54" i="5"/>
  <c r="H54" i="5"/>
  <c r="I54" i="5"/>
  <c r="J54" i="5"/>
  <c r="K54" i="5"/>
  <c r="L54" i="5"/>
  <c r="M54" i="5"/>
  <c r="N54" i="5"/>
  <c r="O54" i="5"/>
  <c r="P54" i="5"/>
  <c r="Q54" i="5"/>
  <c r="R54" i="5"/>
  <c r="S54" i="5"/>
  <c r="T54" i="5"/>
  <c r="U54" i="5"/>
  <c r="V54" i="5"/>
  <c r="W54" i="5"/>
  <c r="X54" i="5"/>
  <c r="Y54" i="5"/>
  <c r="Z54" i="5"/>
  <c r="AA54" i="5"/>
  <c r="AB54" i="5"/>
  <c r="AC54" i="5"/>
  <c r="AD54" i="5"/>
  <c r="AE54" i="5"/>
  <c r="AF54" i="5"/>
  <c r="AG54" i="5"/>
  <c r="AH54" i="5"/>
  <c r="AI54" i="5"/>
  <c r="AJ54" i="5"/>
  <c r="AK54" i="5"/>
  <c r="AL54" i="5"/>
  <c r="AM54" i="5"/>
  <c r="AN54" i="5"/>
  <c r="AO54" i="5"/>
  <c r="AP54" i="5"/>
  <c r="AQ54" i="5"/>
  <c r="AR54" i="5"/>
  <c r="AS54" i="5"/>
  <c r="AT54" i="5"/>
  <c r="AU54" i="5"/>
  <c r="AV54" i="5"/>
  <c r="D55" i="5"/>
  <c r="E55" i="5"/>
  <c r="F55" i="5"/>
  <c r="G55" i="5"/>
  <c r="H55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W55" i="5"/>
  <c r="X55" i="5"/>
  <c r="Y55" i="5"/>
  <c r="Z55" i="5"/>
  <c r="AA55" i="5"/>
  <c r="AB55" i="5"/>
  <c r="AC55" i="5"/>
  <c r="AD55" i="5"/>
  <c r="AE55" i="5"/>
  <c r="AF55" i="5"/>
  <c r="AG55" i="5"/>
  <c r="AH55" i="5"/>
  <c r="AI55" i="5"/>
  <c r="AJ55" i="5"/>
  <c r="AK55" i="5"/>
  <c r="AL55" i="5"/>
  <c r="AM55" i="5"/>
  <c r="AN55" i="5"/>
  <c r="AO55" i="5"/>
  <c r="AP55" i="5"/>
  <c r="AQ55" i="5"/>
  <c r="AR55" i="5"/>
  <c r="AS55" i="5"/>
  <c r="AT55" i="5"/>
  <c r="AU55" i="5"/>
  <c r="AV55" i="5"/>
  <c r="D56" i="5"/>
  <c r="E56" i="5"/>
  <c r="F56" i="5"/>
  <c r="G56" i="5"/>
  <c r="H56" i="5"/>
  <c r="I56" i="5"/>
  <c r="J56" i="5"/>
  <c r="K56" i="5"/>
  <c r="L56" i="5"/>
  <c r="M56" i="5"/>
  <c r="N56" i="5"/>
  <c r="O56" i="5"/>
  <c r="P56" i="5"/>
  <c r="Q56" i="5"/>
  <c r="R56" i="5"/>
  <c r="S56" i="5"/>
  <c r="T56" i="5"/>
  <c r="U56" i="5"/>
  <c r="V56" i="5"/>
  <c r="W56" i="5"/>
  <c r="X56" i="5"/>
  <c r="Y56" i="5"/>
  <c r="Z56" i="5"/>
  <c r="AA56" i="5"/>
  <c r="AB56" i="5"/>
  <c r="AC56" i="5"/>
  <c r="AD56" i="5"/>
  <c r="AE56" i="5"/>
  <c r="AF56" i="5"/>
  <c r="AG56" i="5"/>
  <c r="AH56" i="5"/>
  <c r="AI56" i="5"/>
  <c r="AJ56" i="5"/>
  <c r="AK56" i="5"/>
  <c r="AL56" i="5"/>
  <c r="AM56" i="5"/>
  <c r="AN56" i="5"/>
  <c r="AO56" i="5"/>
  <c r="AP56" i="5"/>
  <c r="AQ56" i="5"/>
  <c r="AR56" i="5"/>
  <c r="AS56" i="5"/>
  <c r="AT56" i="5"/>
  <c r="AU56" i="5"/>
  <c r="AV56" i="5"/>
  <c r="D57" i="5"/>
  <c r="E57" i="5"/>
  <c r="F57" i="5"/>
  <c r="G57" i="5"/>
  <c r="H57" i="5"/>
  <c r="I57" i="5"/>
  <c r="J57" i="5"/>
  <c r="K57" i="5"/>
  <c r="L57" i="5"/>
  <c r="M57" i="5"/>
  <c r="N57" i="5"/>
  <c r="O57" i="5"/>
  <c r="P57" i="5"/>
  <c r="Q57" i="5"/>
  <c r="R57" i="5"/>
  <c r="S57" i="5"/>
  <c r="T57" i="5"/>
  <c r="U57" i="5"/>
  <c r="V57" i="5"/>
  <c r="W57" i="5"/>
  <c r="X57" i="5"/>
  <c r="Y57" i="5"/>
  <c r="Z57" i="5"/>
  <c r="AA57" i="5"/>
  <c r="AB57" i="5"/>
  <c r="AC57" i="5"/>
  <c r="AD57" i="5"/>
  <c r="AE57" i="5"/>
  <c r="AF57" i="5"/>
  <c r="AG57" i="5"/>
  <c r="AH57" i="5"/>
  <c r="AI57" i="5"/>
  <c r="AJ57" i="5"/>
  <c r="AK57" i="5"/>
  <c r="AL57" i="5"/>
  <c r="AM57" i="5"/>
  <c r="AN57" i="5"/>
  <c r="AO57" i="5"/>
  <c r="AP57" i="5"/>
  <c r="AQ57" i="5"/>
  <c r="AR57" i="5"/>
  <c r="AS57" i="5"/>
  <c r="AT57" i="5"/>
  <c r="AU57" i="5"/>
  <c r="AV57" i="5"/>
  <c r="D58" i="5"/>
  <c r="E58" i="5"/>
  <c r="F58" i="5"/>
  <c r="G58" i="5"/>
  <c r="H58" i="5"/>
  <c r="I58" i="5"/>
  <c r="J58" i="5"/>
  <c r="K58" i="5"/>
  <c r="L58" i="5"/>
  <c r="M58" i="5"/>
  <c r="N58" i="5"/>
  <c r="O58" i="5"/>
  <c r="P58" i="5"/>
  <c r="Q58" i="5"/>
  <c r="R58" i="5"/>
  <c r="S58" i="5"/>
  <c r="T58" i="5"/>
  <c r="U58" i="5"/>
  <c r="V58" i="5"/>
  <c r="W58" i="5"/>
  <c r="X58" i="5"/>
  <c r="Y58" i="5"/>
  <c r="Z58" i="5"/>
  <c r="AA58" i="5"/>
  <c r="AB58" i="5"/>
  <c r="AC58" i="5"/>
  <c r="AD58" i="5"/>
  <c r="AE58" i="5"/>
  <c r="AF58" i="5"/>
  <c r="AG58" i="5"/>
  <c r="AH58" i="5"/>
  <c r="AI58" i="5"/>
  <c r="AJ58" i="5"/>
  <c r="AK58" i="5"/>
  <c r="AL58" i="5"/>
  <c r="AM58" i="5"/>
  <c r="AN58" i="5"/>
  <c r="AO58" i="5"/>
  <c r="AP58" i="5"/>
  <c r="AQ58" i="5"/>
  <c r="AR58" i="5"/>
  <c r="AS58" i="5"/>
  <c r="AT58" i="5"/>
  <c r="AU58" i="5"/>
  <c r="AV58" i="5"/>
  <c r="D59" i="5"/>
  <c r="E59" i="5"/>
  <c r="F59" i="5"/>
  <c r="G59" i="5"/>
  <c r="H59" i="5"/>
  <c r="I59" i="5"/>
  <c r="J59" i="5"/>
  <c r="K59" i="5"/>
  <c r="L59" i="5"/>
  <c r="M59" i="5"/>
  <c r="N59" i="5"/>
  <c r="O59" i="5"/>
  <c r="P59" i="5"/>
  <c r="Q59" i="5"/>
  <c r="R59" i="5"/>
  <c r="S59" i="5"/>
  <c r="T59" i="5"/>
  <c r="U59" i="5"/>
  <c r="V59" i="5"/>
  <c r="W59" i="5"/>
  <c r="X59" i="5"/>
  <c r="Y59" i="5"/>
  <c r="Z59" i="5"/>
  <c r="AA59" i="5"/>
  <c r="AB59" i="5"/>
  <c r="AC59" i="5"/>
  <c r="AD59" i="5"/>
  <c r="AE59" i="5"/>
  <c r="AF59" i="5"/>
  <c r="AG59" i="5"/>
  <c r="AH59" i="5"/>
  <c r="AI59" i="5"/>
  <c r="AJ59" i="5"/>
  <c r="AK59" i="5"/>
  <c r="AL59" i="5"/>
  <c r="AM59" i="5"/>
  <c r="AN59" i="5"/>
  <c r="AO59" i="5"/>
  <c r="AP59" i="5"/>
  <c r="AQ59" i="5"/>
  <c r="AR59" i="5"/>
  <c r="AS59" i="5"/>
  <c r="AT59" i="5"/>
  <c r="AU59" i="5"/>
  <c r="AV59" i="5"/>
  <c r="D60" i="5"/>
  <c r="E60" i="5"/>
  <c r="F60" i="5"/>
  <c r="G60" i="5"/>
  <c r="H60" i="5"/>
  <c r="I60" i="5"/>
  <c r="J60" i="5"/>
  <c r="K60" i="5"/>
  <c r="L60" i="5"/>
  <c r="M60" i="5"/>
  <c r="N60" i="5"/>
  <c r="O60" i="5"/>
  <c r="P60" i="5"/>
  <c r="Q60" i="5"/>
  <c r="R60" i="5"/>
  <c r="S60" i="5"/>
  <c r="T60" i="5"/>
  <c r="U60" i="5"/>
  <c r="V60" i="5"/>
  <c r="W60" i="5"/>
  <c r="X60" i="5"/>
  <c r="Y60" i="5"/>
  <c r="Z60" i="5"/>
  <c r="AA60" i="5"/>
  <c r="AB60" i="5"/>
  <c r="AC60" i="5"/>
  <c r="AD60" i="5"/>
  <c r="AE60" i="5"/>
  <c r="AF60" i="5"/>
  <c r="AG60" i="5"/>
  <c r="AH60" i="5"/>
  <c r="AI60" i="5"/>
  <c r="AJ60" i="5"/>
  <c r="AK60" i="5"/>
  <c r="AL60" i="5"/>
  <c r="AM60" i="5"/>
  <c r="AN60" i="5"/>
  <c r="AO60" i="5"/>
  <c r="AP60" i="5"/>
  <c r="AQ60" i="5"/>
  <c r="AR60" i="5"/>
  <c r="AS60" i="5"/>
  <c r="AT60" i="5"/>
  <c r="AU60" i="5"/>
  <c r="AV60" i="5"/>
  <c r="D61" i="5"/>
  <c r="E61" i="5"/>
  <c r="F61" i="5"/>
  <c r="G61" i="5"/>
  <c r="H61" i="5"/>
  <c r="I61" i="5"/>
  <c r="J61" i="5"/>
  <c r="K61" i="5"/>
  <c r="L61" i="5"/>
  <c r="M61" i="5"/>
  <c r="N61" i="5"/>
  <c r="O61" i="5"/>
  <c r="P61" i="5"/>
  <c r="Q61" i="5"/>
  <c r="R61" i="5"/>
  <c r="S61" i="5"/>
  <c r="T61" i="5"/>
  <c r="U61" i="5"/>
  <c r="V61" i="5"/>
  <c r="W61" i="5"/>
  <c r="X61" i="5"/>
  <c r="Y61" i="5"/>
  <c r="Z61" i="5"/>
  <c r="AA61" i="5"/>
  <c r="AB61" i="5"/>
  <c r="AC61" i="5"/>
  <c r="AD61" i="5"/>
  <c r="AE61" i="5"/>
  <c r="AF61" i="5"/>
  <c r="AG61" i="5"/>
  <c r="AH61" i="5"/>
  <c r="AI61" i="5"/>
  <c r="AJ61" i="5"/>
  <c r="AK61" i="5"/>
  <c r="AL61" i="5"/>
  <c r="AM61" i="5"/>
  <c r="AN61" i="5"/>
  <c r="AO61" i="5"/>
  <c r="AP61" i="5"/>
  <c r="AQ61" i="5"/>
  <c r="AR61" i="5"/>
  <c r="AS61" i="5"/>
  <c r="AT61" i="5"/>
  <c r="AU61" i="5"/>
  <c r="AV61" i="5"/>
  <c r="D62" i="5"/>
  <c r="E62" i="5"/>
  <c r="F62" i="5"/>
  <c r="G62" i="5"/>
  <c r="H62" i="5"/>
  <c r="I62" i="5"/>
  <c r="J62" i="5"/>
  <c r="K62" i="5"/>
  <c r="L62" i="5"/>
  <c r="M62" i="5"/>
  <c r="N62" i="5"/>
  <c r="O62" i="5"/>
  <c r="P62" i="5"/>
  <c r="Q62" i="5"/>
  <c r="R62" i="5"/>
  <c r="S62" i="5"/>
  <c r="T62" i="5"/>
  <c r="U62" i="5"/>
  <c r="V62" i="5"/>
  <c r="W62" i="5"/>
  <c r="X62" i="5"/>
  <c r="Y62" i="5"/>
  <c r="Z62" i="5"/>
  <c r="AA62" i="5"/>
  <c r="AB62" i="5"/>
  <c r="AC62" i="5"/>
  <c r="AD62" i="5"/>
  <c r="AE62" i="5"/>
  <c r="AF62" i="5"/>
  <c r="AG62" i="5"/>
  <c r="AH62" i="5"/>
  <c r="AI62" i="5"/>
  <c r="AJ62" i="5"/>
  <c r="AK62" i="5"/>
  <c r="AL62" i="5"/>
  <c r="AM62" i="5"/>
  <c r="AN62" i="5"/>
  <c r="AO62" i="5"/>
  <c r="AP62" i="5"/>
  <c r="AQ62" i="5"/>
  <c r="AR62" i="5"/>
  <c r="AS62" i="5"/>
  <c r="AT62" i="5"/>
  <c r="AU62" i="5"/>
  <c r="AV62" i="5"/>
  <c r="D63" i="5"/>
  <c r="E63" i="5"/>
  <c r="F63" i="5"/>
  <c r="G63" i="5"/>
  <c r="H63" i="5"/>
  <c r="I63" i="5"/>
  <c r="J63" i="5"/>
  <c r="K63" i="5"/>
  <c r="L63" i="5"/>
  <c r="M63" i="5"/>
  <c r="N63" i="5"/>
  <c r="O63" i="5"/>
  <c r="P63" i="5"/>
  <c r="Q63" i="5"/>
  <c r="R63" i="5"/>
  <c r="S63" i="5"/>
  <c r="T63" i="5"/>
  <c r="U63" i="5"/>
  <c r="V63" i="5"/>
  <c r="W63" i="5"/>
  <c r="X63" i="5"/>
  <c r="Y63" i="5"/>
  <c r="Z63" i="5"/>
  <c r="AA63" i="5"/>
  <c r="AB63" i="5"/>
  <c r="AC63" i="5"/>
  <c r="AD63" i="5"/>
  <c r="AE63" i="5"/>
  <c r="AF63" i="5"/>
  <c r="AG63" i="5"/>
  <c r="AH63" i="5"/>
  <c r="AI63" i="5"/>
  <c r="AJ63" i="5"/>
  <c r="AK63" i="5"/>
  <c r="AL63" i="5"/>
  <c r="AM63" i="5"/>
  <c r="AN63" i="5"/>
  <c r="AO63" i="5"/>
  <c r="AP63" i="5"/>
  <c r="AQ63" i="5"/>
  <c r="AR63" i="5"/>
  <c r="AS63" i="5"/>
  <c r="AT63" i="5"/>
  <c r="AU63" i="5"/>
  <c r="AV63" i="5"/>
  <c r="D64" i="5"/>
  <c r="E64" i="5"/>
  <c r="F64" i="5"/>
  <c r="G64" i="5"/>
  <c r="H64" i="5"/>
  <c r="I64" i="5"/>
  <c r="J64" i="5"/>
  <c r="K64" i="5"/>
  <c r="L64" i="5"/>
  <c r="M64" i="5"/>
  <c r="N64" i="5"/>
  <c r="O64" i="5"/>
  <c r="P64" i="5"/>
  <c r="Q64" i="5"/>
  <c r="R64" i="5"/>
  <c r="S64" i="5"/>
  <c r="T64" i="5"/>
  <c r="U64" i="5"/>
  <c r="V64" i="5"/>
  <c r="W64" i="5"/>
  <c r="X64" i="5"/>
  <c r="Y64" i="5"/>
  <c r="Z64" i="5"/>
  <c r="AA64" i="5"/>
  <c r="AB64" i="5"/>
  <c r="AC64" i="5"/>
  <c r="AD64" i="5"/>
  <c r="AE64" i="5"/>
  <c r="AF64" i="5"/>
  <c r="AG64" i="5"/>
  <c r="AH64" i="5"/>
  <c r="AI64" i="5"/>
  <c r="AJ64" i="5"/>
  <c r="AK64" i="5"/>
  <c r="AL64" i="5"/>
  <c r="AM64" i="5"/>
  <c r="AN64" i="5"/>
  <c r="AO64" i="5"/>
  <c r="AP64" i="5"/>
  <c r="AQ64" i="5"/>
  <c r="AR64" i="5"/>
  <c r="AS64" i="5"/>
  <c r="AT64" i="5"/>
  <c r="AU64" i="5"/>
  <c r="AV64" i="5"/>
  <c r="D65" i="5"/>
  <c r="E65" i="5"/>
  <c r="F65" i="5"/>
  <c r="G65" i="5"/>
  <c r="H65" i="5"/>
  <c r="I65" i="5"/>
  <c r="J65" i="5"/>
  <c r="K65" i="5"/>
  <c r="L65" i="5"/>
  <c r="M65" i="5"/>
  <c r="N65" i="5"/>
  <c r="O65" i="5"/>
  <c r="P65" i="5"/>
  <c r="Q65" i="5"/>
  <c r="R65" i="5"/>
  <c r="S65" i="5"/>
  <c r="T65" i="5"/>
  <c r="U65" i="5"/>
  <c r="V65" i="5"/>
  <c r="W65" i="5"/>
  <c r="X65" i="5"/>
  <c r="Y65" i="5"/>
  <c r="Z65" i="5"/>
  <c r="AA65" i="5"/>
  <c r="AB65" i="5"/>
  <c r="AC65" i="5"/>
  <c r="AD65" i="5"/>
  <c r="AE65" i="5"/>
  <c r="AF65" i="5"/>
  <c r="AG65" i="5"/>
  <c r="AH65" i="5"/>
  <c r="AI65" i="5"/>
  <c r="AJ65" i="5"/>
  <c r="AK65" i="5"/>
  <c r="AL65" i="5"/>
  <c r="AM65" i="5"/>
  <c r="AN65" i="5"/>
  <c r="AO65" i="5"/>
  <c r="AP65" i="5"/>
  <c r="AQ65" i="5"/>
  <c r="AR65" i="5"/>
  <c r="AS65" i="5"/>
  <c r="AT65" i="5"/>
  <c r="AU65" i="5"/>
  <c r="AV65" i="5"/>
  <c r="D66" i="5"/>
  <c r="E66" i="5"/>
  <c r="F66" i="5"/>
  <c r="G66" i="5"/>
  <c r="H66" i="5"/>
  <c r="I66" i="5"/>
  <c r="J66" i="5"/>
  <c r="K66" i="5"/>
  <c r="L66" i="5"/>
  <c r="M66" i="5"/>
  <c r="N66" i="5"/>
  <c r="O66" i="5"/>
  <c r="P66" i="5"/>
  <c r="Q66" i="5"/>
  <c r="R66" i="5"/>
  <c r="S66" i="5"/>
  <c r="T66" i="5"/>
  <c r="U66" i="5"/>
  <c r="V66" i="5"/>
  <c r="W66" i="5"/>
  <c r="X66" i="5"/>
  <c r="Y66" i="5"/>
  <c r="Z66" i="5"/>
  <c r="AA66" i="5"/>
  <c r="AB66" i="5"/>
  <c r="AC66" i="5"/>
  <c r="AD66" i="5"/>
  <c r="AE66" i="5"/>
  <c r="AF66" i="5"/>
  <c r="AG66" i="5"/>
  <c r="AH66" i="5"/>
  <c r="AI66" i="5"/>
  <c r="AJ66" i="5"/>
  <c r="AK66" i="5"/>
  <c r="AL66" i="5"/>
  <c r="AM66" i="5"/>
  <c r="AN66" i="5"/>
  <c r="AO66" i="5"/>
  <c r="AP66" i="5"/>
  <c r="AQ66" i="5"/>
  <c r="AR66" i="5"/>
  <c r="AS66" i="5"/>
  <c r="AT66" i="5"/>
  <c r="AU66" i="5"/>
  <c r="AV66" i="5"/>
  <c r="D67" i="5"/>
  <c r="E67" i="5"/>
  <c r="F67" i="5"/>
  <c r="G67" i="5"/>
  <c r="H67" i="5"/>
  <c r="I67" i="5"/>
  <c r="J67" i="5"/>
  <c r="K67" i="5"/>
  <c r="L67" i="5"/>
  <c r="M67" i="5"/>
  <c r="N67" i="5"/>
  <c r="O67" i="5"/>
  <c r="P67" i="5"/>
  <c r="Q67" i="5"/>
  <c r="R67" i="5"/>
  <c r="S67" i="5"/>
  <c r="T67" i="5"/>
  <c r="U67" i="5"/>
  <c r="V67" i="5"/>
  <c r="W67" i="5"/>
  <c r="X67" i="5"/>
  <c r="Y67" i="5"/>
  <c r="Z67" i="5"/>
  <c r="AA67" i="5"/>
  <c r="AB67" i="5"/>
  <c r="AC67" i="5"/>
  <c r="AD67" i="5"/>
  <c r="AE67" i="5"/>
  <c r="AF67" i="5"/>
  <c r="AG67" i="5"/>
  <c r="AH67" i="5"/>
  <c r="AI67" i="5"/>
  <c r="AJ67" i="5"/>
  <c r="AK67" i="5"/>
  <c r="AL67" i="5"/>
  <c r="AM67" i="5"/>
  <c r="AN67" i="5"/>
  <c r="AO67" i="5"/>
  <c r="AP67" i="5"/>
  <c r="AQ67" i="5"/>
  <c r="AR67" i="5"/>
  <c r="AS67" i="5"/>
  <c r="AT67" i="5"/>
  <c r="AU67" i="5"/>
  <c r="AV67" i="5"/>
  <c r="D68" i="5"/>
  <c r="E68" i="5"/>
  <c r="F68" i="5"/>
  <c r="G68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W68" i="5"/>
  <c r="X68" i="5"/>
  <c r="Y68" i="5"/>
  <c r="Z68" i="5"/>
  <c r="AA68" i="5"/>
  <c r="AB68" i="5"/>
  <c r="AC68" i="5"/>
  <c r="AD68" i="5"/>
  <c r="AE68" i="5"/>
  <c r="AF68" i="5"/>
  <c r="AG68" i="5"/>
  <c r="AH68" i="5"/>
  <c r="AI68" i="5"/>
  <c r="AJ68" i="5"/>
  <c r="AK68" i="5"/>
  <c r="AL68" i="5"/>
  <c r="AM68" i="5"/>
  <c r="AN68" i="5"/>
  <c r="AO68" i="5"/>
  <c r="AP68" i="5"/>
  <c r="AQ68" i="5"/>
  <c r="AR68" i="5"/>
  <c r="AS68" i="5"/>
  <c r="AT68" i="5"/>
  <c r="AU68" i="5"/>
  <c r="AV68" i="5"/>
  <c r="D69" i="5"/>
  <c r="E69" i="5"/>
  <c r="F69" i="5"/>
  <c r="G69" i="5"/>
  <c r="H69" i="5"/>
  <c r="I69" i="5"/>
  <c r="J69" i="5"/>
  <c r="K69" i="5"/>
  <c r="L69" i="5"/>
  <c r="M69" i="5"/>
  <c r="N69" i="5"/>
  <c r="O69" i="5"/>
  <c r="P69" i="5"/>
  <c r="Q69" i="5"/>
  <c r="R69" i="5"/>
  <c r="S69" i="5"/>
  <c r="T69" i="5"/>
  <c r="U69" i="5"/>
  <c r="V69" i="5"/>
  <c r="W69" i="5"/>
  <c r="X69" i="5"/>
  <c r="Y69" i="5"/>
  <c r="Z69" i="5"/>
  <c r="AA69" i="5"/>
  <c r="AB69" i="5"/>
  <c r="AC69" i="5"/>
  <c r="AD69" i="5"/>
  <c r="AE69" i="5"/>
  <c r="AF69" i="5"/>
  <c r="AG69" i="5"/>
  <c r="AH69" i="5"/>
  <c r="AI69" i="5"/>
  <c r="AJ69" i="5"/>
  <c r="AK69" i="5"/>
  <c r="AL69" i="5"/>
  <c r="AM69" i="5"/>
  <c r="AN69" i="5"/>
  <c r="AO69" i="5"/>
  <c r="AP69" i="5"/>
  <c r="AQ69" i="5"/>
  <c r="AR69" i="5"/>
  <c r="AS69" i="5"/>
  <c r="AT69" i="5"/>
  <c r="AU69" i="5"/>
  <c r="AV69" i="5"/>
  <c r="D70" i="5"/>
  <c r="E70" i="5"/>
  <c r="F70" i="5"/>
  <c r="G70" i="5"/>
  <c r="H70" i="5"/>
  <c r="I70" i="5"/>
  <c r="J70" i="5"/>
  <c r="K70" i="5"/>
  <c r="L70" i="5"/>
  <c r="M70" i="5"/>
  <c r="N70" i="5"/>
  <c r="O70" i="5"/>
  <c r="P70" i="5"/>
  <c r="Q70" i="5"/>
  <c r="R70" i="5"/>
  <c r="S70" i="5"/>
  <c r="T70" i="5"/>
  <c r="U70" i="5"/>
  <c r="V70" i="5"/>
  <c r="W70" i="5"/>
  <c r="X70" i="5"/>
  <c r="Y70" i="5"/>
  <c r="Z70" i="5"/>
  <c r="AA70" i="5"/>
  <c r="AB70" i="5"/>
  <c r="AC70" i="5"/>
  <c r="AD70" i="5"/>
  <c r="AE70" i="5"/>
  <c r="AF70" i="5"/>
  <c r="AG70" i="5"/>
  <c r="AH70" i="5"/>
  <c r="AI70" i="5"/>
  <c r="AJ70" i="5"/>
  <c r="AK70" i="5"/>
  <c r="AL70" i="5"/>
  <c r="AM70" i="5"/>
  <c r="AN70" i="5"/>
  <c r="AO70" i="5"/>
  <c r="AP70" i="5"/>
  <c r="AQ70" i="5"/>
  <c r="AR70" i="5"/>
  <c r="AS70" i="5"/>
  <c r="AT70" i="5"/>
  <c r="AU70" i="5"/>
  <c r="AV70" i="5"/>
  <c r="D71" i="5"/>
  <c r="E71" i="5"/>
  <c r="F71" i="5"/>
  <c r="G71" i="5"/>
  <c r="H71" i="5"/>
  <c r="I71" i="5"/>
  <c r="J71" i="5"/>
  <c r="K71" i="5"/>
  <c r="L71" i="5"/>
  <c r="M71" i="5"/>
  <c r="N71" i="5"/>
  <c r="O71" i="5"/>
  <c r="P71" i="5"/>
  <c r="Q71" i="5"/>
  <c r="R71" i="5"/>
  <c r="S71" i="5"/>
  <c r="T71" i="5"/>
  <c r="U71" i="5"/>
  <c r="V71" i="5"/>
  <c r="W71" i="5"/>
  <c r="X71" i="5"/>
  <c r="Y71" i="5"/>
  <c r="Z71" i="5"/>
  <c r="AA71" i="5"/>
  <c r="AB71" i="5"/>
  <c r="AC71" i="5"/>
  <c r="AD71" i="5"/>
  <c r="AE71" i="5"/>
  <c r="AF71" i="5"/>
  <c r="AG71" i="5"/>
  <c r="AH71" i="5"/>
  <c r="AI71" i="5"/>
  <c r="AJ71" i="5"/>
  <c r="AK71" i="5"/>
  <c r="AL71" i="5"/>
  <c r="AM71" i="5"/>
  <c r="AN71" i="5"/>
  <c r="AO71" i="5"/>
  <c r="AP71" i="5"/>
  <c r="AQ71" i="5"/>
  <c r="AR71" i="5"/>
  <c r="AS71" i="5"/>
  <c r="AT71" i="5"/>
  <c r="AU71" i="5"/>
  <c r="AV71" i="5"/>
  <c r="D72" i="5"/>
  <c r="E72" i="5"/>
  <c r="F72" i="5"/>
  <c r="G72" i="5"/>
  <c r="H72" i="5"/>
  <c r="I72" i="5"/>
  <c r="J72" i="5"/>
  <c r="K72" i="5"/>
  <c r="L72" i="5"/>
  <c r="M72" i="5"/>
  <c r="N72" i="5"/>
  <c r="O72" i="5"/>
  <c r="P72" i="5"/>
  <c r="Q72" i="5"/>
  <c r="R72" i="5"/>
  <c r="S72" i="5"/>
  <c r="T72" i="5"/>
  <c r="U72" i="5"/>
  <c r="V72" i="5"/>
  <c r="W72" i="5"/>
  <c r="X72" i="5"/>
  <c r="Y72" i="5"/>
  <c r="Z72" i="5"/>
  <c r="AA72" i="5"/>
  <c r="AB72" i="5"/>
  <c r="AC72" i="5"/>
  <c r="AD72" i="5"/>
  <c r="AE72" i="5"/>
  <c r="AF72" i="5"/>
  <c r="AG72" i="5"/>
  <c r="AH72" i="5"/>
  <c r="AI72" i="5"/>
  <c r="AJ72" i="5"/>
  <c r="AK72" i="5"/>
  <c r="AL72" i="5"/>
  <c r="AM72" i="5"/>
  <c r="AN72" i="5"/>
  <c r="AO72" i="5"/>
  <c r="AP72" i="5"/>
  <c r="AQ72" i="5"/>
  <c r="AR72" i="5"/>
  <c r="AS72" i="5"/>
  <c r="AT72" i="5"/>
  <c r="AU72" i="5"/>
  <c r="AV72" i="5"/>
  <c r="D73" i="5"/>
  <c r="E73" i="5"/>
  <c r="F73" i="5"/>
  <c r="G73" i="5"/>
  <c r="H73" i="5"/>
  <c r="I73" i="5"/>
  <c r="J73" i="5"/>
  <c r="K73" i="5"/>
  <c r="L73" i="5"/>
  <c r="M73" i="5"/>
  <c r="N73" i="5"/>
  <c r="O73" i="5"/>
  <c r="P73" i="5"/>
  <c r="Q73" i="5"/>
  <c r="R73" i="5"/>
  <c r="S73" i="5"/>
  <c r="T73" i="5"/>
  <c r="U73" i="5"/>
  <c r="V73" i="5"/>
  <c r="W73" i="5"/>
  <c r="X73" i="5"/>
  <c r="Y73" i="5"/>
  <c r="Z73" i="5"/>
  <c r="AA73" i="5"/>
  <c r="AB73" i="5"/>
  <c r="AC73" i="5"/>
  <c r="AD73" i="5"/>
  <c r="AE73" i="5"/>
  <c r="AF73" i="5"/>
  <c r="AG73" i="5"/>
  <c r="AH73" i="5"/>
  <c r="AI73" i="5"/>
  <c r="AJ73" i="5"/>
  <c r="AK73" i="5"/>
  <c r="AL73" i="5"/>
  <c r="AM73" i="5"/>
  <c r="AN73" i="5"/>
  <c r="AO73" i="5"/>
  <c r="AP73" i="5"/>
  <c r="AQ73" i="5"/>
  <c r="AR73" i="5"/>
  <c r="AS73" i="5"/>
  <c r="AT73" i="5"/>
  <c r="AU73" i="5"/>
  <c r="AV73" i="5"/>
  <c r="D74" i="5"/>
  <c r="E74" i="5"/>
  <c r="F74" i="5"/>
  <c r="G74" i="5"/>
  <c r="H74" i="5"/>
  <c r="I74" i="5"/>
  <c r="J74" i="5"/>
  <c r="K74" i="5"/>
  <c r="L74" i="5"/>
  <c r="M74" i="5"/>
  <c r="N74" i="5"/>
  <c r="O74" i="5"/>
  <c r="P74" i="5"/>
  <c r="Q74" i="5"/>
  <c r="R74" i="5"/>
  <c r="S74" i="5"/>
  <c r="T74" i="5"/>
  <c r="U74" i="5"/>
  <c r="V74" i="5"/>
  <c r="W74" i="5"/>
  <c r="X74" i="5"/>
  <c r="Y74" i="5"/>
  <c r="Z74" i="5"/>
  <c r="AA74" i="5"/>
  <c r="AB74" i="5"/>
  <c r="AC74" i="5"/>
  <c r="AD74" i="5"/>
  <c r="AE74" i="5"/>
  <c r="AF74" i="5"/>
  <c r="AG74" i="5"/>
  <c r="AH74" i="5"/>
  <c r="AI74" i="5"/>
  <c r="AJ74" i="5"/>
  <c r="AK74" i="5"/>
  <c r="AL74" i="5"/>
  <c r="AM74" i="5"/>
  <c r="AN74" i="5"/>
  <c r="AO74" i="5"/>
  <c r="AP74" i="5"/>
  <c r="AQ74" i="5"/>
  <c r="AR74" i="5"/>
  <c r="AS74" i="5"/>
  <c r="AT74" i="5"/>
  <c r="AU74" i="5"/>
  <c r="AV74" i="5"/>
  <c r="D75" i="5"/>
  <c r="E75" i="5"/>
  <c r="F75" i="5"/>
  <c r="G75" i="5"/>
  <c r="H75" i="5"/>
  <c r="I75" i="5"/>
  <c r="J75" i="5"/>
  <c r="K75" i="5"/>
  <c r="L75" i="5"/>
  <c r="M75" i="5"/>
  <c r="N75" i="5"/>
  <c r="O75" i="5"/>
  <c r="P75" i="5"/>
  <c r="Q75" i="5"/>
  <c r="R75" i="5"/>
  <c r="S75" i="5"/>
  <c r="T75" i="5"/>
  <c r="U75" i="5"/>
  <c r="V75" i="5"/>
  <c r="W75" i="5"/>
  <c r="X75" i="5"/>
  <c r="Y75" i="5"/>
  <c r="Z75" i="5"/>
  <c r="AA75" i="5"/>
  <c r="AB75" i="5"/>
  <c r="AC75" i="5"/>
  <c r="AD75" i="5"/>
  <c r="AE75" i="5"/>
  <c r="AF75" i="5"/>
  <c r="AG75" i="5"/>
  <c r="AH75" i="5"/>
  <c r="AI75" i="5"/>
  <c r="AJ75" i="5"/>
  <c r="AK75" i="5"/>
  <c r="AL75" i="5"/>
  <c r="AM75" i="5"/>
  <c r="AN75" i="5"/>
  <c r="AO75" i="5"/>
  <c r="AP75" i="5"/>
  <c r="AQ75" i="5"/>
  <c r="AR75" i="5"/>
  <c r="AS75" i="5"/>
  <c r="AT75" i="5"/>
  <c r="AU75" i="5"/>
  <c r="AV75" i="5"/>
  <c r="D76" i="5"/>
  <c r="E76" i="5"/>
  <c r="F76" i="5"/>
  <c r="G76" i="5"/>
  <c r="H76" i="5"/>
  <c r="I76" i="5"/>
  <c r="J76" i="5"/>
  <c r="K76" i="5"/>
  <c r="L76" i="5"/>
  <c r="M76" i="5"/>
  <c r="N76" i="5"/>
  <c r="O76" i="5"/>
  <c r="P76" i="5"/>
  <c r="Q76" i="5"/>
  <c r="R76" i="5"/>
  <c r="S76" i="5"/>
  <c r="T76" i="5"/>
  <c r="U76" i="5"/>
  <c r="V76" i="5"/>
  <c r="W76" i="5"/>
  <c r="X76" i="5"/>
  <c r="Y76" i="5"/>
  <c r="Z76" i="5"/>
  <c r="AA76" i="5"/>
  <c r="AB76" i="5"/>
  <c r="AC76" i="5"/>
  <c r="AD76" i="5"/>
  <c r="AE76" i="5"/>
  <c r="AF76" i="5"/>
  <c r="AG76" i="5"/>
  <c r="AH76" i="5"/>
  <c r="AI76" i="5"/>
  <c r="AJ76" i="5"/>
  <c r="AK76" i="5"/>
  <c r="AL76" i="5"/>
  <c r="AM76" i="5"/>
  <c r="AN76" i="5"/>
  <c r="AO76" i="5"/>
  <c r="AP76" i="5"/>
  <c r="AQ76" i="5"/>
  <c r="AR76" i="5"/>
  <c r="AS76" i="5"/>
  <c r="AT76" i="5"/>
  <c r="AU76" i="5"/>
  <c r="AV76" i="5"/>
  <c r="D77" i="5"/>
  <c r="E77" i="5"/>
  <c r="F77" i="5"/>
  <c r="G77" i="5"/>
  <c r="H77" i="5"/>
  <c r="I77" i="5"/>
  <c r="J77" i="5"/>
  <c r="K77" i="5"/>
  <c r="L77" i="5"/>
  <c r="M77" i="5"/>
  <c r="N77" i="5"/>
  <c r="O77" i="5"/>
  <c r="P77" i="5"/>
  <c r="Q77" i="5"/>
  <c r="R77" i="5"/>
  <c r="S77" i="5"/>
  <c r="T77" i="5"/>
  <c r="U77" i="5"/>
  <c r="V77" i="5"/>
  <c r="W77" i="5"/>
  <c r="X77" i="5"/>
  <c r="Y77" i="5"/>
  <c r="Z77" i="5"/>
  <c r="AA77" i="5"/>
  <c r="AB77" i="5"/>
  <c r="AC77" i="5"/>
  <c r="AD77" i="5"/>
  <c r="AE77" i="5"/>
  <c r="AF77" i="5"/>
  <c r="AG77" i="5"/>
  <c r="AH77" i="5"/>
  <c r="AI77" i="5"/>
  <c r="AJ77" i="5"/>
  <c r="AK77" i="5"/>
  <c r="AL77" i="5"/>
  <c r="AM77" i="5"/>
  <c r="AN77" i="5"/>
  <c r="AO77" i="5"/>
  <c r="AP77" i="5"/>
  <c r="AQ77" i="5"/>
  <c r="AR77" i="5"/>
  <c r="AS77" i="5"/>
  <c r="AT77" i="5"/>
  <c r="AU77" i="5"/>
  <c r="AV77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R87" i="5"/>
  <c r="S87" i="5"/>
  <c r="T87" i="5"/>
  <c r="U87" i="5"/>
  <c r="V87" i="5"/>
  <c r="W87" i="5"/>
  <c r="X87" i="5"/>
  <c r="Y87" i="5"/>
  <c r="Z87" i="5"/>
  <c r="AA87" i="5"/>
  <c r="AB87" i="5"/>
  <c r="AC87" i="5"/>
  <c r="AD87" i="5"/>
  <c r="AE87" i="5"/>
  <c r="AF87" i="5"/>
  <c r="AG87" i="5"/>
  <c r="AH87" i="5"/>
  <c r="AI87" i="5"/>
  <c r="AJ87" i="5"/>
  <c r="AK87" i="5"/>
  <c r="AL87" i="5"/>
  <c r="AM87" i="5"/>
  <c r="AN87" i="5"/>
  <c r="AO87" i="5"/>
  <c r="AP87" i="5"/>
  <c r="AQ87" i="5"/>
  <c r="AR87" i="5"/>
  <c r="AS87" i="5"/>
  <c r="AT87" i="5"/>
  <c r="AU87" i="5"/>
  <c r="AV87" i="5"/>
  <c r="AW87" i="5"/>
  <c r="R88" i="5"/>
  <c r="S88" i="5"/>
  <c r="T88" i="5"/>
  <c r="U88" i="5"/>
  <c r="V88" i="5"/>
  <c r="W88" i="5"/>
  <c r="X88" i="5"/>
  <c r="Y88" i="5"/>
  <c r="Z88" i="5"/>
  <c r="AA88" i="5"/>
  <c r="AB88" i="5"/>
  <c r="AC88" i="5"/>
  <c r="AD88" i="5"/>
  <c r="AE88" i="5"/>
  <c r="AF88" i="5"/>
  <c r="AG88" i="5"/>
  <c r="AH88" i="5"/>
  <c r="AI88" i="5"/>
  <c r="AJ88" i="5"/>
  <c r="AK88" i="5"/>
  <c r="AL88" i="5"/>
  <c r="AM88" i="5"/>
  <c r="AN88" i="5"/>
  <c r="AO88" i="5"/>
  <c r="AP88" i="5"/>
  <c r="AQ88" i="5"/>
  <c r="AR88" i="5"/>
  <c r="AS88" i="5"/>
  <c r="AT88" i="5"/>
  <c r="AU88" i="5"/>
  <c r="AV88" i="5"/>
  <c r="AW88" i="5"/>
  <c r="R89" i="5"/>
  <c r="S89" i="5"/>
  <c r="T89" i="5"/>
  <c r="U89" i="5"/>
  <c r="V89" i="5"/>
  <c r="W89" i="5"/>
  <c r="X89" i="5"/>
  <c r="Y89" i="5"/>
  <c r="Z89" i="5"/>
  <c r="AA89" i="5"/>
  <c r="AB89" i="5"/>
  <c r="AC89" i="5"/>
  <c r="AD89" i="5"/>
  <c r="AE89" i="5"/>
  <c r="AF89" i="5"/>
  <c r="AG89" i="5"/>
  <c r="AH89" i="5"/>
  <c r="AI89" i="5"/>
  <c r="AJ89" i="5"/>
  <c r="AK89" i="5"/>
  <c r="AL89" i="5"/>
  <c r="AM89" i="5"/>
  <c r="AN89" i="5"/>
  <c r="AO89" i="5"/>
  <c r="AP89" i="5"/>
  <c r="AQ89" i="5"/>
  <c r="AR89" i="5"/>
  <c r="AS89" i="5"/>
  <c r="AT89" i="5"/>
  <c r="AU89" i="5"/>
  <c r="AV89" i="5"/>
  <c r="AW89" i="5"/>
  <c r="AX90" i="5"/>
  <c r="AY90" i="5"/>
  <c r="R90" i="5"/>
  <c r="S90" i="5"/>
  <c r="T90" i="5"/>
  <c r="U90" i="5"/>
  <c r="V90" i="5"/>
  <c r="W90" i="5"/>
  <c r="X90" i="5"/>
  <c r="Y90" i="5"/>
  <c r="Z90" i="5"/>
  <c r="AA90" i="5"/>
  <c r="AB90" i="5"/>
  <c r="AC90" i="5"/>
  <c r="AD90" i="5"/>
  <c r="AE90" i="5"/>
  <c r="AF90" i="5"/>
  <c r="AG90" i="5"/>
  <c r="AH90" i="5"/>
  <c r="AI90" i="5"/>
  <c r="AJ90" i="5"/>
  <c r="AK90" i="5"/>
  <c r="AL90" i="5"/>
  <c r="AM90" i="5"/>
  <c r="AN90" i="5"/>
  <c r="AO90" i="5"/>
  <c r="AP90" i="5"/>
  <c r="AQ90" i="5"/>
  <c r="AR90" i="5"/>
  <c r="AS90" i="5"/>
  <c r="AT90" i="5"/>
  <c r="AU90" i="5"/>
  <c r="AV90" i="5"/>
  <c r="AW90" i="5"/>
  <c r="E89" i="5" l="1"/>
  <c r="F89" i="5"/>
  <c r="G89" i="5"/>
  <c r="H89" i="5"/>
  <c r="I89" i="5"/>
  <c r="J89" i="5"/>
  <c r="K89" i="5"/>
  <c r="L89" i="5"/>
  <c r="M89" i="5"/>
  <c r="N89" i="5"/>
  <c r="O89" i="5"/>
  <c r="P89" i="5"/>
  <c r="Q89" i="5"/>
  <c r="D89" i="5"/>
  <c r="E88" i="5"/>
  <c r="F88" i="5"/>
  <c r="G88" i="5"/>
  <c r="H88" i="5"/>
  <c r="I88" i="5"/>
  <c r="J88" i="5"/>
  <c r="K88" i="5"/>
  <c r="L88" i="5"/>
  <c r="M88" i="5"/>
  <c r="N88" i="5"/>
  <c r="O88" i="5"/>
  <c r="P88" i="5"/>
  <c r="Q88" i="5"/>
  <c r="D88" i="5"/>
  <c r="E87" i="5"/>
  <c r="F87" i="5"/>
  <c r="G87" i="5"/>
  <c r="H87" i="5"/>
  <c r="I87" i="5"/>
  <c r="J87" i="5"/>
  <c r="K87" i="5"/>
  <c r="L87" i="5"/>
  <c r="M87" i="5"/>
  <c r="N87" i="5"/>
  <c r="O87" i="5"/>
  <c r="P87" i="5"/>
  <c r="Q87" i="5"/>
  <c r="D87" i="5"/>
  <c r="M90" i="5"/>
  <c r="N90" i="5"/>
  <c r="Q90" i="5"/>
  <c r="F90" i="5"/>
  <c r="O90" i="5"/>
  <c r="I90" i="5"/>
  <c r="P90" i="5"/>
  <c r="J90" i="5"/>
  <c r="H90" i="5"/>
  <c r="K90" i="5"/>
  <c r="D90" i="5"/>
  <c r="G90" i="5"/>
  <c r="E90" i="5"/>
  <c r="L90" i="5"/>
  <c r="F9" i="6"/>
  <c r="H9" i="6"/>
  <c r="H8" i="6"/>
  <c r="J9" i="6"/>
  <c r="J8" i="6"/>
  <c r="F15" i="6"/>
  <c r="F14" i="6"/>
  <c r="F13" i="6"/>
  <c r="H15" i="6"/>
  <c r="H14" i="6"/>
  <c r="H13" i="6"/>
  <c r="J15" i="6"/>
  <c r="J14" i="6"/>
  <c r="J13" i="6"/>
  <c r="F21" i="6"/>
  <c r="F20" i="6"/>
  <c r="F19" i="6"/>
  <c r="H21" i="6"/>
  <c r="H20" i="6"/>
  <c r="H19" i="6"/>
  <c r="J21" i="6"/>
  <c r="J20" i="6"/>
  <c r="J19" i="6"/>
  <c r="D91" i="5" l="1"/>
  <c r="D92" i="5"/>
  <c r="H10" i="6"/>
  <c r="J10" i="6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C33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4" i="5"/>
  <c r="C2" i="5"/>
  <c r="H7" i="6"/>
  <c r="H12" i="6"/>
  <c r="H18" i="6"/>
  <c r="J7" i="6"/>
  <c r="F12" i="6"/>
  <c r="F6" i="6"/>
  <c r="H6" i="6"/>
  <c r="F8" i="6"/>
  <c r="J12" i="6"/>
  <c r="J6" i="6"/>
  <c r="F18" i="6"/>
  <c r="J18" i="6"/>
  <c r="F7" i="6"/>
  <c r="H16" i="6" l="1"/>
  <c r="J16" i="6"/>
  <c r="H4" i="6"/>
  <c r="F10" i="6"/>
  <c r="J4" i="6"/>
  <c r="F16" i="6"/>
  <c r="F4" i="6"/>
  <c r="L10" i="6" l="1"/>
  <c r="L12" i="6" s="1"/>
  <c r="J22" i="6"/>
  <c r="J25" i="6" s="1"/>
  <c r="H22" i="6"/>
  <c r="H27" i="6" s="1"/>
  <c r="L16" i="6"/>
  <c r="L20" i="6" s="1"/>
  <c r="L4" i="6"/>
  <c r="L6" i="6" s="1"/>
  <c r="F22" i="6"/>
  <c r="F27" i="6" s="1"/>
  <c r="L21" i="6" l="1"/>
  <c r="L15" i="6"/>
  <c r="L14" i="6"/>
  <c r="L13" i="6"/>
  <c r="F25" i="6"/>
  <c r="F26" i="6"/>
  <c r="H25" i="6"/>
  <c r="L8" i="6"/>
  <c r="H26" i="6"/>
  <c r="J26" i="6"/>
  <c r="J27" i="6"/>
  <c r="L9" i="6"/>
  <c r="L22" i="6"/>
  <c r="L18" i="6"/>
  <c r="J24" i="6"/>
  <c r="L19" i="6"/>
  <c r="F24" i="6"/>
  <c r="L7" i="6"/>
  <c r="H24" i="6"/>
  <c r="L27" i="6" l="1"/>
  <c r="L26" i="6"/>
  <c r="L25" i="6"/>
  <c r="L24" i="6"/>
</calcChain>
</file>

<file path=xl/sharedStrings.xml><?xml version="1.0" encoding="utf-8"?>
<sst xmlns="http://schemas.openxmlformats.org/spreadsheetml/2006/main" count="463" uniqueCount="153">
  <si>
    <t>SBER</t>
  </si>
  <si>
    <t>GAZP</t>
  </si>
  <si>
    <t>LKOH</t>
  </si>
  <si>
    <t>GMKN</t>
  </si>
  <si>
    <t>NVTK</t>
  </si>
  <si>
    <t>SNGS</t>
  </si>
  <si>
    <t>PLZL</t>
  </si>
  <si>
    <t>TATN</t>
  </si>
  <si>
    <t>ROSN</t>
  </si>
  <si>
    <t>MGNT</t>
  </si>
  <si>
    <t>MTSS</t>
  </si>
  <si>
    <t>MOEX</t>
  </si>
  <si>
    <t>IRAO</t>
  </si>
  <si>
    <t>NLMK</t>
  </si>
  <si>
    <t>ALRS</t>
  </si>
  <si>
    <t>CHMF</t>
  </si>
  <si>
    <t>VTBR</t>
  </si>
  <si>
    <t>RTKM</t>
  </si>
  <si>
    <t>PHOR</t>
  </si>
  <si>
    <t>AFKS</t>
  </si>
  <si>
    <t>MAGN</t>
  </si>
  <si>
    <t>PIKK</t>
  </si>
  <si>
    <t>HYDR</t>
  </si>
  <si>
    <t>FEES</t>
  </si>
  <si>
    <t>AFLT</t>
  </si>
  <si>
    <t>LSRG</t>
  </si>
  <si>
    <t>RSTI</t>
  </si>
  <si>
    <t>UPRO</t>
  </si>
  <si>
    <t>LNTA</t>
  </si>
  <si>
    <t>MVID</t>
  </si>
  <si>
    <t>TRMK</t>
  </si>
  <si>
    <t>MTLR</t>
  </si>
  <si>
    <t>NMTP</t>
  </si>
  <si>
    <t>AKRN</t>
  </si>
  <si>
    <t>MSNG</t>
  </si>
  <si>
    <t>URKA</t>
  </si>
  <si>
    <t>BANE</t>
  </si>
  <si>
    <t>VSMO</t>
  </si>
  <si>
    <t>NKNC</t>
  </si>
  <si>
    <t>GCHE</t>
  </si>
  <si>
    <t>SVAV</t>
  </si>
  <si>
    <t>MSTT</t>
  </si>
  <si>
    <t>BSPB</t>
  </si>
  <si>
    <t>MSRS</t>
  </si>
  <si>
    <t>KMAZ</t>
  </si>
  <si>
    <t>RASP</t>
  </si>
  <si>
    <t>OGKB</t>
  </si>
  <si>
    <t>VZRZ</t>
  </si>
  <si>
    <t>Date</t>
  </si>
  <si>
    <t>Long</t>
  </si>
  <si>
    <t>Hold</t>
  </si>
  <si>
    <t>Short</t>
  </si>
  <si>
    <t>Горизонт, дней</t>
  </si>
  <si>
    <t>IMOEX (рынок)</t>
  </si>
  <si>
    <t>CAPM</t>
  </si>
  <si>
    <t>Fama-French</t>
  </si>
  <si>
    <t>Lasso</t>
  </si>
  <si>
    <t>Доходности:</t>
  </si>
  <si>
    <t>Сравнить лассо с</t>
  </si>
  <si>
    <t>Продавать</t>
  </si>
  <si>
    <t>Держать</t>
  </si>
  <si>
    <t>Покупать</t>
  </si>
  <si>
    <t>Итого</t>
  </si>
  <si>
    <t>Доходности</t>
  </si>
  <si>
    <t>Количество акций:</t>
  </si>
  <si>
    <t>Cell</t>
  </si>
  <si>
    <t>IMOEX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</si>
  <si>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</si>
  <si>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</si>
  <si>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</si>
  <si>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</si>
  <si>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</si>
  <si>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</si>
  <si>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</si>
  <si>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</si>
  <si>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</si>
  <si>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</si>
  <si>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</si>
  <si>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</si>
  <si>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</si>
  <si>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</si>
  <si>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</si>
  <si>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</si>
  <si>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</si>
  <si>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</si>
  <si>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</si>
  <si>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</si>
  <si>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</si>
  <si>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</si>
  <si>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</si>
  <si>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</si>
  <si>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2018-05-28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</si>
  <si>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</si>
  <si>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</si>
  <si>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</si>
  <si>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</si>
  <si>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</si>
  <si>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</si>
  <si>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</si>
  <si>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</si>
  <si>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</si>
  <si>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</si>
  <si>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</si>
  <si>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</si>
  <si>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</si>
  <si>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</si>
  <si>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</si>
  <si>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</si>
  <si>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</si>
  <si>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</si>
  <si>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</si>
  <si>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</si>
  <si>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</si>
  <si>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</si>
  <si>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</si>
  <si>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</si>
  <si>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</si>
  <si>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</si>
  <si>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2018-07-04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</si>
  <si>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</si>
  <si>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</si>
  <si>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</si>
  <si>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</si>
  <si>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</si>
  <si>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</si>
  <si>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</si>
  <si>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</si>
  <si>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</si>
  <si>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</si>
  <si>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</si>
  <si>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</si>
  <si>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</si>
  <si>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</si>
  <si>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</si>
  <si>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</si>
  <si>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</si>
  <si>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</si>
  <si>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</si>
  <si>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</si>
  <si>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</si>
  <si>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</si>
  <si>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</si>
  <si>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</si>
  <si>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</si>
  <si>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</si>
  <si>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</si>
  <si>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</si>
  <si>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</si>
  <si>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</si>
  <si>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</si>
  <si>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</si>
  <si>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Обычные</t>
  </si>
  <si>
    <t>Рекомендации Lasso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</si>
</sst>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%"/>
    <numFmt numFmtId="165" formatCode="0.0000%"/>
    <numFmt numFmtId="166" formatCode="0.000000000%"/>
    <numFmt numFmtId="167" formatCode="0.00000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164" fontId="0" fillId="0" borderId="6" xfId="0" applyNumberFormat="1" applyBorder="1"/>
    <xf numFmtId="164" fontId="0" fillId="0" borderId="8" xfId="0" applyNumberFormat="1" applyBorder="1"/>
    <xf numFmtId="166" fontId="0" fillId="0" borderId="0" xfId="0" applyNumberFormat="1"/>
    <xf numFmtId="167" fontId="0" fillId="0" borderId="0" xfId="0" applyNumberFormat="1"/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165" fontId="0" fillId="0" borderId="6" xfId="0" applyNumberFormat="1" applyBorder="1"/>
    <xf numFmtId="0" fontId="3" fillId="0" borderId="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2" borderId="0" xfId="0" applyFill="1"/>
    <xf numFmtId="0" fontId="2" fillId="2" borderId="0" xfId="0" applyFont="1" applyFill="1" applyBorder="1" applyAlignment="1">
      <alignment horizontal="center" vertical="center" wrapText="1"/>
    </xf>
    <xf numFmtId="0" fontId="0" fillId="2" borderId="0" xfId="0" applyFill="1" applyBorder="1"/>
    <xf numFmtId="164" fontId="0" fillId="2" borderId="0" xfId="0" applyNumberFormat="1" applyFill="1" applyBorder="1"/>
    <xf numFmtId="165" fontId="0" fillId="2" borderId="0" xfId="0" applyNumberFormat="1" applyFill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Цены!$B$1</c:f>
              <c:strCache>
                <c:ptCount val="1"/>
                <c:pt idx="0">
                  <c:v>IMOEX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Цены!$A$2:$A$77</c:f>
              <c:strCache>
                <c:ptCount val="76"/>
                <c:pt idx="0">
                  <c:v>2018-04-24</c:v>
                </c:pt>
                <c:pt idx="1">
                  <c:v>2018-04-25</c:v>
                </c:pt>
                <c:pt idx="2">
                  <c:v>2018-04-26</c:v>
                </c:pt>
                <c:pt idx="3">
                  <c:v>2018-04-27</c:v>
                </c:pt>
                <c:pt idx="4">
                  <c:v>2018-04-30</c:v>
                </c:pt>
                <c:pt idx="5">
                  <c:v>2018-05-01</c:v>
                </c:pt>
                <c:pt idx="6">
                  <c:v>2018-05-02</c:v>
                </c:pt>
                <c:pt idx="7">
                  <c:v>2018-05-03</c:v>
                </c:pt>
                <c:pt idx="8">
                  <c:v>2018-05-04</c:v>
                </c:pt>
                <c:pt idx="9">
                  <c:v>2018-05-07</c:v>
                </c:pt>
                <c:pt idx="10">
                  <c:v>2018-05-08</c:v>
                </c:pt>
                <c:pt idx="11">
                  <c:v>2018-05-09</c:v>
                </c:pt>
                <c:pt idx="12">
                  <c:v>2018-05-10</c:v>
                </c:pt>
                <c:pt idx="13">
                  <c:v>2018-05-11</c:v>
                </c:pt>
                <c:pt idx="14">
                  <c:v>2018-05-14</c:v>
                </c:pt>
                <c:pt idx="15">
                  <c:v>2018-05-15</c:v>
                </c:pt>
                <c:pt idx="16">
                  <c:v>2018-05-16</c:v>
                </c:pt>
                <c:pt idx="17">
                  <c:v>2018-05-17</c:v>
                </c:pt>
                <c:pt idx="18">
                  <c:v>2018-05-18</c:v>
                </c:pt>
                <c:pt idx="19">
                  <c:v>2018-05-21</c:v>
                </c:pt>
                <c:pt idx="20">
                  <c:v>2018-05-22</c:v>
                </c:pt>
                <c:pt idx="21">
                  <c:v>2018-05-23</c:v>
                </c:pt>
                <c:pt idx="22">
                  <c:v>2018-05-24</c:v>
                </c:pt>
                <c:pt idx="23">
                  <c:v>2018-05-25</c:v>
                </c:pt>
                <c:pt idx="24">
                  <c:v>2018-05-28</c:v>
                </c:pt>
                <c:pt idx="25">
                  <c:v>2018-05-29</c:v>
                </c:pt>
                <c:pt idx="26">
                  <c:v>2018-05-30</c:v>
                </c:pt>
                <c:pt idx="27">
                  <c:v>2018-05-31</c:v>
                </c:pt>
                <c:pt idx="28">
                  <c:v>2018-06-01</c:v>
                </c:pt>
                <c:pt idx="29">
                  <c:v>2018-06-04</c:v>
                </c:pt>
                <c:pt idx="30">
                  <c:v>2018-06-05</c:v>
                </c:pt>
                <c:pt idx="31">
                  <c:v>2018-06-06</c:v>
                </c:pt>
                <c:pt idx="32">
                  <c:v>2018-06-07</c:v>
                </c:pt>
                <c:pt idx="33">
                  <c:v>2018-06-08</c:v>
                </c:pt>
                <c:pt idx="34">
                  <c:v>2018-06-11</c:v>
                </c:pt>
                <c:pt idx="35">
                  <c:v>2018-06-12</c:v>
                </c:pt>
                <c:pt idx="36">
                  <c:v>2018-06-13</c:v>
                </c:pt>
                <c:pt idx="37">
                  <c:v>2018-06-14</c:v>
                </c:pt>
                <c:pt idx="38">
                  <c:v>2018-06-15</c:v>
                </c:pt>
                <c:pt idx="39">
                  <c:v>2018-06-18</c:v>
                </c:pt>
                <c:pt idx="40">
                  <c:v>2018-06-19</c:v>
                </c:pt>
                <c:pt idx="41">
                  <c:v>2018-06-20</c:v>
                </c:pt>
                <c:pt idx="42">
                  <c:v>2018-06-21</c:v>
                </c:pt>
                <c:pt idx="43">
                  <c:v>2018-06-22</c:v>
                </c:pt>
                <c:pt idx="44">
                  <c:v>2018-06-25</c:v>
                </c:pt>
                <c:pt idx="45">
                  <c:v>2018-06-26</c:v>
                </c:pt>
                <c:pt idx="46">
                  <c:v>2018-06-27</c:v>
                </c:pt>
                <c:pt idx="47">
                  <c:v>2018-06-28</c:v>
                </c:pt>
                <c:pt idx="48">
                  <c:v>2018-06-29</c:v>
                </c:pt>
                <c:pt idx="49">
                  <c:v>2018-07-02</c:v>
                </c:pt>
                <c:pt idx="50">
                  <c:v>2018-07-03</c:v>
                </c:pt>
                <c:pt idx="51">
                  <c:v>2018-07-04</c:v>
                </c:pt>
                <c:pt idx="52">
                  <c:v>2018-07-05</c:v>
                </c:pt>
                <c:pt idx="53">
                  <c:v>2018-07-06</c:v>
                </c:pt>
                <c:pt idx="54">
                  <c:v>2018-07-09</c:v>
                </c:pt>
                <c:pt idx="55">
                  <c:v>2018-07-10</c:v>
                </c:pt>
                <c:pt idx="56">
                  <c:v>2018-07-11</c:v>
                </c:pt>
                <c:pt idx="57">
                  <c:v>2018-07-12</c:v>
                </c:pt>
                <c:pt idx="58">
                  <c:v>2018-07-13</c:v>
                </c:pt>
                <c:pt idx="59">
                  <c:v>2018-07-16</c:v>
                </c:pt>
                <c:pt idx="60">
                  <c:v>2018-07-17</c:v>
                </c:pt>
                <c:pt idx="61">
                  <c:v>2018-07-18</c:v>
                </c:pt>
                <c:pt idx="62">
                  <c:v>2018-07-19</c:v>
                </c:pt>
                <c:pt idx="63">
                  <c:v>2018-07-20</c:v>
                </c:pt>
                <c:pt idx="64">
                  <c:v>2018-07-23</c:v>
                </c:pt>
                <c:pt idx="65">
                  <c:v>2018-07-24</c:v>
                </c:pt>
                <c:pt idx="66">
                  <c:v>2018-07-25</c:v>
                </c:pt>
                <c:pt idx="67">
                  <c:v>2018-07-26</c:v>
                </c:pt>
                <c:pt idx="68">
                  <c:v>2018-07-27</c:v>
                </c:pt>
                <c:pt idx="69">
                  <c:v>2018-07-30</c:v>
                </c:pt>
                <c:pt idx="70">
                  <c:v>2018-07-31</c:v>
                </c:pt>
                <c:pt idx="71">
                  <c:v>2018-08-01</c:v>
                </c:pt>
                <c:pt idx="72">
                  <c:v>2018-08-02</c:v>
                </c:pt>
                <c:pt idx="73">
                  <c:v>2018-08-03</c:v>
                </c:pt>
                <c:pt idx="74">
                  <c:v>2018-08-06</c:v>
                </c:pt>
                <c:pt idx="75">
                  <c:v>2018-08-07</c:v>
                </c:pt>
              </c:strCache>
            </c:strRef>
          </c:cat>
          <c:val>
            <c:numRef>
              <c:f>Цены!$B$2:$B$77</c:f>
              <c:numCache>
                <c:formatCode>General</c:formatCode>
                <c:ptCount val="76"/>
                <c:pt idx="0">
                  <c:v>2253.77</c:v>
                </c:pt>
                <c:pt idx="1">
                  <c:v>2253.5</c:v>
                </c:pt>
                <c:pt idx="2">
                  <c:v>2286.02</c:v>
                </c:pt>
                <c:pt idx="3">
                  <c:v>2301.4899999999998</c:v>
                </c:pt>
                <c:pt idx="4">
                  <c:v>2307.02</c:v>
                </c:pt>
                <c:pt idx="5">
                  <c:v>2307.02</c:v>
                </c:pt>
                <c:pt idx="6">
                  <c:v>2306.42</c:v>
                </c:pt>
                <c:pt idx="7">
                  <c:v>2274.0700000000002</c:v>
                </c:pt>
                <c:pt idx="8">
                  <c:v>2289.4699999999998</c:v>
                </c:pt>
                <c:pt idx="9">
                  <c:v>2297.12</c:v>
                </c:pt>
                <c:pt idx="10">
                  <c:v>2301.9899999999998</c:v>
                </c:pt>
                <c:pt idx="11">
                  <c:v>2301.9899999999998</c:v>
                </c:pt>
                <c:pt idx="12">
                  <c:v>2312.92</c:v>
                </c:pt>
                <c:pt idx="13">
                  <c:v>2345.2600000000002</c:v>
                </c:pt>
                <c:pt idx="14">
                  <c:v>2357.62</c:v>
                </c:pt>
                <c:pt idx="15">
                  <c:v>2337.0300000000002</c:v>
                </c:pt>
                <c:pt idx="16">
                  <c:v>2338.39</c:v>
                </c:pt>
                <c:pt idx="17">
                  <c:v>2323.5100000000002</c:v>
                </c:pt>
                <c:pt idx="18">
                  <c:v>2326.94</c:v>
                </c:pt>
                <c:pt idx="19">
                  <c:v>2332.63</c:v>
                </c:pt>
                <c:pt idx="20">
                  <c:v>2326.87</c:v>
                </c:pt>
                <c:pt idx="21">
                  <c:v>2295.5700000000002</c:v>
                </c:pt>
                <c:pt idx="22">
                  <c:v>2294.0100000000002</c:v>
                </c:pt>
                <c:pt idx="23">
                  <c:v>2306.5700000000002</c:v>
                </c:pt>
                <c:pt idx="24">
                  <c:v>2311.2800000000002</c:v>
                </c:pt>
                <c:pt idx="25">
                  <c:v>2298</c:v>
                </c:pt>
                <c:pt idx="26">
                  <c:v>2297.6</c:v>
                </c:pt>
                <c:pt idx="27">
                  <c:v>2302.88</c:v>
                </c:pt>
                <c:pt idx="28">
                  <c:v>2295.34</c:v>
                </c:pt>
                <c:pt idx="29">
                  <c:v>2323.64</c:v>
                </c:pt>
                <c:pt idx="30">
                  <c:v>2318.23</c:v>
                </c:pt>
                <c:pt idx="31">
                  <c:v>2315.4499999999998</c:v>
                </c:pt>
                <c:pt idx="32">
                  <c:v>2316.0700000000002</c:v>
                </c:pt>
                <c:pt idx="33">
                  <c:v>2267.92</c:v>
                </c:pt>
                <c:pt idx="34">
                  <c:v>2271.7399999999998</c:v>
                </c:pt>
                <c:pt idx="35">
                  <c:v>2271.7399999999998</c:v>
                </c:pt>
                <c:pt idx="36">
                  <c:v>2270.73</c:v>
                </c:pt>
                <c:pt idx="37">
                  <c:v>2253.48</c:v>
                </c:pt>
                <c:pt idx="38">
                  <c:v>2237.5300000000002</c:v>
                </c:pt>
                <c:pt idx="39">
                  <c:v>2222.56</c:v>
                </c:pt>
                <c:pt idx="40">
                  <c:v>2221.42</c:v>
                </c:pt>
                <c:pt idx="41">
                  <c:v>2256.27</c:v>
                </c:pt>
                <c:pt idx="42">
                  <c:v>2245.94</c:v>
                </c:pt>
                <c:pt idx="43">
                  <c:v>2249.6799999999998</c:v>
                </c:pt>
                <c:pt idx="44">
                  <c:v>2236.65</c:v>
                </c:pt>
                <c:pt idx="45">
                  <c:v>2231.0300000000002</c:v>
                </c:pt>
                <c:pt idx="46">
                  <c:v>2253.6</c:v>
                </c:pt>
                <c:pt idx="47">
                  <c:v>2250.2600000000002</c:v>
                </c:pt>
                <c:pt idx="48">
                  <c:v>2295.9499999999998</c:v>
                </c:pt>
                <c:pt idx="49">
                  <c:v>2319.31</c:v>
                </c:pt>
                <c:pt idx="50">
                  <c:v>2301.65</c:v>
                </c:pt>
                <c:pt idx="51">
                  <c:v>2304.06</c:v>
                </c:pt>
                <c:pt idx="52">
                  <c:v>2346.86</c:v>
                </c:pt>
                <c:pt idx="53">
                  <c:v>2345.38</c:v>
                </c:pt>
                <c:pt idx="54">
                  <c:v>2373.17</c:v>
                </c:pt>
                <c:pt idx="55">
                  <c:v>2365.17</c:v>
                </c:pt>
                <c:pt idx="56">
                  <c:v>2336.15</c:v>
                </c:pt>
                <c:pt idx="57">
                  <c:v>2322.06</c:v>
                </c:pt>
                <c:pt idx="58">
                  <c:v>2346.4299999999998</c:v>
                </c:pt>
                <c:pt idx="59">
                  <c:v>2334.1799999999998</c:v>
                </c:pt>
                <c:pt idx="60">
                  <c:v>2310.92</c:v>
                </c:pt>
                <c:pt idx="61">
                  <c:v>2294.7800000000002</c:v>
                </c:pt>
                <c:pt idx="62">
                  <c:v>2269.4499999999998</c:v>
                </c:pt>
                <c:pt idx="63">
                  <c:v>2247.8200000000002</c:v>
                </c:pt>
                <c:pt idx="64">
                  <c:v>2261.25</c:v>
                </c:pt>
                <c:pt idx="65">
                  <c:v>2278.3000000000002</c:v>
                </c:pt>
                <c:pt idx="66">
                  <c:v>2282.84</c:v>
                </c:pt>
                <c:pt idx="67">
                  <c:v>2293.0700000000002</c:v>
                </c:pt>
                <c:pt idx="68">
                  <c:v>2292.7199999999998</c:v>
                </c:pt>
                <c:pt idx="69">
                  <c:v>2295.7199999999998</c:v>
                </c:pt>
                <c:pt idx="70">
                  <c:v>2321.11</c:v>
                </c:pt>
                <c:pt idx="71">
                  <c:v>2315.1799999999998</c:v>
                </c:pt>
                <c:pt idx="72">
                  <c:v>2295.15</c:v>
                </c:pt>
                <c:pt idx="73">
                  <c:v>2297.9899999999998</c:v>
                </c:pt>
                <c:pt idx="74">
                  <c:v>2299.88</c:v>
                </c:pt>
                <c:pt idx="75">
                  <c:v>2312.19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BD-0743-B73C-0D3A9DF6B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389199"/>
        <c:axId val="198397551"/>
      </c:lineChart>
      <c:catAx>
        <c:axId val="198389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397551"/>
        <c:crosses val="autoZero"/>
        <c:auto val="1"/>
        <c:lblAlgn val="ctr"/>
        <c:lblOffset val="100"/>
        <c:noMultiLvlLbl val="0"/>
      </c:catAx>
      <c:valAx>
        <c:axId val="198397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3891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184150</xdr:colOff>
      <xdr:row>86</xdr:row>
      <xdr:rowOff>139700</xdr:rowOff>
    </xdr:from>
    <xdr:to>
      <xdr:col>9</xdr:col>
      <xdr:colOff>44450</xdr:colOff>
      <xdr:row>101</xdr:row>
      <xdr:rowOff>25400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1657465-3CEC-C84A-8D89-577A0865AD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43"/>
  <sheetViews>
    <sheetView tabSelected="1" workbookViewId="0">
      <selection activeCell="B21" sqref="B21"/>
    </sheetView>
  </sheetViews>
  <sheetFormatPr baseColWidth="10" defaultColWidth="8.83203125" defaultRowHeight="15" x14ac:dyDescent="0.2"/>
  <cols>
    <col min="1" max="1" width="15.83203125" bestFit="1" customWidth="1"/>
    <col min="2" max="2" width="23.5" bestFit="1" customWidth="1"/>
    <col min="3" max="3" width="7" customWidth="1"/>
    <col min="4" max="4" width="7.1640625" customWidth="1"/>
    <col min="5" max="5" width="8.83203125" customWidth="1"/>
    <col min="6" max="6" width="8.5" bestFit="1" customWidth="1"/>
    <col min="7" max="7" width="10.33203125" customWidth="1"/>
    <col min="8" max="8" width="7.5" bestFit="1" customWidth="1"/>
    <col min="9" max="9" width="8.83203125" customWidth="1"/>
    <col min="10" max="10" width="8" bestFit="1" customWidth="1"/>
    <col min="11" max="11" width="9.5" customWidth="1"/>
    <col min="12" max="12" width="7.5" bestFit="1" customWidth="1"/>
  </cols>
  <sheetData>
    <row r="1" spans="1:15" s="33" customFormat="1" x14ac:dyDescent="0.2"/>
    <row r="2" spans="1:15" x14ac:dyDescent="0.2">
      <c r="A2" t="s">
        <v>58</v>
      </c>
      <c r="B2" s="33" t="s">
        <v>55</v>
      </c>
      <c r="C2" s="19"/>
      <c r="D2" s="19"/>
      <c r="E2" s="20" t="s">
        <v>152</v>
      </c>
      <c r="F2" s="20"/>
      <c r="G2" s="20"/>
      <c r="H2" s="20"/>
      <c r="I2" s="20"/>
      <c r="J2" s="20"/>
      <c r="K2" s="21" t="s">
        <v>62</v>
      </c>
      <c r="L2" s="22"/>
      <c r="M2" s="33"/>
      <c r="N2" s="33"/>
      <c r="O2" s="33"/>
    </row>
    <row r="3" spans="1:15" x14ac:dyDescent="0.2">
      <c r="A3" t="s">
        <v>63</v>
      </c>
      <c r="B3" s="33" t="s">
        <v>151</v>
      </c>
      <c r="C3" s="19"/>
      <c r="D3" s="19"/>
      <c r="E3" s="28" t="s">
        <v>59</v>
      </c>
      <c r="F3" s="28"/>
      <c r="G3" s="28" t="s">
        <v>60</v>
      </c>
      <c r="H3" s="28"/>
      <c r="I3" s="28" t="s">
        <v>61</v>
      </c>
      <c r="J3" s="28"/>
      <c r="K3" s="23"/>
      <c r="L3" s="24"/>
      <c r="M3" s="33"/>
      <c r="N3" s="33"/>
      <c r="O3" s="33"/>
    </row>
    <row r="4" spans="1:15" ht="14.5" customHeight="1" x14ac:dyDescent="0.2">
      <c r="B4" s="33"/>
      <c r="C4" s="25" t="str">
        <f>"Рекомендации "&amp;B2</f>
        <v>Рекомендации Fama-French</v>
      </c>
      <c r="D4" s="30" t="s">
        <v>59</v>
      </c>
      <c r="E4" s="4" t="s">
        <v>64</v>
      </c>
      <c r="F4" s="5">
        <f>COUNTIF(Доходности!$D$90:$AW$90,1)</f>
        <v>16</v>
      </c>
      <c r="G4" s="4" t="s">
        <v>64</v>
      </c>
      <c r="H4" s="5">
        <f>COUNTIF(Доходности!$D$90:$AW$90,2)</f>
        <v>3</v>
      </c>
      <c r="I4" s="4" t="s">
        <v>64</v>
      </c>
      <c r="J4" s="5">
        <f>COUNTIF(Доходности!$D$90:$AW$90,3)</f>
        <v>2</v>
      </c>
      <c r="K4" s="4" t="s">
        <v>64</v>
      </c>
      <c r="L4" s="5">
        <f>F4+H4+J4</f>
        <v>21</v>
      </c>
      <c r="M4" s="33"/>
      <c r="N4" s="33"/>
      <c r="O4" s="33"/>
    </row>
    <row r="5" spans="1:15" x14ac:dyDescent="0.2">
      <c r="B5" s="33"/>
      <c r="C5" s="26"/>
      <c r="D5" s="31"/>
      <c r="E5" s="6" t="s">
        <v>57</v>
      </c>
      <c r="F5" s="7"/>
      <c r="G5" s="6" t="s">
        <v>57</v>
      </c>
      <c r="H5" s="7"/>
      <c r="I5" s="6" t="s">
        <v>57</v>
      </c>
      <c r="J5" s="7"/>
      <c r="K5" s="6" t="s">
        <v>57</v>
      </c>
      <c r="L5" s="7"/>
      <c r="M5" s="33"/>
      <c r="N5" s="33"/>
      <c r="O5" s="33"/>
    </row>
    <row r="6" spans="1:15" x14ac:dyDescent="0.2">
      <c r="B6" s="33"/>
      <c r="C6" s="26"/>
      <c r="D6" s="31"/>
      <c r="E6" s="6">
        <v>1</v>
      </c>
      <c r="F6" s="9">
        <f ca="1">IFERROR(SUMIF(Доходности!$D$90:$AW$90,1,INDIRECT("Доходности!D"&amp;(2+Summary!E6)&amp;":AW"&amp;(2+Summary!E6)))/COUNTIF(Доходности!$D$90:$AW$90,1)-IF($B$3="Обычные",0,INDIRECT("Доходности!C"&amp;(2+Summary!E6))),"")</f>
        <v>3.1807538628187497E-3</v>
      </c>
      <c r="G6" s="6">
        <v>1</v>
      </c>
      <c r="H6" s="9">
        <f ca="1">IFERROR(SUMIF(Доходности!$D$90:$AW$90,2,INDIRECT("Доходности!D"&amp;(2+Summary!G6)&amp;":AW"&amp;(2+Summary!G6)))/COUNTIF(Доходности!$D$90:$AW$90,2)-IF($B$3="Обычные",0,INDIRECT("Доходности!C"&amp;(2+Summary!G6))),"")</f>
        <v>-2.627206681735036E-3</v>
      </c>
      <c r="I6" s="6">
        <v>1</v>
      </c>
      <c r="J6" s="9">
        <f ca="1">IFERROR(SUMIF(Доходности!$D$90:$AW$90,3,INDIRECT("Доходности!D"&amp;(2+Summary!I6)&amp;":AW"&amp;(2+Summary!I6)))/COUNTIF(Доходности!$D$90:$AW$90,3)-IF($B$3="Обычные",0,INDIRECT("Доходности!C"&amp;(2+Summary!I6))),"")</f>
        <v>-4.5227840124325413E-3</v>
      </c>
      <c r="K6" s="6">
        <v>1</v>
      </c>
      <c r="L6" s="9">
        <f ca="1">(IF(F6="",0,F6)*$F$4+IF(H6="",0,H6)*$H$4+IF(J6="",0,J6)*$J$4)/$L$4</f>
        <v>1.6173749397633242E-3</v>
      </c>
      <c r="M6" s="33"/>
      <c r="N6" s="33"/>
      <c r="O6" s="33"/>
    </row>
    <row r="7" spans="1:15" x14ac:dyDescent="0.2">
      <c r="B7" s="33"/>
      <c r="C7" s="26"/>
      <c r="D7" s="31"/>
      <c r="E7" s="6">
        <v>10</v>
      </c>
      <c r="F7" s="9">
        <f ca="1">IFERROR(SUMIF(Доходности!$D$90:$AW$90,1,INDIRECT("Доходности!D"&amp;(2+Summary!E7)&amp;":AW"&amp;(2+Summary!E7)))/COUNTIF(Доходности!$D$90:$AW$90,1)-IF($B$3="Обычные",0,INDIRECT("Доходности!C"&amp;(2+Summary!E7))),"")</f>
        <v>1.6572429145452858E-2</v>
      </c>
      <c r="G7" s="6">
        <v>10</v>
      </c>
      <c r="H7" s="9">
        <f ca="1">IFERROR(SUMIF(Доходности!$D$90:$AW$90,2,INDIRECT("Доходности!D"&amp;(2+Summary!G7)&amp;":AW"&amp;(2+Summary!G7)))/COUNTIF(Доходности!$D$90:$AW$90,2)-IF($B$3="Обычные",0,INDIRECT("Доходности!C"&amp;(2+Summary!G7))),"")</f>
        <v>4.5343435899895448E-3</v>
      </c>
      <c r="I7" s="6">
        <v>10</v>
      </c>
      <c r="J7" s="9">
        <f ca="1">IFERROR(SUMIF(Доходности!$D$90:$AW$90,3,INDIRECT("Доходности!D"&amp;(2+Summary!I7)&amp;":AW"&amp;(2+Summary!I7)))/COUNTIF(Доходности!$D$90:$AW$90,3)-IF($B$3="Обычные",0,INDIRECT("Доходности!C"&amp;(2+Summary!I7))),"")</f>
        <v>1.1533130213919766E-2</v>
      </c>
      <c r="K7" s="6">
        <v>10</v>
      </c>
      <c r="L7" s="9">
        <f ca="1">(IF(F7="",0,F7)*$F$4+IF(H7="",0,H7)*$H$4+IF(J7="",0,J7)*$J$4)/$L$4</f>
        <v>1.4372769405954949E-2</v>
      </c>
      <c r="M7" s="33"/>
      <c r="N7" s="33"/>
      <c r="O7" s="33"/>
    </row>
    <row r="8" spans="1:15" x14ac:dyDescent="0.2">
      <c r="B8" s="33"/>
      <c r="C8" s="26"/>
      <c r="D8" s="31"/>
      <c r="E8" s="6">
        <v>30</v>
      </c>
      <c r="F8" s="9">
        <f ca="1">IFERROR(SUMIF(Доходности!$D$90:$AW$90,1,INDIRECT("Доходности!D"&amp;(2+Summary!E8)&amp;":AW"&amp;(2+Summary!E8)))/COUNTIF(Доходности!$D$90:$AW$90,1)-IF($B$3="Обычные",0,INDIRECT("Доходности!C"&amp;(2+Summary!E8))),"")</f>
        <v>2.4071121593559446E-2</v>
      </c>
      <c r="G8" s="6">
        <v>30</v>
      </c>
      <c r="H8" s="9">
        <f ca="1">IFERROR(SUMIF(Доходности!$D$90:$AW$90,2,INDIRECT("Доходности!D"&amp;(2+Summary!G8)&amp;":AW"&amp;(2+Summary!G8)))/COUNTIF(Доходности!$D$90:$AW$90,2)-IF($B$3="Обычные",0,INDIRECT("Доходности!C"&amp;(2+Summary!G8))),"")</f>
        <v>1.6375238089365071E-2</v>
      </c>
      <c r="I8" s="6">
        <v>30</v>
      </c>
      <c r="J8" s="9">
        <f ca="1">IFERROR(SUMIF(Доходности!$D$90:$AW$90,3,INDIRECT("Доходности!D"&amp;(2+Summary!I8)&amp;":AW"&amp;(2+Summary!I8)))/COUNTIF(Доходности!$D$90:$AW$90,3)-IF($B$3="Обычные",0,INDIRECT("Доходности!C"&amp;(2+Summary!I8))),"")</f>
        <v>4.1406679394161344E-2</v>
      </c>
      <c r="K8" s="6">
        <v>30</v>
      </c>
      <c r="L8" s="9">
        <f ca="1">(IF(F8="",0,F8)*$F$4+IF(H8="",0,H8)*$H$4+IF(J8="",0,J8)*$J$4)/$L$4</f>
        <v>2.462271516920805E-2</v>
      </c>
      <c r="M8" s="33"/>
      <c r="N8" s="33"/>
      <c r="O8" s="33"/>
    </row>
    <row r="9" spans="1:15" x14ac:dyDescent="0.2">
      <c r="B9" s="33"/>
      <c r="C9" s="26"/>
      <c r="D9" s="32"/>
      <c r="E9" s="6">
        <v>60</v>
      </c>
      <c r="F9" s="29">
        <f ca="1">IFERROR(SUMIF(Доходности!$D$90:$AW$90,1,INDIRECT("Доходности!D"&amp;(2+Summary!E9)&amp;":AW"&amp;(2+Summary!E9)))/COUNTIF(Доходности!$D$90:$AW$90,1)-IF($B$3="Обычные",0,INDIRECT("Доходности!C"&amp;(2+Summary!E9))),"")</f>
        <v>2.8959520910657753E-2</v>
      </c>
      <c r="G9" s="6">
        <v>60</v>
      </c>
      <c r="H9" s="9">
        <f ca="1">IFERROR(SUMIF(Доходности!$D$90:$AW$90,2,INDIRECT("Доходности!D"&amp;(2+Summary!G9)&amp;":AW"&amp;(2+Summary!G9)))/COUNTIF(Доходности!$D$90:$AW$90,2)-IF($B$3="Обычные",0,INDIRECT("Доходности!C"&amp;(2+Summary!G9))),"")</f>
        <v>-1.5202237321129316E-2</v>
      </c>
      <c r="I9" s="6">
        <v>60</v>
      </c>
      <c r="J9" s="9">
        <f ca="1">IFERROR(SUMIF(Доходности!$D$90:$AW$90,3,INDIRECT("Доходности!D"&amp;(2+Summary!I9)&amp;":AW"&amp;(2+Summary!I9)))/COUNTIF(Доходности!$D$90:$AW$90,3)-IF($B$3="Обычные",0,INDIRECT("Доходности!C"&amp;(2+Summary!I9))),"")</f>
        <v>1.2260158913986491E-2</v>
      </c>
      <c r="K9" s="6">
        <v>60</v>
      </c>
      <c r="L9" s="9">
        <f ca="1">(IF(F9="",0,F9)*$F$4+IF(H9="",0,H9)*$H$4+IF(J9="",0,J9)*$J$4)/$L$4</f>
        <v>2.1060282877862338E-2</v>
      </c>
      <c r="M9" s="33"/>
      <c r="N9" s="33"/>
      <c r="O9" s="33"/>
    </row>
    <row r="10" spans="1:15" x14ac:dyDescent="0.2">
      <c r="B10" s="33"/>
      <c r="C10" s="26"/>
      <c r="D10" s="30" t="s">
        <v>60</v>
      </c>
      <c r="E10" s="4" t="s">
        <v>64</v>
      </c>
      <c r="F10" s="5">
        <f>COUNTIF(Доходности!$D$90:$AW$90,4)</f>
        <v>1</v>
      </c>
      <c r="G10" s="4" t="s">
        <v>64</v>
      </c>
      <c r="H10" s="5">
        <f>COUNTIF(Доходности!$D$90:$AW$90,5)</f>
        <v>2</v>
      </c>
      <c r="I10" s="4" t="s">
        <v>64</v>
      </c>
      <c r="J10" s="5">
        <f>COUNTIF(Доходности!$D$90:$AW$90,6)</f>
        <v>1</v>
      </c>
      <c r="K10" s="4" t="s">
        <v>64</v>
      </c>
      <c r="L10" s="5">
        <f>F10+H10+J10</f>
        <v>4</v>
      </c>
      <c r="M10" s="33"/>
      <c r="N10" s="33"/>
      <c r="O10" s="33"/>
    </row>
    <row r="11" spans="1:15" x14ac:dyDescent="0.2">
      <c r="B11" s="33"/>
      <c r="C11" s="26"/>
      <c r="D11" s="31"/>
      <c r="E11" s="6" t="s">
        <v>57</v>
      </c>
      <c r="F11" s="7"/>
      <c r="G11" s="6" t="s">
        <v>57</v>
      </c>
      <c r="H11" s="7"/>
      <c r="I11" s="6" t="s">
        <v>57</v>
      </c>
      <c r="J11" s="7"/>
      <c r="K11" s="6" t="s">
        <v>57</v>
      </c>
      <c r="L11" s="7"/>
      <c r="M11" s="33"/>
      <c r="N11" s="33"/>
      <c r="O11" s="33"/>
    </row>
    <row r="12" spans="1:15" x14ac:dyDescent="0.2">
      <c r="B12" s="33"/>
      <c r="C12" s="26"/>
      <c r="D12" s="31"/>
      <c r="E12" s="6">
        <v>1</v>
      </c>
      <c r="F12" s="9">
        <f ca="1">IFERROR(SUMIF(Доходности!$D$90:$AW$90,4,INDIRECT("Доходности!D"&amp;(2+Summary!E12)&amp;":AW"&amp;(2+Summary!E12)))/COUNTIF(Доходности!$D$90:$AW$90,4)-IF($B$3="Обычные",0,INDIRECT("Доходности!C"&amp;(2+Summary!E12))),"")</f>
        <v>8.0699394754530447E-4</v>
      </c>
      <c r="G12" s="6">
        <v>1</v>
      </c>
      <c r="H12" s="9">
        <f ca="1">IFERROR(SUMIF(Доходности!$D$90:$AW$90,5,INDIRECT("Доходности!D"&amp;(2+Summary!G12)&amp;":AW"&amp;(2+Summary!G12)))/COUNTIF(Доходности!$D$90:$AW$90,5)-IF($B$3="Обычные",0,INDIRECT("Доходности!C"&amp;(2+Summary!G12))),"")</f>
        <v>1.5237442133506692E-3</v>
      </c>
      <c r="I12" s="6">
        <v>1</v>
      </c>
      <c r="J12" s="9">
        <f ca="1">IFERROR(SUMIF(Доходности!$D$90:$AW$90,6,INDIRECT("Доходности!D"&amp;(2+Summary!I12)&amp;":AW"&amp;(2+Summary!I12)))/COUNTIF(Доходности!$D$90:$AW$90,6)-IF($B$3="Обычные",0,INDIRECT("Доходности!C"&amp;(2+Summary!I12))),"")</f>
        <v>5.4568527918781914E-3</v>
      </c>
      <c r="K12" s="6">
        <v>1</v>
      </c>
      <c r="L12" s="9">
        <f ca="1">(IF(F12="",0,F12)*$F$10+IF(H12="",0,H12)*$H$10+IF(J12="",0,J12)*$J$10)/$L$10</f>
        <v>2.3278337915312087E-3</v>
      </c>
      <c r="M12" s="33"/>
      <c r="N12" s="33"/>
      <c r="O12" s="33"/>
    </row>
    <row r="13" spans="1:15" x14ac:dyDescent="0.2">
      <c r="B13" s="33"/>
      <c r="C13" s="26"/>
      <c r="D13" s="31"/>
      <c r="E13" s="6">
        <v>10</v>
      </c>
      <c r="F13" s="9">
        <f ca="1">IFERROR(SUMIF(Доходности!$D$90:$AW$90,4,INDIRECT("Доходности!D"&amp;(2+Summary!E13)&amp;":AW"&amp;(2+Summary!E13)))/COUNTIF(Доходности!$D$90:$AW$90,4)-IF($B$3="Обычные",0,INDIRECT("Доходности!C"&amp;(2+Summary!E13))),"")</f>
        <v>8.7424344317416948E-3</v>
      </c>
      <c r="G13" s="6">
        <v>10</v>
      </c>
      <c r="H13" s="9">
        <f ca="1">IFERROR(SUMIF(Доходности!$D$90:$AW$90,5,INDIRECT("Доходности!D"&amp;(2+Summary!G13)&amp;":AW"&amp;(2+Summary!G13)))/COUNTIF(Доходности!$D$90:$AW$90,5)-IF($B$3="Обычные",0,INDIRECT("Доходности!C"&amp;(2+Summary!G13))),"")</f>
        <v>1.2049804849326775E-2</v>
      </c>
      <c r="I13" s="6">
        <v>10</v>
      </c>
      <c r="J13" s="9">
        <f ca="1">IFERROR(SUMIF(Доходности!$D$90:$AW$90,6,INDIRECT("Доходности!D"&amp;(2+Summary!I13)&amp;":AW"&amp;(2+Summary!I13)))/COUNTIF(Доходности!$D$90:$AW$90,6)-IF($B$3="Обычные",0,INDIRECT("Доходности!C"&amp;(2+Summary!I13))),"")</f>
        <v>-4.06091370558376E-3</v>
      </c>
      <c r="K13" s="6">
        <v>10</v>
      </c>
      <c r="L13" s="9">
        <f t="shared" ref="L13:L15" ca="1" si="0">(IF(F13="",0,F13)*$F$10+IF(H13="",0,H13)*$H$10+IF(J13="",0,J13)*$J$10)/$L$10</f>
        <v>7.1952826062028708E-3</v>
      </c>
      <c r="M13" s="33"/>
      <c r="N13" s="33"/>
      <c r="O13" s="33"/>
    </row>
    <row r="14" spans="1:15" x14ac:dyDescent="0.2">
      <c r="B14" s="33"/>
      <c r="C14" s="26"/>
      <c r="D14" s="31"/>
      <c r="E14" s="6">
        <v>30</v>
      </c>
      <c r="F14" s="9">
        <f ca="1">IFERROR(SUMIF(Доходности!$D$90:$AW$90,4,INDIRECT("Доходности!D"&amp;(2+Summary!E14)&amp;":AW"&amp;(2+Summary!E14)))/COUNTIF(Доходности!$D$90:$AW$90,4)-IF($B$3="Обычные",0,INDIRECT("Доходности!C"&amp;(2+Summary!E14))),"")</f>
        <v>-4.4384667114996675E-2</v>
      </c>
      <c r="G14" s="6">
        <v>30</v>
      </c>
      <c r="H14" s="9">
        <f ca="1">IFERROR(SUMIF(Доходности!$D$90:$AW$90,5,INDIRECT("Доходности!D"&amp;(2+Summary!G14)&amp;":AW"&amp;(2+Summary!G14)))/COUNTIF(Доходности!$D$90:$AW$90,5)-IF($B$3="Обычные",0,INDIRECT("Доходности!C"&amp;(2+Summary!G14))),"")</f>
        <v>6.4679344115099568E-2</v>
      </c>
      <c r="I14" s="6">
        <v>30</v>
      </c>
      <c r="J14" s="9">
        <f ca="1">IFERROR(SUMIF(Доходности!$D$90:$AW$90,6,INDIRECT("Доходности!D"&amp;(2+Summary!I14)&amp;":AW"&amp;(2+Summary!I14)))/COUNTIF(Доходности!$D$90:$AW$90,6)-IF($B$3="Обычные",0,INDIRECT("Доходности!C"&amp;(2+Summary!I14))),"")</f>
        <v>7.1573604060913829E-2</v>
      </c>
      <c r="K14" s="6">
        <v>30</v>
      </c>
      <c r="L14" s="9">
        <f t="shared" ca="1" si="0"/>
        <v>3.9136906294029078E-2</v>
      </c>
      <c r="M14" s="33"/>
      <c r="N14" s="33"/>
      <c r="O14" s="33"/>
    </row>
    <row r="15" spans="1:15" x14ac:dyDescent="0.2">
      <c r="B15" s="33"/>
      <c r="C15" s="26"/>
      <c r="D15" s="32"/>
      <c r="E15" s="6">
        <v>60</v>
      </c>
      <c r="F15" s="9">
        <f ca="1">IFERROR(SUMIF(Доходности!$D$90:$AW$90,4,INDIRECT("Доходности!D"&amp;(2+Summary!E15)&amp;":AW"&amp;(2+Summary!E15)))/COUNTIF(Доходности!$D$90:$AW$90,4)-IF($B$3="Обычные",0,INDIRECT("Доходности!C"&amp;(2+Summary!E15))),"")</f>
        <v>-8.0161398789509203E-2</v>
      </c>
      <c r="G15" s="6">
        <v>60</v>
      </c>
      <c r="H15" s="9">
        <f ca="1">IFERROR(SUMIF(Доходности!$D$90:$AW$90,5,INDIRECT("Доходности!D"&amp;(2+Summary!G15)&amp;":AW"&amp;(2+Summary!G15)))/COUNTIF(Доходности!$D$90:$AW$90,5)-IF($B$3="Обычные",0,INDIRECT("Доходности!C"&amp;(2+Summary!G15))),"")</f>
        <v>-4.7247206131057068E-2</v>
      </c>
      <c r="I15" s="6">
        <v>60</v>
      </c>
      <c r="J15" s="9">
        <f ca="1">IFERROR(SUMIF(Доходности!$D$90:$AW$90,6,INDIRECT("Доходности!D"&amp;(2+Summary!I15)&amp;":AW"&amp;(2+Summary!I15)))/COUNTIF(Доходности!$D$90:$AW$90,6)-IF($B$3="Обычные",0,INDIRECT("Доходности!C"&amp;(2+Summary!I15))),"")</f>
        <v>0.10723350253807104</v>
      </c>
      <c r="K15" s="8">
        <v>60</v>
      </c>
      <c r="L15" s="9">
        <f t="shared" ca="1" si="0"/>
        <v>-1.6855577128388075E-2</v>
      </c>
      <c r="M15" s="33"/>
      <c r="N15" s="33"/>
      <c r="O15" s="33"/>
    </row>
    <row r="16" spans="1:15" x14ac:dyDescent="0.2">
      <c r="B16" s="33"/>
      <c r="C16" s="26"/>
      <c r="D16" s="30" t="s">
        <v>61</v>
      </c>
      <c r="E16" s="4" t="s">
        <v>64</v>
      </c>
      <c r="F16" s="5">
        <f>COUNTIF(Доходности!$D$90:$AW$90,7)</f>
        <v>2</v>
      </c>
      <c r="G16" s="4" t="s">
        <v>64</v>
      </c>
      <c r="H16" s="5">
        <f>COUNTIF(Доходности!$D$90:$AW$90,8)</f>
        <v>1</v>
      </c>
      <c r="I16" s="4" t="s">
        <v>64</v>
      </c>
      <c r="J16" s="5">
        <f>COUNTIF(Доходности!$D$90:$AW$90,9)</f>
        <v>18</v>
      </c>
      <c r="K16" s="4" t="s">
        <v>64</v>
      </c>
      <c r="L16" s="5">
        <f>F16+H16+J16</f>
        <v>21</v>
      </c>
      <c r="M16" s="33"/>
      <c r="N16" s="33"/>
      <c r="O16" s="33"/>
    </row>
    <row r="17" spans="2:15" x14ac:dyDescent="0.2">
      <c r="B17" s="33"/>
      <c r="C17" s="26"/>
      <c r="D17" s="31"/>
      <c r="E17" s="6" t="s">
        <v>57</v>
      </c>
      <c r="F17" s="7"/>
      <c r="G17" s="6" t="s">
        <v>57</v>
      </c>
      <c r="H17" s="7"/>
      <c r="I17" s="6" t="s">
        <v>57</v>
      </c>
      <c r="J17" s="7"/>
      <c r="K17" s="6" t="s">
        <v>57</v>
      </c>
      <c r="L17" s="7"/>
      <c r="M17" s="33"/>
      <c r="N17" s="33"/>
      <c r="O17" s="33"/>
    </row>
    <row r="18" spans="2:15" x14ac:dyDescent="0.2">
      <c r="B18" s="33"/>
      <c r="C18" s="26"/>
      <c r="D18" s="31"/>
      <c r="E18" s="6">
        <v>1</v>
      </c>
      <c r="F18" s="9">
        <f ca="1">IFERROR(SUMIF(Доходности!$D$90:$AW$90,7,INDIRECT("Доходности!D"&amp;(2+Summary!E18)&amp;":AW"&amp;(2+Summary!E18)))/COUNTIF(Доходности!$D$90:$AW$90,7)-IF($B$3="Обычные",0,INDIRECT("Доходности!C"&amp;(2+Summary!E18))),"")</f>
        <v>-1.2006705130024428E-2</v>
      </c>
      <c r="G18" s="6">
        <v>1</v>
      </c>
      <c r="H18" s="9">
        <f ca="1">IFERROR(SUMIF(Доходности!$D$90:$AW$90,8,INDIRECT("Доходности!D"&amp;(2+Summary!G18)&amp;":AW"&amp;(2+Summary!G18)))/COUNTIF(Доходности!$D$90:$AW$90,8)-IF($B$3="Обычные",0,INDIRECT("Доходности!C"&amp;(2+Summary!G18))),"")</f>
        <v>8.3263946711074101E-3</v>
      </c>
      <c r="I18" s="6">
        <v>1</v>
      </c>
      <c r="J18" s="9">
        <f ca="1">IFERROR(SUMIF(Доходности!$D$90:$AW$90,9,INDIRECT("Доходности!D"&amp;(2+Summary!I18)&amp;":AW"&amp;(2+Summary!I18)))/COUNTIF(Доходности!$D$90:$AW$90,9)-IF($B$3="Обычные",0,INDIRECT("Доходности!C"&amp;(2+Summary!I18))),"")</f>
        <v>-3.1595447030467582E-3</v>
      </c>
      <c r="K18" s="6">
        <v>1</v>
      </c>
      <c r="L18" s="9">
        <f ca="1">(IF(F18="",0,F18)*$F$16+IF(H18="",0,H18)*$H$16+IF(J18="",0,J18)*$J$16)/$L$16</f>
        <v>-3.4551819163706238E-3</v>
      </c>
      <c r="M18" s="33"/>
      <c r="N18" s="33"/>
      <c r="O18" s="33"/>
    </row>
    <row r="19" spans="2:15" x14ac:dyDescent="0.2">
      <c r="B19" s="33"/>
      <c r="C19" s="26"/>
      <c r="D19" s="31"/>
      <c r="E19" s="6">
        <v>10</v>
      </c>
      <c r="F19" s="9">
        <f ca="1">IFERROR(SUMIF(Доходности!$D$90:$AW$90,7,INDIRECT("Доходности!D"&amp;(2+Summary!E19)&amp;":AW"&amp;(2+Summary!E19)))/COUNTIF(Доходности!$D$90:$AW$90,7)-IF($B$3="Обычные",0,INDIRECT("Доходности!C"&amp;(2+Summary!E19))),"")</f>
        <v>9.8696468270001447E-5</v>
      </c>
      <c r="G19" s="6">
        <v>10</v>
      </c>
      <c r="H19" s="9">
        <f ca="1">IFERROR(SUMIF(Доходности!$D$90:$AW$90,8,INDIRECT("Доходности!D"&amp;(2+Summary!G19)&amp;":AW"&amp;(2+Summary!G19)))/COUNTIF(Доходности!$D$90:$AW$90,8)-IF($B$3="Обычные",0,INDIRECT("Доходности!C"&amp;(2+Summary!G19))),"")</f>
        <v>3.5387177352206492E-2</v>
      </c>
      <c r="I19" s="6">
        <v>10</v>
      </c>
      <c r="J19" s="9">
        <f ca="1">IFERROR(SUMIF(Доходности!$D$90:$AW$90,9,INDIRECT("Доходности!D"&amp;(2+Summary!I19)&amp;":AW"&amp;(2+Summary!I19)))/COUNTIF(Доходности!$D$90:$AW$90,9)-IF($B$3="Обычные",0,INDIRECT("Доходности!C"&amp;(2+Summary!I19))),"")</f>
        <v>1.645886638910677E-2</v>
      </c>
      <c r="K19" s="6">
        <v>10</v>
      </c>
      <c r="L19" s="9">
        <f t="shared" ref="L19:L21" ca="1" si="1">(IF(F19="",0,F19)*$F$16+IF(H19="",0,H19)*$H$16+IF(J19="",0,J19)*$J$16)/$L$16</f>
        <v>1.5802103109174685E-2</v>
      </c>
      <c r="M19" s="33"/>
      <c r="N19" s="33"/>
      <c r="O19" s="33"/>
    </row>
    <row r="20" spans="2:15" x14ac:dyDescent="0.2">
      <c r="B20" s="33"/>
      <c r="C20" s="26"/>
      <c r="D20" s="31"/>
      <c r="E20" s="6">
        <v>30</v>
      </c>
      <c r="F20" s="9">
        <f ca="1">IFERROR(SUMIF(Доходности!$D$90:$AW$90,7,INDIRECT("Доходности!D"&amp;(2+Summary!E20)&amp;":AW"&amp;(2+Summary!E20)))/COUNTIF(Доходности!$D$90:$AW$90,7)-IF($B$3="Обычные",0,INDIRECT("Доходности!C"&amp;(2+Summary!E20))),"")</f>
        <v>1.4261495456270637E-2</v>
      </c>
      <c r="G20" s="6">
        <v>30</v>
      </c>
      <c r="H20" s="9">
        <f ca="1">IFERROR(SUMIF(Доходности!$D$90:$AW$90,8,INDIRECT("Доходности!D"&amp;(2+Summary!G20)&amp;":AW"&amp;(2+Summary!G20)))/COUNTIF(Доходности!$D$90:$AW$90,8)-IF($B$3="Обычные",0,INDIRECT("Доходности!C"&amp;(2+Summary!G20))),"")</f>
        <v>-3.0807660283097418E-2</v>
      </c>
      <c r="I20" s="6">
        <v>30</v>
      </c>
      <c r="J20" s="9">
        <f ca="1">IFERROR(SUMIF(Доходности!$D$90:$AW$90,9,INDIRECT("Доходности!D"&amp;(2+Summary!I20)&amp;":AW"&amp;(2+Summary!I20)))/COUNTIF(Доходности!$D$90:$AW$90,9)-IF($B$3="Обычные",0,INDIRECT("Доходности!C"&amp;(2+Summary!I20))),"")</f>
        <v>-3.1874869182989315E-3</v>
      </c>
      <c r="K20" s="6">
        <v>30</v>
      </c>
      <c r="L20" s="9">
        <f t="shared" ca="1" si="1"/>
        <v>-2.8409254238065196E-3</v>
      </c>
      <c r="M20" s="33"/>
      <c r="N20" s="33"/>
      <c r="O20" s="33"/>
    </row>
    <row r="21" spans="2:15" x14ac:dyDescent="0.2">
      <c r="B21" s="33"/>
      <c r="C21" s="27"/>
      <c r="D21" s="32"/>
      <c r="E21" s="6">
        <v>60</v>
      </c>
      <c r="F21" s="9">
        <f ca="1">IFERROR(SUMIF(Доходности!$D$90:$AW$90,7,INDIRECT("Доходности!D"&amp;(2+Summary!E21)&amp;":AW"&amp;(2+Summary!E21)))/COUNTIF(Доходности!$D$90:$AW$90,7)-IF($B$3="Обычные",0,INDIRECT("Доходности!C"&amp;(2+Summary!E21))),"")</f>
        <v>-6.4748921030135062E-2</v>
      </c>
      <c r="G21" s="6">
        <v>60</v>
      </c>
      <c r="H21" s="9">
        <f ca="1">IFERROR(SUMIF(Доходности!$D$90:$AW$90,8,INDIRECT("Доходности!D"&amp;(2+Summary!G21)&amp;":AW"&amp;(2+Summary!G21)))/COUNTIF(Доходности!$D$90:$AW$90,8)-IF($B$3="Обычные",0,INDIRECT("Доходности!C"&amp;(2+Summary!G21))),"")</f>
        <v>-3.4970857618651124E-2</v>
      </c>
      <c r="I21" s="6">
        <v>60</v>
      </c>
      <c r="J21" s="9">
        <f ca="1">IFERROR(SUMIF(Доходности!$D$90:$AW$90,9,INDIRECT("Доходности!D"&amp;(2+Summary!I21)&amp;":AW"&amp;(2+Summary!I21)))/COUNTIF(Доходности!$D$90:$AW$90,9)-IF($B$3="Обычные",0,INDIRECT("Доходности!C"&amp;(2+Summary!I21))),"")</f>
        <v>-2.4318080694786855E-2</v>
      </c>
      <c r="K21" s="8">
        <v>60</v>
      </c>
      <c r="L21" s="9">
        <f t="shared" ca="1" si="1"/>
        <v>-2.8675912008813555E-2</v>
      </c>
      <c r="M21" s="33"/>
      <c r="N21" s="33"/>
      <c r="O21" s="33"/>
    </row>
    <row r="22" spans="2:15" x14ac:dyDescent="0.2">
      <c r="B22" s="33"/>
      <c r="C22" s="13" t="s">
        <v>62</v>
      </c>
      <c r="D22" s="14"/>
      <c r="E22" s="4" t="s">
        <v>64</v>
      </c>
      <c r="F22" s="5">
        <f>F4+F10+F16</f>
        <v>19</v>
      </c>
      <c r="G22" s="4" t="s">
        <v>64</v>
      </c>
      <c r="H22" s="5">
        <f>H4+H10+H16</f>
        <v>6</v>
      </c>
      <c r="I22" s="4" t="s">
        <v>64</v>
      </c>
      <c r="J22" s="5">
        <f>J4+J10+J16</f>
        <v>21</v>
      </c>
      <c r="K22" s="4" t="s">
        <v>64</v>
      </c>
      <c r="L22" s="5">
        <f>F22+H22+J22</f>
        <v>46</v>
      </c>
      <c r="M22" s="33"/>
      <c r="N22" s="33"/>
      <c r="O22" s="33"/>
    </row>
    <row r="23" spans="2:15" x14ac:dyDescent="0.2">
      <c r="B23" s="33"/>
      <c r="C23" s="15"/>
      <c r="D23" s="16"/>
      <c r="E23" s="6" t="s">
        <v>57</v>
      </c>
      <c r="F23" s="7"/>
      <c r="G23" s="6" t="s">
        <v>57</v>
      </c>
      <c r="H23" s="7"/>
      <c r="I23" s="6" t="s">
        <v>57</v>
      </c>
      <c r="J23" s="7"/>
      <c r="K23" s="6" t="s">
        <v>57</v>
      </c>
      <c r="L23" s="7"/>
      <c r="M23" s="33"/>
      <c r="N23" s="33"/>
      <c r="O23" s="33"/>
    </row>
    <row r="24" spans="2:15" x14ac:dyDescent="0.2">
      <c r="B24" s="33"/>
      <c r="C24" s="15"/>
      <c r="D24" s="16"/>
      <c r="E24" s="6">
        <v>1</v>
      </c>
      <c r="F24" s="9">
        <f ca="1">(IF(F6="",0,F6)*$F$4+IF(F12="",0,F12)*$F$10+IF(F18="",0,F18)*$F$16)/$F$22</f>
        <v>1.4571392364524445E-3</v>
      </c>
      <c r="G24" s="6">
        <v>1</v>
      </c>
      <c r="H24" s="9">
        <f ca="1">(IF(H6="",0,H6)*$H$4+IF(H12="",0,H12)*$H$10+IF(H18="",0,H18)*$H$16)/$H$22</f>
        <v>5.8204384210060677E-4</v>
      </c>
      <c r="I24" s="6">
        <v>1</v>
      </c>
      <c r="J24" s="9">
        <f ca="1">(IF(J6="",0,J6)*$J$4+IF(J12="",0,J12)*$J$10+IF(J18="",0,J18)*$J$16)/$J$22</f>
        <v>-2.879072375610883E-3</v>
      </c>
      <c r="K24" s="6">
        <v>1</v>
      </c>
      <c r="L24" s="9">
        <f ca="1">(IF(L6="",0,L6)*$L$4+IF(L12="",0,L12)*$L$10+IF(L18="",0,L18)*$L$16)/$L$22</f>
        <v>-6.3657850744844476E-4</v>
      </c>
      <c r="M24" s="33"/>
      <c r="N24" s="33"/>
      <c r="O24" s="33"/>
    </row>
    <row r="25" spans="2:15" x14ac:dyDescent="0.2">
      <c r="B25" s="33"/>
      <c r="C25" s="15"/>
      <c r="D25" s="16"/>
      <c r="E25" s="6">
        <v>10</v>
      </c>
      <c r="F25" s="9">
        <f t="shared" ref="F25:F27" ca="1" si="2">(IF(F7="",0,F7)*$F$4+IF(F13="",0,F13)*$F$10+IF(F19="",0,F19)*$F$16)/$F$22</f>
        <v>1.4426247036606707E-2</v>
      </c>
      <c r="G25" s="6">
        <v>10</v>
      </c>
      <c r="H25" s="9">
        <f t="shared" ref="H25:H27" ca="1" si="3">(IF(H7="",0,H7)*$H$4+IF(H13="",0,H13)*$H$10+IF(H19="",0,H19)*$H$16)/$H$22</f>
        <v>1.2181636303471447E-2</v>
      </c>
      <c r="I25" s="6">
        <v>10</v>
      </c>
      <c r="J25" s="9">
        <f t="shared" ref="J25:J27" ca="1" si="4">(IF(J7="",0,J7)*$J$4+IF(J13="",0,J13)*$J$10+IF(J19="",0,J19)*$J$16)/$J$22</f>
        <v>1.5012616272675125E-2</v>
      </c>
      <c r="K25" s="6">
        <v>10</v>
      </c>
      <c r="L25" s="9">
        <f t="shared" ref="L25:L27" ca="1" si="5">(IF(L7="",0,L7)*$L$4+IF(L13="",0,L13)*$L$10+IF(L19="",0,L19)*$L$16)/$L$22</f>
        <v>1.4401162027011605E-2</v>
      </c>
      <c r="M25" s="33"/>
      <c r="N25" s="33"/>
      <c r="O25" s="33"/>
    </row>
    <row r="26" spans="2:15" x14ac:dyDescent="0.2">
      <c r="B26" s="33"/>
      <c r="C26" s="15"/>
      <c r="D26" s="16"/>
      <c r="E26" s="6">
        <v>30</v>
      </c>
      <c r="F26" s="9">
        <f t="shared" ca="1" si="2"/>
        <v>1.9435593120762935E-2</v>
      </c>
      <c r="G26" s="6">
        <v>30</v>
      </c>
      <c r="H26" s="9">
        <f t="shared" ca="1" si="3"/>
        <v>2.4612790369199486E-2</v>
      </c>
      <c r="I26" s="6">
        <v>30</v>
      </c>
      <c r="J26" s="9">
        <f t="shared" ca="1" si="4"/>
        <v>4.6196284914217026E-3</v>
      </c>
      <c r="K26" s="6">
        <v>30</v>
      </c>
      <c r="L26" s="9">
        <f t="shared" ca="1" si="5"/>
        <v>1.3347069778903228E-2</v>
      </c>
      <c r="M26" s="33"/>
      <c r="N26" s="33"/>
      <c r="O26" s="33"/>
    </row>
    <row r="27" spans="2:15" x14ac:dyDescent="0.2">
      <c r="B27" s="33"/>
      <c r="C27" s="17"/>
      <c r="D27" s="18"/>
      <c r="E27" s="8">
        <v>60</v>
      </c>
      <c r="F27" s="10">
        <f t="shared" ca="1" si="2"/>
        <v>1.3352268090565509E-2</v>
      </c>
      <c r="G27" s="8">
        <v>60</v>
      </c>
      <c r="H27" s="10">
        <f t="shared" ca="1" si="3"/>
        <v>-2.9178663640692201E-2</v>
      </c>
      <c r="I27" s="8">
        <v>60</v>
      </c>
      <c r="J27" s="10">
        <f t="shared" ca="1" si="4"/>
        <v>-1.4570077720958065E-2</v>
      </c>
      <c r="K27" s="8">
        <v>60</v>
      </c>
      <c r="L27" s="10">
        <f ca="1">(IF(L9="",0,L9)*$L$4+IF(L15="",0,L15)*$L$10+IF(L21="",0,L21)*$L$16)/$L$22</f>
        <v>-4.9424026144245185E-3</v>
      </c>
      <c r="M27" s="33"/>
      <c r="N27" s="33"/>
      <c r="O27" s="33"/>
    </row>
    <row r="28" spans="2:15" x14ac:dyDescent="0.2">
      <c r="B28" s="33"/>
      <c r="C28" s="34"/>
      <c r="D28" s="34"/>
      <c r="E28" s="35"/>
      <c r="F28" s="36"/>
      <c r="G28" s="35"/>
      <c r="H28" s="36"/>
      <c r="I28" s="35"/>
      <c r="J28" s="36"/>
      <c r="K28" s="35"/>
      <c r="L28" s="36"/>
      <c r="M28" s="33"/>
      <c r="N28" s="33"/>
      <c r="O28" s="33"/>
    </row>
    <row r="29" spans="2:15" x14ac:dyDescent="0.2"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</row>
    <row r="30" spans="2:15" x14ac:dyDescent="0.2">
      <c r="B30" s="33"/>
      <c r="C30" s="33"/>
      <c r="D30" s="33"/>
      <c r="E30" s="33"/>
      <c r="F30" s="37"/>
      <c r="G30" s="33"/>
      <c r="H30" s="33"/>
      <c r="I30" s="33"/>
      <c r="J30" s="33"/>
      <c r="K30" s="33"/>
      <c r="L30" s="33"/>
      <c r="M30" s="33"/>
      <c r="N30" s="33"/>
      <c r="O30" s="33"/>
    </row>
    <row r="31" spans="2:15" x14ac:dyDescent="0.2"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</row>
    <row r="32" spans="2:15" x14ac:dyDescent="0.2"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</row>
    <row r="33" spans="2:15" x14ac:dyDescent="0.2"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</row>
    <row r="34" spans="2:15" x14ac:dyDescent="0.2"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</row>
    <row r="35" spans="2:15" x14ac:dyDescent="0.2"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</row>
    <row r="36" spans="2:15" x14ac:dyDescent="0.2"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</row>
    <row r="37" spans="2:15" x14ac:dyDescent="0.2"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</row>
    <row r="38" spans="2:15" x14ac:dyDescent="0.2"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</row>
    <row r="39" spans="2:15" x14ac:dyDescent="0.2"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</row>
    <row r="40" spans="2:15" x14ac:dyDescent="0.2"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</row>
    <row r="41" spans="2:15" x14ac:dyDescent="0.2">
      <c r="M41" s="33"/>
      <c r="N41" s="33"/>
      <c r="O41" s="33"/>
    </row>
    <row r="42" spans="2:15" x14ac:dyDescent="0.2">
      <c r="M42" s="33"/>
      <c r="N42" s="33"/>
      <c r="O42" s="33"/>
    </row>
    <row r="43" spans="2:15" x14ac:dyDescent="0.2">
      <c r="M43" s="33"/>
      <c r="N43" s="33"/>
      <c r="O43" s="33"/>
    </row>
  </sheetData>
  <mergeCells count="11">
    <mergeCell ref="C22:D27"/>
    <mergeCell ref="C2:D3"/>
    <mergeCell ref="E2:J2"/>
    <mergeCell ref="K2:L3"/>
    <mergeCell ref="E3:F3"/>
    <mergeCell ref="G3:H3"/>
    <mergeCell ref="I3:J3"/>
    <mergeCell ref="D4:D9"/>
    <mergeCell ref="D10:D15"/>
    <mergeCell ref="D16:D21"/>
    <mergeCell ref="C4:C21"/>
  </mergeCells>
  <dataValidations count="2">
    <dataValidation type="list" allowBlank="1" showInputMessage="1" showErrorMessage="1" sqref="B2" xr:uid="{00000000-0002-0000-0000-000000000000}">
      <formula1>"CAPM,Fama-French"</formula1>
    </dataValidation>
    <dataValidation type="list" allowBlank="1" showInputMessage="1" showErrorMessage="1" sqref="B3" xr:uid="{00000000-0002-0000-0000-000001000000}">
      <formula1>"Обычные, Превышение над рынком"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X85"/>
  <sheetViews>
    <sheetView topLeftCell="A50" workbookViewId="0">
      <selection activeCell="K88" sqref="K88"/>
    </sheetView>
  </sheetViews>
  <sheetFormatPr baseColWidth="10" defaultColWidth="8.83203125" defaultRowHeight="15" x14ac:dyDescent="0.2"/>
  <cols>
    <col min="1" max="1" width="10.1640625" bestFit="1" customWidth="1"/>
    <col min="2" max="2" width="13.1640625" bestFit="1" customWidth="1"/>
  </cols>
  <sheetData>
    <row r="1" spans="1:50" x14ac:dyDescent="0.2">
      <c r="A1" s="1" t="s">
        <v>48</v>
      </c>
      <c r="B1" s="1" t="s">
        <v>66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 t="s">
        <v>25</v>
      </c>
      <c r="AC1" s="1" t="s">
        <v>26</v>
      </c>
      <c r="AD1" s="1" t="s">
        <v>27</v>
      </c>
      <c r="AE1" s="1" t="s">
        <v>28</v>
      </c>
      <c r="AF1" s="1" t="s">
        <v>29</v>
      </c>
      <c r="AG1" s="1" t="s">
        <v>30</v>
      </c>
      <c r="AH1" s="1" t="s">
        <v>31</v>
      </c>
      <c r="AI1" s="1" t="s">
        <v>32</v>
      </c>
      <c r="AJ1" s="1" t="s">
        <v>33</v>
      </c>
      <c r="AK1" s="1" t="s">
        <v>34</v>
      </c>
      <c r="AL1" s="1" t="s">
        <v>35</v>
      </c>
      <c r="AM1" s="1" t="s">
        <v>36</v>
      </c>
      <c r="AN1" s="1" t="s">
        <v>37</v>
      </c>
      <c r="AO1" s="1" t="s">
        <v>38</v>
      </c>
      <c r="AP1" s="1" t="s">
        <v>39</v>
      </c>
      <c r="AQ1" s="1" t="s">
        <v>40</v>
      </c>
      <c r="AR1" s="1" t="s">
        <v>41</v>
      </c>
      <c r="AS1" s="1" t="s">
        <v>42</v>
      </c>
      <c r="AT1" s="1" t="s">
        <v>43</v>
      </c>
      <c r="AU1" s="1" t="s">
        <v>44</v>
      </c>
      <c r="AV1" s="1" t="s">
        <v>45</v>
      </c>
      <c r="AW1" s="1" t="s">
        <v>46</v>
      </c>
      <c r="AX1" s="1" t="s">
        <v>47</v>
      </c>
    </row>
    <row r="2" spans="1:50" x14ac:dyDescent="0.2">
      <c r="A2" s="1" t="s">
        <v>67</v>
      </c>
      <c r="B2">
        <v>2253.77</v>
      </c>
      <c r="C2">
        <v>223</v>
      </c>
      <c r="D2">
        <v>144.13999999999999</v>
      </c>
      <c r="E2">
        <v>3999.5</v>
      </c>
      <c r="F2">
        <v>10860</v>
      </c>
      <c r="G2">
        <v>743.7</v>
      </c>
      <c r="H2">
        <v>29.25</v>
      </c>
      <c r="I2">
        <v>3906</v>
      </c>
      <c r="J2">
        <v>661</v>
      </c>
      <c r="K2">
        <v>352.25</v>
      </c>
      <c r="L2">
        <v>4729</v>
      </c>
      <c r="M2">
        <v>289.39999999999998</v>
      </c>
      <c r="N2">
        <v>114.21</v>
      </c>
      <c r="O2">
        <v>3.94</v>
      </c>
      <c r="P2">
        <v>154.65</v>
      </c>
      <c r="Q2">
        <v>87.75</v>
      </c>
      <c r="R2">
        <v>965.2</v>
      </c>
      <c r="S2">
        <v>5.2999999999999999E-2</v>
      </c>
      <c r="T2">
        <v>65.150000000000006</v>
      </c>
      <c r="U2">
        <v>2402</v>
      </c>
      <c r="V2">
        <v>10.85</v>
      </c>
      <c r="W2">
        <v>46.21</v>
      </c>
      <c r="X2">
        <v>307.60000000000002</v>
      </c>
      <c r="Y2">
        <v>0.74350000000000005</v>
      </c>
      <c r="Z2">
        <v>0.17349999999999999</v>
      </c>
      <c r="AA2">
        <v>146.6</v>
      </c>
      <c r="AB2">
        <v>832.5</v>
      </c>
      <c r="AC2">
        <v>0.82779999999999998</v>
      </c>
      <c r="AD2">
        <v>2.738</v>
      </c>
      <c r="AE2">
        <v>338.5</v>
      </c>
      <c r="AF2">
        <v>412.8</v>
      </c>
      <c r="AG2">
        <v>78.349999999999994</v>
      </c>
      <c r="AH2">
        <v>121.2</v>
      </c>
      <c r="AI2">
        <v>7.2649999999999997</v>
      </c>
      <c r="AJ2">
        <v>4264</v>
      </c>
      <c r="AK2">
        <v>2.6030000000000002</v>
      </c>
      <c r="AL2">
        <v>112</v>
      </c>
      <c r="AM2">
        <v>2190</v>
      </c>
      <c r="AN2">
        <v>17250</v>
      </c>
      <c r="AO2">
        <v>54.6</v>
      </c>
      <c r="AP2">
        <v>1090</v>
      </c>
      <c r="AQ2">
        <v>493</v>
      </c>
      <c r="AR2">
        <v>122.3</v>
      </c>
      <c r="AS2">
        <v>51.8</v>
      </c>
      <c r="AT2">
        <v>0.71799999999999997</v>
      </c>
      <c r="AU2">
        <v>49.85</v>
      </c>
      <c r="AV2">
        <v>92.39</v>
      </c>
      <c r="AW2">
        <v>0.45</v>
      </c>
      <c r="AX2">
        <v>335.5</v>
      </c>
    </row>
    <row r="3" spans="1:50" x14ac:dyDescent="0.2">
      <c r="A3" s="1" t="s">
        <v>68</v>
      </c>
      <c r="B3">
        <v>2253.5</v>
      </c>
      <c r="C3">
        <v>220.45</v>
      </c>
      <c r="D3">
        <v>142.69999999999999</v>
      </c>
      <c r="E3">
        <v>4029</v>
      </c>
      <c r="F3">
        <v>10803</v>
      </c>
      <c r="G3">
        <v>740.4</v>
      </c>
      <c r="H3">
        <v>29.114999999999998</v>
      </c>
      <c r="I3">
        <v>3947</v>
      </c>
      <c r="J3">
        <v>666</v>
      </c>
      <c r="K3">
        <v>370</v>
      </c>
      <c r="L3">
        <v>4786</v>
      </c>
      <c r="M3">
        <v>289.14999999999998</v>
      </c>
      <c r="N3">
        <v>114.45</v>
      </c>
      <c r="O3">
        <v>3.9615</v>
      </c>
      <c r="P3">
        <v>158.15</v>
      </c>
      <c r="Q3">
        <v>88</v>
      </c>
      <c r="R3">
        <v>978.4</v>
      </c>
      <c r="S3">
        <v>5.2870000000000007E-2</v>
      </c>
      <c r="T3">
        <v>65.19</v>
      </c>
      <c r="U3">
        <v>2422</v>
      </c>
      <c r="V3">
        <v>10.8</v>
      </c>
      <c r="W3">
        <v>45.965000000000003</v>
      </c>
      <c r="X3">
        <v>307.60000000000002</v>
      </c>
      <c r="Y3">
        <v>0.74409999999999998</v>
      </c>
      <c r="Z3">
        <v>0.17185</v>
      </c>
      <c r="AA3">
        <v>144.44999999999999</v>
      </c>
      <c r="AB3">
        <v>828.5</v>
      </c>
      <c r="AC3">
        <v>0.82289999999999996</v>
      </c>
      <c r="AD3">
        <v>2.7090000000000001</v>
      </c>
      <c r="AE3">
        <v>343</v>
      </c>
      <c r="AF3">
        <v>400</v>
      </c>
      <c r="AG3">
        <v>79</v>
      </c>
      <c r="AH3">
        <v>119.3</v>
      </c>
      <c r="AI3">
        <v>7.2249999999999996</v>
      </c>
      <c r="AJ3">
        <v>4253</v>
      </c>
      <c r="AK3">
        <v>2.5529999999999999</v>
      </c>
      <c r="AL3">
        <v>112</v>
      </c>
      <c r="AM3">
        <v>2185</v>
      </c>
      <c r="AN3">
        <v>17250</v>
      </c>
      <c r="AO3">
        <v>54.4</v>
      </c>
      <c r="AP3">
        <v>1080</v>
      </c>
      <c r="AQ3">
        <v>501</v>
      </c>
      <c r="AR3">
        <v>121</v>
      </c>
      <c r="AS3">
        <v>51.2</v>
      </c>
      <c r="AT3">
        <v>0.71799999999999997</v>
      </c>
      <c r="AU3">
        <v>49.75</v>
      </c>
      <c r="AV3">
        <v>92.05</v>
      </c>
      <c r="AW3">
        <v>0.44740000000000002</v>
      </c>
      <c r="AX3">
        <v>328.5</v>
      </c>
    </row>
    <row r="4" spans="1:50" x14ac:dyDescent="0.2">
      <c r="A4" s="1" t="s">
        <v>69</v>
      </c>
      <c r="B4">
        <v>2286.02</v>
      </c>
      <c r="C4">
        <v>220.7</v>
      </c>
      <c r="D4">
        <v>145.47999999999999</v>
      </c>
      <c r="E4">
        <v>4140</v>
      </c>
      <c r="F4">
        <v>10988</v>
      </c>
      <c r="G4">
        <v>760</v>
      </c>
      <c r="H4">
        <v>29.85</v>
      </c>
      <c r="I4">
        <v>3920</v>
      </c>
      <c r="J4">
        <v>680</v>
      </c>
      <c r="K4">
        <v>375</v>
      </c>
      <c r="L4">
        <v>4830</v>
      </c>
      <c r="M4">
        <v>295.8</v>
      </c>
      <c r="N4">
        <v>116.08</v>
      </c>
      <c r="O4">
        <v>3.92</v>
      </c>
      <c r="P4">
        <v>160.5</v>
      </c>
      <c r="Q4">
        <v>88.05</v>
      </c>
      <c r="R4">
        <v>996.4</v>
      </c>
      <c r="S4">
        <v>5.2400000000000002E-2</v>
      </c>
      <c r="T4">
        <v>64.75</v>
      </c>
      <c r="U4">
        <v>2460</v>
      </c>
      <c r="V4">
        <v>10.94</v>
      </c>
      <c r="W4">
        <v>46.42</v>
      </c>
      <c r="X4">
        <v>307.39999999999998</v>
      </c>
      <c r="Y4">
        <v>0.74</v>
      </c>
      <c r="Z4">
        <v>0.17405000000000001</v>
      </c>
      <c r="AA4">
        <v>145.6</v>
      </c>
      <c r="AB4">
        <v>832.5</v>
      </c>
      <c r="AC4">
        <v>0.84240000000000004</v>
      </c>
      <c r="AD4">
        <v>2.742</v>
      </c>
      <c r="AE4">
        <v>346</v>
      </c>
      <c r="AF4">
        <v>401.7</v>
      </c>
      <c r="AG4">
        <v>79.349999999999994</v>
      </c>
      <c r="AH4">
        <v>119.9</v>
      </c>
      <c r="AI4">
        <v>7.2249999999999996</v>
      </c>
      <c r="AJ4">
        <v>4280</v>
      </c>
      <c r="AK4">
        <v>2.54</v>
      </c>
      <c r="AL4">
        <v>111.7</v>
      </c>
      <c r="AM4">
        <v>2199</v>
      </c>
      <c r="AN4">
        <v>17290</v>
      </c>
      <c r="AO4">
        <v>54.3</v>
      </c>
      <c r="AP4">
        <v>1055</v>
      </c>
      <c r="AQ4">
        <v>499</v>
      </c>
      <c r="AR4">
        <v>121.6</v>
      </c>
      <c r="AS4">
        <v>50.95</v>
      </c>
      <c r="AT4">
        <v>0.72900000000000009</v>
      </c>
      <c r="AU4">
        <v>49.8</v>
      </c>
      <c r="AV4">
        <v>95.74</v>
      </c>
      <c r="AW4">
        <v>0.44159999999999999</v>
      </c>
      <c r="AX4">
        <v>322.5</v>
      </c>
    </row>
    <row r="5" spans="1:50" x14ac:dyDescent="0.2">
      <c r="A5" s="1" t="s">
        <v>70</v>
      </c>
      <c r="B5">
        <v>2301.4899999999998</v>
      </c>
      <c r="C5">
        <v>223.91</v>
      </c>
      <c r="D5">
        <v>144.5</v>
      </c>
      <c r="E5">
        <v>4212</v>
      </c>
      <c r="F5">
        <v>10989</v>
      </c>
      <c r="G5">
        <v>770.8</v>
      </c>
      <c r="H5">
        <v>29.695</v>
      </c>
      <c r="I5">
        <v>3937</v>
      </c>
      <c r="J5">
        <v>685.25</v>
      </c>
      <c r="K5">
        <v>380</v>
      </c>
      <c r="L5">
        <v>4875</v>
      </c>
      <c r="M5">
        <v>295.10000000000002</v>
      </c>
      <c r="N5">
        <v>120.05</v>
      </c>
      <c r="O5">
        <v>3.9750000000000001</v>
      </c>
      <c r="P5">
        <v>162.05000000000001</v>
      </c>
      <c r="Q5">
        <v>89</v>
      </c>
      <c r="R5">
        <v>993.9</v>
      </c>
      <c r="S5">
        <v>5.2570000000000013E-2</v>
      </c>
      <c r="T5">
        <v>64.989999999999995</v>
      </c>
      <c r="U5">
        <v>2476</v>
      </c>
      <c r="V5">
        <v>11</v>
      </c>
      <c r="W5">
        <v>47.46</v>
      </c>
      <c r="X5">
        <v>307.89999999999998</v>
      </c>
      <c r="Y5">
        <v>0.74880000000000002</v>
      </c>
      <c r="Z5">
        <v>0.1772</v>
      </c>
      <c r="AA5">
        <v>144.30000000000001</v>
      </c>
      <c r="AB5">
        <v>834.5</v>
      </c>
      <c r="AC5">
        <v>0.8619</v>
      </c>
      <c r="AD5">
        <v>2.74</v>
      </c>
      <c r="AE5">
        <v>345</v>
      </c>
      <c r="AF5">
        <v>402.9</v>
      </c>
      <c r="AG5">
        <v>79.150000000000006</v>
      </c>
      <c r="AH5">
        <v>120.2</v>
      </c>
      <c r="AI5">
        <v>7.12</v>
      </c>
      <c r="AJ5">
        <v>4299</v>
      </c>
      <c r="AK5">
        <v>2.6</v>
      </c>
      <c r="AL5">
        <v>111.1</v>
      </c>
      <c r="AM5">
        <v>2218</v>
      </c>
      <c r="AN5">
        <v>17350</v>
      </c>
      <c r="AO5">
        <v>54.8</v>
      </c>
      <c r="AP5">
        <v>1080</v>
      </c>
      <c r="AQ5">
        <v>511</v>
      </c>
      <c r="AR5">
        <v>128</v>
      </c>
      <c r="AS5">
        <v>50.9</v>
      </c>
      <c r="AT5">
        <v>0.74299999999999999</v>
      </c>
      <c r="AU5">
        <v>49.35</v>
      </c>
      <c r="AV5">
        <v>97.55</v>
      </c>
      <c r="AW5">
        <v>0.45400000000000001</v>
      </c>
      <c r="AX5">
        <v>326.5</v>
      </c>
    </row>
    <row r="6" spans="1:50" x14ac:dyDescent="0.2">
      <c r="A6" s="1" t="s">
        <v>71</v>
      </c>
      <c r="B6">
        <v>2307.02</v>
      </c>
      <c r="C6">
        <v>226.99</v>
      </c>
      <c r="D6">
        <v>145.93</v>
      </c>
      <c r="E6">
        <v>4156.5</v>
      </c>
      <c r="F6">
        <v>10814</v>
      </c>
      <c r="G6">
        <v>770</v>
      </c>
      <c r="H6">
        <v>29.44</v>
      </c>
      <c r="I6">
        <v>3995</v>
      </c>
      <c r="J6">
        <v>671.05</v>
      </c>
      <c r="K6">
        <v>383</v>
      </c>
      <c r="L6">
        <v>4902</v>
      </c>
      <c r="M6">
        <v>296.39999999999998</v>
      </c>
      <c r="N6">
        <v>120.75</v>
      </c>
      <c r="O6">
        <v>4</v>
      </c>
      <c r="P6">
        <v>161.16</v>
      </c>
      <c r="Q6">
        <v>89.61</v>
      </c>
      <c r="R6">
        <v>1011.9</v>
      </c>
      <c r="S6">
        <v>5.3969999999999997E-2</v>
      </c>
      <c r="T6">
        <v>65.680000000000007</v>
      </c>
      <c r="U6">
        <v>2500</v>
      </c>
      <c r="V6">
        <v>11.23</v>
      </c>
      <c r="W6">
        <v>48.68</v>
      </c>
      <c r="X6">
        <v>306.39999999999998</v>
      </c>
      <c r="Y6">
        <v>0.745</v>
      </c>
      <c r="Z6">
        <v>0.17549999999999999</v>
      </c>
      <c r="AA6">
        <v>144</v>
      </c>
      <c r="AB6">
        <v>836</v>
      </c>
      <c r="AC6">
        <v>0.83499999999999996</v>
      </c>
      <c r="AD6">
        <v>2.7759999999999998</v>
      </c>
      <c r="AE6">
        <v>354</v>
      </c>
      <c r="AF6">
        <v>406.5</v>
      </c>
      <c r="AG6">
        <v>76.55</v>
      </c>
      <c r="AH6">
        <v>120.2</v>
      </c>
      <c r="AI6">
        <v>7.14</v>
      </c>
      <c r="AJ6">
        <v>4344</v>
      </c>
      <c r="AK6">
        <v>2.5735000000000001</v>
      </c>
      <c r="AL6">
        <v>112</v>
      </c>
      <c r="AM6">
        <v>2209</v>
      </c>
      <c r="AN6">
        <v>17300</v>
      </c>
      <c r="AO6">
        <v>53.6</v>
      </c>
      <c r="AP6">
        <v>1125</v>
      </c>
      <c r="AQ6">
        <v>513</v>
      </c>
      <c r="AR6">
        <v>126.7</v>
      </c>
      <c r="AS6">
        <v>51</v>
      </c>
      <c r="AT6">
        <v>0.73799999999999999</v>
      </c>
      <c r="AU6">
        <v>49.65</v>
      </c>
      <c r="AV6">
        <v>97.31</v>
      </c>
      <c r="AW6">
        <v>0.45390000000000003</v>
      </c>
      <c r="AX6">
        <v>336</v>
      </c>
    </row>
    <row r="7" spans="1:50" x14ac:dyDescent="0.2">
      <c r="A7" s="1" t="s">
        <v>72</v>
      </c>
      <c r="B7">
        <v>2307.02</v>
      </c>
      <c r="C7">
        <v>226.99</v>
      </c>
      <c r="D7">
        <v>145.93</v>
      </c>
      <c r="E7">
        <v>4156.5</v>
      </c>
      <c r="F7">
        <v>10814</v>
      </c>
      <c r="G7">
        <v>770</v>
      </c>
      <c r="H7">
        <v>29.44</v>
      </c>
      <c r="I7">
        <v>3995</v>
      </c>
      <c r="J7">
        <v>671.05</v>
      </c>
      <c r="K7">
        <v>383</v>
      </c>
      <c r="L7">
        <v>4902</v>
      </c>
      <c r="M7">
        <v>296.39999999999998</v>
      </c>
      <c r="N7">
        <v>120.75</v>
      </c>
      <c r="O7">
        <v>4</v>
      </c>
      <c r="P7">
        <v>161.16</v>
      </c>
      <c r="Q7">
        <v>89.61</v>
      </c>
      <c r="R7">
        <v>1011.9</v>
      </c>
      <c r="S7">
        <v>5.3969999999999997E-2</v>
      </c>
      <c r="T7">
        <v>65.680000000000007</v>
      </c>
      <c r="U7">
        <v>2500</v>
      </c>
      <c r="V7">
        <v>11.23</v>
      </c>
      <c r="W7">
        <v>48.68</v>
      </c>
      <c r="X7">
        <v>306.39999999999998</v>
      </c>
      <c r="Y7">
        <v>0.745</v>
      </c>
      <c r="Z7">
        <v>0.17549999999999999</v>
      </c>
      <c r="AA7">
        <v>144</v>
      </c>
      <c r="AB7">
        <v>836</v>
      </c>
      <c r="AC7">
        <v>0.83499999999999996</v>
      </c>
      <c r="AD7">
        <v>2.7759999999999998</v>
      </c>
      <c r="AE7">
        <v>354</v>
      </c>
      <c r="AF7">
        <v>406.5</v>
      </c>
      <c r="AG7">
        <v>76.55</v>
      </c>
      <c r="AH7">
        <v>120.2</v>
      </c>
      <c r="AI7">
        <v>7.14</v>
      </c>
      <c r="AJ7">
        <v>4344</v>
      </c>
      <c r="AK7">
        <v>2.5735000000000001</v>
      </c>
      <c r="AL7">
        <v>112</v>
      </c>
      <c r="AM7">
        <v>2209</v>
      </c>
      <c r="AN7">
        <v>17300</v>
      </c>
      <c r="AO7">
        <v>53.6</v>
      </c>
      <c r="AP7">
        <v>1125</v>
      </c>
      <c r="AQ7">
        <v>513</v>
      </c>
      <c r="AR7">
        <v>126.7</v>
      </c>
      <c r="AS7">
        <v>51</v>
      </c>
      <c r="AT7">
        <v>0.73799999999999999</v>
      </c>
      <c r="AU7">
        <v>49.65</v>
      </c>
      <c r="AV7">
        <v>97.31</v>
      </c>
      <c r="AW7">
        <v>0.45390000000000003</v>
      </c>
      <c r="AX7">
        <v>336</v>
      </c>
    </row>
    <row r="8" spans="1:50" x14ac:dyDescent="0.2">
      <c r="A8" s="1" t="s">
        <v>73</v>
      </c>
      <c r="B8">
        <v>2306.42</v>
      </c>
      <c r="C8">
        <v>229.02</v>
      </c>
      <c r="D8">
        <v>144.94</v>
      </c>
      <c r="E8">
        <v>4141</v>
      </c>
      <c r="F8">
        <v>11040</v>
      </c>
      <c r="G8">
        <v>758.2</v>
      </c>
      <c r="H8">
        <v>29.32</v>
      </c>
      <c r="I8">
        <v>3850</v>
      </c>
      <c r="J8">
        <v>671</v>
      </c>
      <c r="K8">
        <v>401.05</v>
      </c>
      <c r="L8">
        <v>4893</v>
      </c>
      <c r="M8">
        <v>292.3</v>
      </c>
      <c r="N8">
        <v>119.69</v>
      </c>
      <c r="O8">
        <v>4.0155000000000003</v>
      </c>
      <c r="P8">
        <v>157.74</v>
      </c>
      <c r="Q8">
        <v>87.52</v>
      </c>
      <c r="R8">
        <v>1000</v>
      </c>
      <c r="S8">
        <v>5.3400000000000003E-2</v>
      </c>
      <c r="T8">
        <v>65.2</v>
      </c>
      <c r="U8">
        <v>2517</v>
      </c>
      <c r="V8">
        <v>11.01</v>
      </c>
      <c r="W8">
        <v>47.02</v>
      </c>
      <c r="X8">
        <v>307.3</v>
      </c>
      <c r="Y8">
        <v>0.74450000000000005</v>
      </c>
      <c r="Z8">
        <v>0.17474999999999999</v>
      </c>
      <c r="AA8">
        <v>147.30000000000001</v>
      </c>
      <c r="AB8">
        <v>831.5</v>
      </c>
      <c r="AC8">
        <v>0.83009999999999995</v>
      </c>
      <c r="AD8">
        <v>2.76</v>
      </c>
      <c r="AE8">
        <v>361</v>
      </c>
      <c r="AF8">
        <v>408.1</v>
      </c>
      <c r="AG8">
        <v>78.3</v>
      </c>
      <c r="AH8">
        <v>118.35</v>
      </c>
      <c r="AI8">
        <v>7.0949999999999998</v>
      </c>
      <c r="AJ8">
        <v>4381</v>
      </c>
      <c r="AK8">
        <v>2.5990000000000002</v>
      </c>
      <c r="AL8">
        <v>111.05</v>
      </c>
      <c r="AM8">
        <v>2228</v>
      </c>
      <c r="AN8">
        <v>17300</v>
      </c>
      <c r="AO8">
        <v>53.6</v>
      </c>
      <c r="AP8">
        <v>1115</v>
      </c>
      <c r="AQ8">
        <v>512</v>
      </c>
      <c r="AR8">
        <v>125.9</v>
      </c>
      <c r="AS8">
        <v>50.7</v>
      </c>
      <c r="AT8">
        <v>0.745</v>
      </c>
      <c r="AU8">
        <v>49.6</v>
      </c>
      <c r="AV8">
        <v>96.67</v>
      </c>
      <c r="AW8">
        <v>0.44700000000000001</v>
      </c>
      <c r="AX8">
        <v>328</v>
      </c>
    </row>
    <row r="9" spans="1:50" x14ac:dyDescent="0.2">
      <c r="A9" s="1" t="s">
        <v>74</v>
      </c>
      <c r="B9">
        <v>2274.0700000000002</v>
      </c>
      <c r="C9">
        <v>228.03</v>
      </c>
      <c r="D9">
        <v>142.69999999999999</v>
      </c>
      <c r="E9">
        <v>4068</v>
      </c>
      <c r="F9">
        <v>10856</v>
      </c>
      <c r="G9">
        <v>748.4</v>
      </c>
      <c r="H9">
        <v>29.234999999999999</v>
      </c>
      <c r="I9">
        <v>3863</v>
      </c>
      <c r="J9">
        <v>650</v>
      </c>
      <c r="K9">
        <v>387.15</v>
      </c>
      <c r="L9">
        <v>4827</v>
      </c>
      <c r="M9">
        <v>290.55</v>
      </c>
      <c r="N9">
        <v>120.98</v>
      </c>
      <c r="O9">
        <v>3.82</v>
      </c>
      <c r="P9">
        <v>153.34</v>
      </c>
      <c r="Q9">
        <v>88.7</v>
      </c>
      <c r="R9">
        <v>982.1</v>
      </c>
      <c r="S9">
        <v>5.2609999999999997E-2</v>
      </c>
      <c r="T9">
        <v>65.599999999999994</v>
      </c>
      <c r="U9">
        <v>2476</v>
      </c>
      <c r="V9">
        <v>10.805</v>
      </c>
      <c r="W9">
        <v>45.505000000000003</v>
      </c>
      <c r="X9">
        <v>308.7</v>
      </c>
      <c r="Y9">
        <v>0.74199999999999999</v>
      </c>
      <c r="Z9">
        <v>0.17485000000000001</v>
      </c>
      <c r="AA9">
        <v>144.19999999999999</v>
      </c>
      <c r="AB9">
        <v>840</v>
      </c>
      <c r="AC9">
        <v>0.81010000000000004</v>
      </c>
      <c r="AD9">
        <v>2.7160000000000002</v>
      </c>
      <c r="AE9">
        <v>356.5</v>
      </c>
      <c r="AF9">
        <v>410</v>
      </c>
      <c r="AG9">
        <v>77.8</v>
      </c>
      <c r="AH9">
        <v>118.65</v>
      </c>
      <c r="AI9">
        <v>7.085</v>
      </c>
      <c r="AJ9">
        <v>4349</v>
      </c>
      <c r="AK9">
        <v>2.5449999999999999</v>
      </c>
      <c r="AL9">
        <v>110.5</v>
      </c>
      <c r="AM9">
        <v>2256</v>
      </c>
      <c r="AN9">
        <v>17220</v>
      </c>
      <c r="AO9">
        <v>53.5</v>
      </c>
      <c r="AP9">
        <v>1105</v>
      </c>
      <c r="AQ9">
        <v>510</v>
      </c>
      <c r="AR9">
        <v>124.5</v>
      </c>
      <c r="AS9">
        <v>51.05</v>
      </c>
      <c r="AT9">
        <v>0.74</v>
      </c>
      <c r="AU9">
        <v>50.55</v>
      </c>
      <c r="AV9">
        <v>96.8</v>
      </c>
      <c r="AW9">
        <v>0.442</v>
      </c>
      <c r="AX9">
        <v>327</v>
      </c>
    </row>
    <row r="10" spans="1:50" x14ac:dyDescent="0.2">
      <c r="A10" s="1" t="s">
        <v>75</v>
      </c>
      <c r="B10">
        <v>2289.4699999999998</v>
      </c>
      <c r="C10">
        <v>228.55</v>
      </c>
      <c r="D10">
        <v>143.72999999999999</v>
      </c>
      <c r="E10">
        <v>4108</v>
      </c>
      <c r="F10">
        <v>10996</v>
      </c>
      <c r="G10">
        <v>765.7</v>
      </c>
      <c r="H10">
        <v>29.405000000000001</v>
      </c>
      <c r="I10">
        <v>3955</v>
      </c>
      <c r="J10">
        <v>659.35</v>
      </c>
      <c r="K10">
        <v>386.75</v>
      </c>
      <c r="L10">
        <v>4892</v>
      </c>
      <c r="M10">
        <v>290</v>
      </c>
      <c r="N10">
        <v>120.53</v>
      </c>
      <c r="O10">
        <v>3.8319999999999999</v>
      </c>
      <c r="P10">
        <v>153.80000000000001</v>
      </c>
      <c r="Q10">
        <v>88.1</v>
      </c>
      <c r="R10">
        <v>975.5</v>
      </c>
      <c r="S10">
        <v>5.2749999999999998E-2</v>
      </c>
      <c r="T10">
        <v>65.7</v>
      </c>
      <c r="U10">
        <v>2490</v>
      </c>
      <c r="V10">
        <v>10.845000000000001</v>
      </c>
      <c r="W10">
        <v>45.33</v>
      </c>
      <c r="X10">
        <v>316.60000000000002</v>
      </c>
      <c r="Y10">
        <v>0.74400000000000011</v>
      </c>
      <c r="Z10">
        <v>0.1759</v>
      </c>
      <c r="AA10">
        <v>141.65</v>
      </c>
      <c r="AB10">
        <v>838</v>
      </c>
      <c r="AC10">
        <v>0.8216</v>
      </c>
      <c r="AD10">
        <v>2.74</v>
      </c>
      <c r="AE10">
        <v>361</v>
      </c>
      <c r="AF10">
        <v>410</v>
      </c>
      <c r="AG10">
        <v>78.3</v>
      </c>
      <c r="AH10">
        <v>118.6</v>
      </c>
      <c r="AI10">
        <v>7.14</v>
      </c>
      <c r="AJ10">
        <v>4370</v>
      </c>
      <c r="AK10">
        <v>2.5550000000000002</v>
      </c>
      <c r="AL10">
        <v>110.65</v>
      </c>
      <c r="AM10">
        <v>2267</v>
      </c>
      <c r="AN10">
        <v>17120</v>
      </c>
      <c r="AO10">
        <v>53.5</v>
      </c>
      <c r="AP10">
        <v>1095</v>
      </c>
      <c r="AQ10">
        <v>512</v>
      </c>
      <c r="AR10">
        <v>125.1</v>
      </c>
      <c r="AS10">
        <v>50.9</v>
      </c>
      <c r="AT10">
        <v>0.74199999999999999</v>
      </c>
      <c r="AU10">
        <v>53</v>
      </c>
      <c r="AV10">
        <v>96.5</v>
      </c>
      <c r="AW10">
        <v>0.44350000000000001</v>
      </c>
      <c r="AX10">
        <v>328</v>
      </c>
    </row>
    <row r="11" spans="1:50" x14ac:dyDescent="0.2">
      <c r="A11" s="1" t="s">
        <v>76</v>
      </c>
      <c r="B11">
        <v>2297.12</v>
      </c>
      <c r="C11">
        <v>229.86</v>
      </c>
      <c r="D11">
        <v>144.05000000000001</v>
      </c>
      <c r="E11">
        <v>4121</v>
      </c>
      <c r="F11">
        <v>11150</v>
      </c>
      <c r="G11">
        <v>754</v>
      </c>
      <c r="H11">
        <v>29.305</v>
      </c>
      <c r="I11">
        <v>3976</v>
      </c>
      <c r="J11">
        <v>654.15</v>
      </c>
      <c r="K11">
        <v>388.25</v>
      </c>
      <c r="L11">
        <v>4870</v>
      </c>
      <c r="M11">
        <v>291.45</v>
      </c>
      <c r="N11">
        <v>119.99</v>
      </c>
      <c r="O11">
        <v>3.915</v>
      </c>
      <c r="P11">
        <v>157.4</v>
      </c>
      <c r="Q11">
        <v>89.96</v>
      </c>
      <c r="R11">
        <v>978.3</v>
      </c>
      <c r="S11">
        <v>5.2769999999999997E-2</v>
      </c>
      <c r="T11">
        <v>65.900000000000006</v>
      </c>
      <c r="U11">
        <v>2475</v>
      </c>
      <c r="V11">
        <v>10.92</v>
      </c>
      <c r="W11">
        <v>46.56</v>
      </c>
      <c r="X11">
        <v>322.5</v>
      </c>
      <c r="Y11">
        <v>0.74790000000000001</v>
      </c>
      <c r="Z11">
        <v>0.17665</v>
      </c>
      <c r="AA11">
        <v>141.9</v>
      </c>
      <c r="AB11">
        <v>842</v>
      </c>
      <c r="AC11">
        <v>0.82050000000000001</v>
      </c>
      <c r="AD11">
        <v>2.76</v>
      </c>
      <c r="AE11">
        <v>362.5</v>
      </c>
      <c r="AF11">
        <v>414.9</v>
      </c>
      <c r="AG11">
        <v>78.3</v>
      </c>
      <c r="AH11">
        <v>118.8</v>
      </c>
      <c r="AI11">
        <v>7.1849999999999996</v>
      </c>
      <c r="AJ11">
        <v>4370</v>
      </c>
      <c r="AK11">
        <v>2.5585</v>
      </c>
      <c r="AL11">
        <v>110.1</v>
      </c>
      <c r="AM11">
        <v>2277</v>
      </c>
      <c r="AN11">
        <v>17130</v>
      </c>
      <c r="AO11">
        <v>53.2</v>
      </c>
      <c r="AP11">
        <v>1085</v>
      </c>
      <c r="AQ11">
        <v>509</v>
      </c>
      <c r="AR11">
        <v>125.1</v>
      </c>
      <c r="AS11">
        <v>51.15</v>
      </c>
      <c r="AT11">
        <v>0.754</v>
      </c>
      <c r="AU11">
        <v>53.35</v>
      </c>
      <c r="AV11">
        <v>97.7</v>
      </c>
      <c r="AW11">
        <v>0.44740000000000002</v>
      </c>
      <c r="AX11">
        <v>338</v>
      </c>
    </row>
    <row r="12" spans="1:50" x14ac:dyDescent="0.2">
      <c r="A12" s="1" t="s">
        <v>77</v>
      </c>
      <c r="B12">
        <v>2301.9899999999998</v>
      </c>
      <c r="C12">
        <v>226.7</v>
      </c>
      <c r="D12">
        <v>145.47999999999999</v>
      </c>
      <c r="E12">
        <v>4180</v>
      </c>
      <c r="F12">
        <v>11094</v>
      </c>
      <c r="G12">
        <v>754</v>
      </c>
      <c r="H12">
        <v>29.58</v>
      </c>
      <c r="I12">
        <v>3940</v>
      </c>
      <c r="J12">
        <v>666.95</v>
      </c>
      <c r="K12">
        <v>393.05</v>
      </c>
      <c r="L12">
        <v>4840</v>
      </c>
      <c r="M12">
        <v>290</v>
      </c>
      <c r="N12">
        <v>118.52</v>
      </c>
      <c r="O12">
        <v>3.9239999999999999</v>
      </c>
      <c r="P12">
        <v>157.88</v>
      </c>
      <c r="Q12">
        <v>89.61</v>
      </c>
      <c r="R12">
        <v>991</v>
      </c>
      <c r="S12">
        <v>5.2699999999999997E-2</v>
      </c>
      <c r="T12">
        <v>65.02</v>
      </c>
      <c r="U12">
        <v>2487</v>
      </c>
      <c r="V12">
        <v>10.95</v>
      </c>
      <c r="W12">
        <v>46.07</v>
      </c>
      <c r="X12">
        <v>321.10000000000002</v>
      </c>
      <c r="Y12">
        <v>0.75</v>
      </c>
      <c r="Z12">
        <v>0.17549999999999999</v>
      </c>
      <c r="AA12">
        <v>140.4</v>
      </c>
      <c r="AB12">
        <v>840.5</v>
      </c>
      <c r="AC12">
        <v>0.82020000000000004</v>
      </c>
      <c r="AD12">
        <v>2.7469999999999999</v>
      </c>
      <c r="AE12">
        <v>365</v>
      </c>
      <c r="AF12">
        <v>416</v>
      </c>
      <c r="AG12">
        <v>78.55</v>
      </c>
      <c r="AH12">
        <v>116.85</v>
      </c>
      <c r="AI12">
        <v>7.11</v>
      </c>
      <c r="AJ12">
        <v>4372</v>
      </c>
      <c r="AK12">
        <v>2.5785</v>
      </c>
      <c r="AL12">
        <v>108.55</v>
      </c>
      <c r="AM12">
        <v>2272</v>
      </c>
      <c r="AN12">
        <v>17100</v>
      </c>
      <c r="AO12">
        <v>53.4</v>
      </c>
      <c r="AP12">
        <v>1080</v>
      </c>
      <c r="AQ12">
        <v>505</v>
      </c>
      <c r="AR12">
        <v>125.7</v>
      </c>
      <c r="AS12">
        <v>51.15</v>
      </c>
      <c r="AT12">
        <v>0.748</v>
      </c>
      <c r="AU12">
        <v>53</v>
      </c>
      <c r="AV12">
        <v>98.4</v>
      </c>
      <c r="AW12">
        <v>0.44540000000000002</v>
      </c>
      <c r="AX12">
        <v>334</v>
      </c>
    </row>
    <row r="13" spans="1:50" x14ac:dyDescent="0.2">
      <c r="A13" s="1" t="s">
        <v>78</v>
      </c>
      <c r="B13">
        <v>2301.9899999999998</v>
      </c>
      <c r="C13">
        <v>226.7</v>
      </c>
      <c r="D13">
        <v>145.47999999999999</v>
      </c>
      <c r="E13">
        <v>4180</v>
      </c>
      <c r="F13">
        <v>11094</v>
      </c>
      <c r="G13">
        <v>754</v>
      </c>
      <c r="H13">
        <v>29.58</v>
      </c>
      <c r="I13">
        <v>3940</v>
      </c>
      <c r="J13">
        <v>666.95</v>
      </c>
      <c r="K13">
        <v>393.05</v>
      </c>
      <c r="L13">
        <v>4840</v>
      </c>
      <c r="M13">
        <v>290</v>
      </c>
      <c r="N13">
        <v>118.52</v>
      </c>
      <c r="O13">
        <v>3.9239999999999999</v>
      </c>
      <c r="P13">
        <v>157.88</v>
      </c>
      <c r="Q13">
        <v>89.61</v>
      </c>
      <c r="R13">
        <v>991</v>
      </c>
      <c r="S13">
        <v>5.2699999999999997E-2</v>
      </c>
      <c r="T13">
        <v>65.02</v>
      </c>
      <c r="U13">
        <v>2487</v>
      </c>
      <c r="V13">
        <v>10.95</v>
      </c>
      <c r="W13">
        <v>46.07</v>
      </c>
      <c r="X13">
        <v>321.10000000000002</v>
      </c>
      <c r="Y13">
        <v>0.75</v>
      </c>
      <c r="Z13">
        <v>0.17549999999999999</v>
      </c>
      <c r="AA13">
        <v>140.4</v>
      </c>
      <c r="AB13">
        <v>840.5</v>
      </c>
      <c r="AC13">
        <v>0.82020000000000004</v>
      </c>
      <c r="AD13">
        <v>2.7469999999999999</v>
      </c>
      <c r="AE13">
        <v>365</v>
      </c>
      <c r="AF13">
        <v>416</v>
      </c>
      <c r="AG13">
        <v>78.55</v>
      </c>
      <c r="AH13">
        <v>116.85</v>
      </c>
      <c r="AI13">
        <v>7.11</v>
      </c>
      <c r="AJ13">
        <v>4372</v>
      </c>
      <c r="AK13">
        <v>2.5785</v>
      </c>
      <c r="AL13">
        <v>108.55</v>
      </c>
      <c r="AM13">
        <v>2272</v>
      </c>
      <c r="AN13">
        <v>17100</v>
      </c>
      <c r="AO13">
        <v>53.4</v>
      </c>
      <c r="AP13">
        <v>1080</v>
      </c>
      <c r="AQ13">
        <v>505</v>
      </c>
      <c r="AR13">
        <v>125.7</v>
      </c>
      <c r="AS13">
        <v>51.15</v>
      </c>
      <c r="AT13">
        <v>0.748</v>
      </c>
      <c r="AU13">
        <v>53</v>
      </c>
      <c r="AV13">
        <v>98.4</v>
      </c>
      <c r="AW13">
        <v>0.44540000000000002</v>
      </c>
      <c r="AX13">
        <v>334</v>
      </c>
    </row>
    <row r="14" spans="1:50" x14ac:dyDescent="0.2">
      <c r="A14" s="1" t="s">
        <v>79</v>
      </c>
      <c r="B14">
        <v>2312.92</v>
      </c>
      <c r="C14">
        <v>233.7</v>
      </c>
      <c r="D14">
        <v>146.38</v>
      </c>
      <c r="E14">
        <v>4235</v>
      </c>
      <c r="F14">
        <v>10730</v>
      </c>
      <c r="G14">
        <v>765</v>
      </c>
      <c r="H14">
        <v>29.39</v>
      </c>
      <c r="I14">
        <v>3920</v>
      </c>
      <c r="J14">
        <v>671.8</v>
      </c>
      <c r="K14">
        <v>395.7</v>
      </c>
      <c r="L14">
        <v>4860</v>
      </c>
      <c r="M14">
        <v>289.85000000000002</v>
      </c>
      <c r="N14">
        <v>120</v>
      </c>
      <c r="O14">
        <v>3.9420000000000002</v>
      </c>
      <c r="P14">
        <v>154.69999999999999</v>
      </c>
      <c r="Q14">
        <v>87.8</v>
      </c>
      <c r="R14">
        <v>973.7</v>
      </c>
      <c r="S14">
        <v>5.2249999999999998E-2</v>
      </c>
      <c r="T14">
        <v>65.22</v>
      </c>
      <c r="U14">
        <v>2446</v>
      </c>
      <c r="V14">
        <v>11</v>
      </c>
      <c r="W14">
        <v>45.69</v>
      </c>
      <c r="X14">
        <v>324.10000000000002</v>
      </c>
      <c r="Y14">
        <v>0.753</v>
      </c>
      <c r="Z14">
        <v>0.17699999999999999</v>
      </c>
      <c r="AA14">
        <v>139.80000000000001</v>
      </c>
      <c r="AB14">
        <v>830</v>
      </c>
      <c r="AC14">
        <v>0.82579999999999998</v>
      </c>
      <c r="AD14">
        <v>2.7509999999999999</v>
      </c>
      <c r="AE14">
        <v>356</v>
      </c>
      <c r="AF14">
        <v>410</v>
      </c>
      <c r="AG14">
        <v>77</v>
      </c>
      <c r="AH14">
        <v>115.2</v>
      </c>
      <c r="AI14">
        <v>7.0650000000000004</v>
      </c>
      <c r="AJ14">
        <v>4300</v>
      </c>
      <c r="AK14">
        <v>2.552</v>
      </c>
      <c r="AL14">
        <v>106.6</v>
      </c>
      <c r="AM14">
        <v>2350</v>
      </c>
      <c r="AN14">
        <v>17100</v>
      </c>
      <c r="AO14">
        <v>53.2</v>
      </c>
      <c r="AP14">
        <v>1085</v>
      </c>
      <c r="AQ14">
        <v>502</v>
      </c>
      <c r="AR14">
        <v>124.4</v>
      </c>
      <c r="AS14">
        <v>51.3</v>
      </c>
      <c r="AT14">
        <v>0.74199999999999999</v>
      </c>
      <c r="AU14">
        <v>52.75</v>
      </c>
      <c r="AV14">
        <v>95.59</v>
      </c>
      <c r="AW14">
        <v>0.44379999999999997</v>
      </c>
      <c r="AX14">
        <v>335</v>
      </c>
    </row>
    <row r="15" spans="1:50" x14ac:dyDescent="0.2">
      <c r="A15" s="1" t="s">
        <v>80</v>
      </c>
      <c r="B15">
        <v>2345.2600000000002</v>
      </c>
      <c r="C15">
        <v>235.72</v>
      </c>
      <c r="D15">
        <v>150.69999999999999</v>
      </c>
      <c r="E15">
        <v>4383</v>
      </c>
      <c r="F15">
        <v>10729</v>
      </c>
      <c r="G15">
        <v>769.5</v>
      </c>
      <c r="H15">
        <v>29.684999999999999</v>
      </c>
      <c r="I15">
        <v>3868</v>
      </c>
      <c r="J15">
        <v>677.55</v>
      </c>
      <c r="K15">
        <v>401.45</v>
      </c>
      <c r="L15">
        <v>4901</v>
      </c>
      <c r="M15">
        <v>289.14999999999998</v>
      </c>
      <c r="N15">
        <v>123.06</v>
      </c>
      <c r="O15">
        <v>3.9845000000000002</v>
      </c>
      <c r="P15">
        <v>157.88</v>
      </c>
      <c r="Q15">
        <v>87.93</v>
      </c>
      <c r="R15">
        <v>986.2</v>
      </c>
      <c r="S15">
        <v>5.2380000000000003E-2</v>
      </c>
      <c r="T15">
        <v>65</v>
      </c>
      <c r="U15">
        <v>2430</v>
      </c>
      <c r="V15">
        <v>10.96</v>
      </c>
      <c r="W15">
        <v>45.55</v>
      </c>
      <c r="X15">
        <v>323.10000000000002</v>
      </c>
      <c r="Y15">
        <v>0.745</v>
      </c>
      <c r="Z15">
        <v>0.17645</v>
      </c>
      <c r="AA15">
        <v>137.5</v>
      </c>
      <c r="AB15">
        <v>834</v>
      </c>
      <c r="AC15">
        <v>0.83320000000000005</v>
      </c>
      <c r="AD15">
        <v>2.75</v>
      </c>
      <c r="AE15">
        <v>353.5</v>
      </c>
      <c r="AF15">
        <v>410</v>
      </c>
      <c r="AG15">
        <v>77.8</v>
      </c>
      <c r="AH15">
        <v>116</v>
      </c>
      <c r="AI15">
        <v>7.15</v>
      </c>
      <c r="AJ15">
        <v>4300</v>
      </c>
      <c r="AK15">
        <v>2.5695000000000001</v>
      </c>
      <c r="AL15">
        <v>106.05</v>
      </c>
      <c r="AM15">
        <v>2327</v>
      </c>
      <c r="AN15">
        <v>17180</v>
      </c>
      <c r="AO15">
        <v>53.2</v>
      </c>
      <c r="AP15">
        <v>1095</v>
      </c>
      <c r="AQ15">
        <v>501</v>
      </c>
      <c r="AR15">
        <v>124.2</v>
      </c>
      <c r="AS15">
        <v>51.1</v>
      </c>
      <c r="AT15">
        <v>0.746</v>
      </c>
      <c r="AU15">
        <v>54.1</v>
      </c>
      <c r="AV15">
        <v>98.78</v>
      </c>
      <c r="AW15">
        <v>0.44159999999999999</v>
      </c>
      <c r="AX15">
        <v>334</v>
      </c>
    </row>
    <row r="16" spans="1:50" x14ac:dyDescent="0.2">
      <c r="A16" s="1" t="s">
        <v>81</v>
      </c>
      <c r="B16">
        <v>2357.62</v>
      </c>
      <c r="C16">
        <v>237.8</v>
      </c>
      <c r="D16">
        <v>150.97999999999999</v>
      </c>
      <c r="E16">
        <v>4407.5</v>
      </c>
      <c r="F16">
        <v>10778</v>
      </c>
      <c r="G16">
        <v>774.3</v>
      </c>
      <c r="H16">
        <v>30</v>
      </c>
      <c r="I16">
        <v>3885</v>
      </c>
      <c r="J16">
        <v>685.25</v>
      </c>
      <c r="K16">
        <v>403.55</v>
      </c>
      <c r="L16">
        <v>4985</v>
      </c>
      <c r="M16">
        <v>290</v>
      </c>
      <c r="N16">
        <v>119.15</v>
      </c>
      <c r="O16">
        <v>3.97</v>
      </c>
      <c r="P16">
        <v>163.27000000000001</v>
      </c>
      <c r="Q16">
        <v>87.47</v>
      </c>
      <c r="R16">
        <v>998.2</v>
      </c>
      <c r="S16">
        <v>5.2499999999999998E-2</v>
      </c>
      <c r="T16">
        <v>64.84</v>
      </c>
      <c r="U16">
        <v>2451</v>
      </c>
      <c r="V16">
        <v>11.085000000000001</v>
      </c>
      <c r="W16">
        <v>46</v>
      </c>
      <c r="X16">
        <v>324.89999999999998</v>
      </c>
      <c r="Y16">
        <v>0.75049999999999994</v>
      </c>
      <c r="Z16">
        <v>0.17560000000000001</v>
      </c>
      <c r="AA16">
        <v>136.15</v>
      </c>
      <c r="AB16">
        <v>828</v>
      </c>
      <c r="AC16">
        <v>0.83850000000000002</v>
      </c>
      <c r="AD16">
        <v>2.71</v>
      </c>
      <c r="AE16">
        <v>353</v>
      </c>
      <c r="AF16">
        <v>411.9</v>
      </c>
      <c r="AG16">
        <v>77.95</v>
      </c>
      <c r="AH16">
        <v>115.5</v>
      </c>
      <c r="AI16">
        <v>7.1349999999999998</v>
      </c>
      <c r="AJ16">
        <v>4330</v>
      </c>
      <c r="AK16">
        <v>2.593</v>
      </c>
      <c r="AL16">
        <v>106.9</v>
      </c>
      <c r="AM16">
        <v>2348</v>
      </c>
      <c r="AN16">
        <v>17200</v>
      </c>
      <c r="AO16">
        <v>53.1</v>
      </c>
      <c r="AP16">
        <v>1100</v>
      </c>
      <c r="AQ16">
        <v>500</v>
      </c>
      <c r="AR16">
        <v>125.2</v>
      </c>
      <c r="AS16">
        <v>53.45</v>
      </c>
      <c r="AT16">
        <v>0.74099999999999999</v>
      </c>
      <c r="AU16">
        <v>53.9</v>
      </c>
      <c r="AV16">
        <v>98.13</v>
      </c>
      <c r="AW16">
        <v>0.44259999999999999</v>
      </c>
      <c r="AX16">
        <v>336</v>
      </c>
    </row>
    <row r="17" spans="1:50" x14ac:dyDescent="0.2">
      <c r="A17" s="1" t="s">
        <v>82</v>
      </c>
      <c r="B17">
        <v>2337.0300000000002</v>
      </c>
      <c r="C17">
        <v>231.39</v>
      </c>
      <c r="D17">
        <v>149.19999999999999</v>
      </c>
      <c r="E17">
        <v>4392</v>
      </c>
      <c r="F17">
        <v>10915</v>
      </c>
      <c r="G17">
        <v>772.2</v>
      </c>
      <c r="H17">
        <v>29.76</v>
      </c>
      <c r="I17">
        <v>3737</v>
      </c>
      <c r="J17">
        <v>679.55</v>
      </c>
      <c r="K17">
        <v>394.85</v>
      </c>
      <c r="L17">
        <v>5045</v>
      </c>
      <c r="M17">
        <v>289</v>
      </c>
      <c r="N17">
        <v>115.4</v>
      </c>
      <c r="O17">
        <v>3.8855</v>
      </c>
      <c r="P17">
        <v>158.81</v>
      </c>
      <c r="Q17">
        <v>88.75</v>
      </c>
      <c r="R17">
        <v>986</v>
      </c>
      <c r="S17">
        <v>5.1499999999999997E-2</v>
      </c>
      <c r="T17">
        <v>65.59</v>
      </c>
      <c r="U17">
        <v>2427</v>
      </c>
      <c r="V17">
        <v>10.9</v>
      </c>
      <c r="W17">
        <v>44.8</v>
      </c>
      <c r="X17">
        <v>326</v>
      </c>
      <c r="Y17">
        <v>0.74199999999999999</v>
      </c>
      <c r="Z17">
        <v>0.1744</v>
      </c>
      <c r="AA17">
        <v>138</v>
      </c>
      <c r="AB17">
        <v>829</v>
      </c>
      <c r="AC17">
        <v>0.83099999999999996</v>
      </c>
      <c r="AD17">
        <v>2.73</v>
      </c>
      <c r="AE17">
        <v>348</v>
      </c>
      <c r="AF17">
        <v>410.1</v>
      </c>
      <c r="AG17">
        <v>77.75</v>
      </c>
      <c r="AH17">
        <v>113.35</v>
      </c>
      <c r="AI17">
        <v>7.1</v>
      </c>
      <c r="AJ17">
        <v>4332</v>
      </c>
      <c r="AK17">
        <v>2.593</v>
      </c>
      <c r="AL17">
        <v>106.75</v>
      </c>
      <c r="AM17">
        <v>2332</v>
      </c>
      <c r="AN17">
        <v>17200</v>
      </c>
      <c r="AO17">
        <v>53</v>
      </c>
      <c r="AP17">
        <v>1100</v>
      </c>
      <c r="AQ17">
        <v>498</v>
      </c>
      <c r="AR17">
        <v>121.1</v>
      </c>
      <c r="AS17">
        <v>53.9</v>
      </c>
      <c r="AT17">
        <v>0.73699999999999999</v>
      </c>
      <c r="AU17">
        <v>53.45</v>
      </c>
      <c r="AV17">
        <v>98.69</v>
      </c>
      <c r="AW17">
        <v>0.43869999999999998</v>
      </c>
      <c r="AX17">
        <v>331</v>
      </c>
    </row>
    <row r="18" spans="1:50" x14ac:dyDescent="0.2">
      <c r="A18" s="1" t="s">
        <v>83</v>
      </c>
      <c r="B18">
        <v>2338.39</v>
      </c>
      <c r="C18">
        <v>229.8</v>
      </c>
      <c r="D18">
        <v>148.59</v>
      </c>
      <c r="E18">
        <v>4410</v>
      </c>
      <c r="F18">
        <v>10800</v>
      </c>
      <c r="G18">
        <v>768.3</v>
      </c>
      <c r="H18">
        <v>29.81</v>
      </c>
      <c r="I18">
        <v>3710</v>
      </c>
      <c r="J18">
        <v>676</v>
      </c>
      <c r="K18">
        <v>389.8</v>
      </c>
      <c r="L18">
        <v>5170</v>
      </c>
      <c r="M18">
        <v>289.05</v>
      </c>
      <c r="N18">
        <v>117.73</v>
      </c>
      <c r="O18">
        <v>3.98</v>
      </c>
      <c r="P18">
        <v>161.41</v>
      </c>
      <c r="Q18">
        <v>91.5</v>
      </c>
      <c r="R18">
        <v>995</v>
      </c>
      <c r="S18">
        <v>5.1319999999999998E-2</v>
      </c>
      <c r="T18">
        <v>65.66</v>
      </c>
      <c r="U18">
        <v>2420</v>
      </c>
      <c r="V18">
        <v>10.82</v>
      </c>
      <c r="W18">
        <v>44.195</v>
      </c>
      <c r="X18">
        <v>328.2</v>
      </c>
      <c r="Y18">
        <v>0.74329999999999996</v>
      </c>
      <c r="Z18">
        <v>0.17899999999999999</v>
      </c>
      <c r="AA18">
        <v>137.94999999999999</v>
      </c>
      <c r="AB18">
        <v>826.5</v>
      </c>
      <c r="AC18">
        <v>0.82450000000000001</v>
      </c>
      <c r="AD18">
        <v>2.7250000000000001</v>
      </c>
      <c r="AE18">
        <v>352</v>
      </c>
      <c r="AF18">
        <v>412</v>
      </c>
      <c r="AG18">
        <v>78.2</v>
      </c>
      <c r="AH18">
        <v>113.45</v>
      </c>
      <c r="AI18">
        <v>7.11</v>
      </c>
      <c r="AJ18">
        <v>4332</v>
      </c>
      <c r="AK18">
        <v>2.6244999999999998</v>
      </c>
      <c r="AL18">
        <v>106.35</v>
      </c>
      <c r="AM18">
        <v>2330</v>
      </c>
      <c r="AN18">
        <v>17180</v>
      </c>
      <c r="AO18">
        <v>53.8</v>
      </c>
      <c r="AP18">
        <v>1085</v>
      </c>
      <c r="AQ18">
        <v>500</v>
      </c>
      <c r="AR18">
        <v>120</v>
      </c>
      <c r="AS18">
        <v>53.75</v>
      </c>
      <c r="AT18">
        <v>0.73599999999999999</v>
      </c>
      <c r="AU18">
        <v>53.95</v>
      </c>
      <c r="AV18">
        <v>99.9</v>
      </c>
      <c r="AW18">
        <v>0.43590000000000001</v>
      </c>
      <c r="AX18">
        <v>320</v>
      </c>
    </row>
    <row r="19" spans="1:50" x14ac:dyDescent="0.2">
      <c r="A19" s="1" t="s">
        <v>84</v>
      </c>
      <c r="B19">
        <v>2323.5100000000002</v>
      </c>
      <c r="C19">
        <v>226.05</v>
      </c>
      <c r="D19">
        <v>147.15</v>
      </c>
      <c r="E19">
        <v>4354</v>
      </c>
      <c r="F19">
        <v>10790</v>
      </c>
      <c r="G19">
        <v>770.6</v>
      </c>
      <c r="H19">
        <v>29.704999999999998</v>
      </c>
      <c r="I19">
        <v>3688</v>
      </c>
      <c r="J19">
        <v>672.1</v>
      </c>
      <c r="K19">
        <v>381.85</v>
      </c>
      <c r="L19">
        <v>5164</v>
      </c>
      <c r="M19">
        <v>293.45</v>
      </c>
      <c r="N19">
        <v>116</v>
      </c>
      <c r="O19">
        <v>4</v>
      </c>
      <c r="P19">
        <v>159.32</v>
      </c>
      <c r="Q19">
        <v>93.25</v>
      </c>
      <c r="R19">
        <v>987.2</v>
      </c>
      <c r="S19">
        <v>5.1220000000000002E-2</v>
      </c>
      <c r="T19">
        <v>65.36</v>
      </c>
      <c r="U19">
        <v>2423</v>
      </c>
      <c r="V19">
        <v>10.695</v>
      </c>
      <c r="W19">
        <v>44.6</v>
      </c>
      <c r="X19">
        <v>326</v>
      </c>
      <c r="Y19">
        <v>0.73699999999999999</v>
      </c>
      <c r="Z19">
        <v>0.183</v>
      </c>
      <c r="AA19">
        <v>137.94999999999999</v>
      </c>
      <c r="AB19">
        <v>825.5</v>
      </c>
      <c r="AC19">
        <v>0.82650000000000001</v>
      </c>
      <c r="AD19">
        <v>2.75</v>
      </c>
      <c r="AE19">
        <v>353</v>
      </c>
      <c r="AF19">
        <v>408.1</v>
      </c>
      <c r="AG19">
        <v>78</v>
      </c>
      <c r="AH19">
        <v>114.6</v>
      </c>
      <c r="AI19">
        <v>7.05</v>
      </c>
      <c r="AJ19">
        <v>4315</v>
      </c>
      <c r="AK19">
        <v>2.6395</v>
      </c>
      <c r="AL19">
        <v>106</v>
      </c>
      <c r="AM19">
        <v>2335</v>
      </c>
      <c r="AN19">
        <v>17210</v>
      </c>
      <c r="AO19">
        <v>52.2</v>
      </c>
      <c r="AP19">
        <v>1120</v>
      </c>
      <c r="AQ19">
        <v>499</v>
      </c>
      <c r="AR19">
        <v>120.9</v>
      </c>
      <c r="AS19">
        <v>54.5</v>
      </c>
      <c r="AT19">
        <v>0.73599999999999999</v>
      </c>
      <c r="AU19">
        <v>52.6</v>
      </c>
      <c r="AV19">
        <v>99.97</v>
      </c>
      <c r="AW19">
        <v>0.43509999999999999</v>
      </c>
      <c r="AX19">
        <v>327</v>
      </c>
    </row>
    <row r="20" spans="1:50" x14ac:dyDescent="0.2">
      <c r="A20" s="1" t="s">
        <v>85</v>
      </c>
      <c r="B20">
        <v>2326.94</v>
      </c>
      <c r="C20">
        <v>222.2</v>
      </c>
      <c r="D20">
        <v>145.65</v>
      </c>
      <c r="E20">
        <v>4450</v>
      </c>
      <c r="F20">
        <v>10732</v>
      </c>
      <c r="G20">
        <v>772.8</v>
      </c>
      <c r="H20">
        <v>29.7</v>
      </c>
      <c r="I20">
        <v>3730</v>
      </c>
      <c r="J20">
        <v>681.5</v>
      </c>
      <c r="K20">
        <v>387</v>
      </c>
      <c r="L20">
        <v>5108</v>
      </c>
      <c r="M20">
        <v>293.39999999999998</v>
      </c>
      <c r="N20">
        <v>117.16</v>
      </c>
      <c r="O20">
        <v>4.1449999999999996</v>
      </c>
      <c r="P20">
        <v>162.5</v>
      </c>
      <c r="Q20">
        <v>92.26</v>
      </c>
      <c r="R20">
        <v>994.3</v>
      </c>
      <c r="S20">
        <v>5.1200000000000002E-2</v>
      </c>
      <c r="T20">
        <v>65.2</v>
      </c>
      <c r="U20">
        <v>2410</v>
      </c>
      <c r="V20">
        <v>10.715</v>
      </c>
      <c r="W20">
        <v>44.77</v>
      </c>
      <c r="X20">
        <v>320</v>
      </c>
      <c r="Y20">
        <v>0.74339999999999995</v>
      </c>
      <c r="Z20">
        <v>0.18504999999999999</v>
      </c>
      <c r="AA20">
        <v>136.75</v>
      </c>
      <c r="AB20">
        <v>824</v>
      </c>
      <c r="AC20">
        <v>0.82820000000000005</v>
      </c>
      <c r="AD20">
        <v>2.7509999999999999</v>
      </c>
      <c r="AE20">
        <v>354.5</v>
      </c>
      <c r="AF20">
        <v>407.9</v>
      </c>
      <c r="AG20">
        <v>77.75</v>
      </c>
      <c r="AH20">
        <v>114.35</v>
      </c>
      <c r="AI20">
        <v>7.0750000000000002</v>
      </c>
      <c r="AJ20">
        <v>4300</v>
      </c>
      <c r="AK20">
        <v>2.6589999999999998</v>
      </c>
      <c r="AL20">
        <v>104.1</v>
      </c>
      <c r="AM20">
        <v>2387</v>
      </c>
      <c r="AN20">
        <v>17220</v>
      </c>
      <c r="AO20">
        <v>52.1</v>
      </c>
      <c r="AP20">
        <v>1100</v>
      </c>
      <c r="AQ20">
        <v>492</v>
      </c>
      <c r="AR20">
        <v>120</v>
      </c>
      <c r="AS20">
        <v>53.7</v>
      </c>
      <c r="AT20">
        <v>0.73499999999999999</v>
      </c>
      <c r="AU20">
        <v>53.05</v>
      </c>
      <c r="AV20">
        <v>100.08</v>
      </c>
      <c r="AW20">
        <v>0.43430000000000002</v>
      </c>
      <c r="AX20">
        <v>323</v>
      </c>
    </row>
    <row r="21" spans="1:50" x14ac:dyDescent="0.2">
      <c r="A21" s="1" t="s">
        <v>86</v>
      </c>
      <c r="B21">
        <v>2332.63</v>
      </c>
      <c r="C21">
        <v>226.21</v>
      </c>
      <c r="D21">
        <v>146.76</v>
      </c>
      <c r="E21">
        <v>4398.5</v>
      </c>
      <c r="F21">
        <v>10922</v>
      </c>
      <c r="G21">
        <v>775.1</v>
      </c>
      <c r="H21">
        <v>29.535</v>
      </c>
      <c r="I21">
        <v>3739</v>
      </c>
      <c r="J21">
        <v>685</v>
      </c>
      <c r="K21">
        <v>386.9</v>
      </c>
      <c r="L21">
        <v>5185</v>
      </c>
      <c r="M21">
        <v>294.25</v>
      </c>
      <c r="N21">
        <v>115.95</v>
      </c>
      <c r="O21">
        <v>3.9935</v>
      </c>
      <c r="P21">
        <v>161.56</v>
      </c>
      <c r="Q21">
        <v>91.51</v>
      </c>
      <c r="R21">
        <v>986.9</v>
      </c>
      <c r="S21">
        <v>5.1560000000000002E-2</v>
      </c>
      <c r="T21">
        <v>65.19</v>
      </c>
      <c r="U21">
        <v>2406</v>
      </c>
      <c r="V21">
        <v>10.505000000000001</v>
      </c>
      <c r="W21">
        <v>45.755000000000003</v>
      </c>
      <c r="X21">
        <v>319.5</v>
      </c>
      <c r="Y21">
        <v>0.73570000000000002</v>
      </c>
      <c r="Z21">
        <v>0.18054999999999999</v>
      </c>
      <c r="AA21">
        <v>136.19999999999999</v>
      </c>
      <c r="AB21">
        <v>824</v>
      </c>
      <c r="AC21">
        <v>0.82430000000000003</v>
      </c>
      <c r="AD21">
        <v>2.782</v>
      </c>
      <c r="AE21">
        <v>364.5</v>
      </c>
      <c r="AF21">
        <v>403.9</v>
      </c>
      <c r="AG21">
        <v>83</v>
      </c>
      <c r="AH21">
        <v>113.6</v>
      </c>
      <c r="AI21">
        <v>7.01</v>
      </c>
      <c r="AJ21">
        <v>4300</v>
      </c>
      <c r="AK21">
        <v>2.6364999999999998</v>
      </c>
      <c r="AL21">
        <v>106.8</v>
      </c>
      <c r="AM21">
        <v>2365</v>
      </c>
      <c r="AN21">
        <v>17230</v>
      </c>
      <c r="AO21">
        <v>51.9</v>
      </c>
      <c r="AP21">
        <v>1085</v>
      </c>
      <c r="AQ21">
        <v>496</v>
      </c>
      <c r="AR21">
        <v>120.3</v>
      </c>
      <c r="AS21">
        <v>54</v>
      </c>
      <c r="AT21">
        <v>0.73199999999999998</v>
      </c>
      <c r="AU21">
        <v>53.3</v>
      </c>
      <c r="AV21">
        <v>98.5</v>
      </c>
      <c r="AW21">
        <v>0.42709999999999998</v>
      </c>
      <c r="AX21">
        <v>329</v>
      </c>
    </row>
    <row r="22" spans="1:50" x14ac:dyDescent="0.2">
      <c r="A22" s="1" t="s">
        <v>87</v>
      </c>
      <c r="B22">
        <v>2326.87</v>
      </c>
      <c r="C22">
        <v>225.6</v>
      </c>
      <c r="D22">
        <v>146.5</v>
      </c>
      <c r="E22">
        <v>4360</v>
      </c>
      <c r="F22">
        <v>10998</v>
      </c>
      <c r="G22">
        <v>770</v>
      </c>
      <c r="H22">
        <v>29.745000000000001</v>
      </c>
      <c r="I22">
        <v>3738</v>
      </c>
      <c r="J22">
        <v>676.05</v>
      </c>
      <c r="K22">
        <v>385.55</v>
      </c>
      <c r="L22">
        <v>5260</v>
      </c>
      <c r="M22">
        <v>297.3</v>
      </c>
      <c r="N22">
        <v>115.05</v>
      </c>
      <c r="O22">
        <v>4.0505000000000004</v>
      </c>
      <c r="P22">
        <v>159.94</v>
      </c>
      <c r="Q22">
        <v>91.1</v>
      </c>
      <c r="R22">
        <v>986.6</v>
      </c>
      <c r="S22">
        <v>5.1389999999999998E-2</v>
      </c>
      <c r="T22">
        <v>65.06</v>
      </c>
      <c r="U22">
        <v>2313</v>
      </c>
      <c r="V22">
        <v>10.37</v>
      </c>
      <c r="W22">
        <v>45.76</v>
      </c>
      <c r="X22">
        <v>324.5</v>
      </c>
      <c r="Y22">
        <v>0.7359</v>
      </c>
      <c r="Z22">
        <v>0.18140000000000001</v>
      </c>
      <c r="AA22">
        <v>135</v>
      </c>
      <c r="AB22">
        <v>823.5</v>
      </c>
      <c r="AC22">
        <v>0.82400000000000007</v>
      </c>
      <c r="AD22">
        <v>2.79</v>
      </c>
      <c r="AE22">
        <v>361</v>
      </c>
      <c r="AF22">
        <v>403.3</v>
      </c>
      <c r="AG22">
        <v>84.8</v>
      </c>
      <c r="AH22">
        <v>115.05</v>
      </c>
      <c r="AI22">
        <v>6.9</v>
      </c>
      <c r="AJ22">
        <v>4305</v>
      </c>
      <c r="AK22">
        <v>2.6795</v>
      </c>
      <c r="AL22">
        <v>106.05</v>
      </c>
      <c r="AM22">
        <v>2340</v>
      </c>
      <c r="AN22">
        <v>17180</v>
      </c>
      <c r="AO22">
        <v>51.5</v>
      </c>
      <c r="AP22">
        <v>1085</v>
      </c>
      <c r="AQ22">
        <v>496</v>
      </c>
      <c r="AR22">
        <v>118.9</v>
      </c>
      <c r="AS22">
        <v>53.65</v>
      </c>
      <c r="AT22">
        <v>0.73199999999999998</v>
      </c>
      <c r="AU22">
        <v>53</v>
      </c>
      <c r="AV22">
        <v>97.32</v>
      </c>
      <c r="AW22">
        <v>0.43099999999999999</v>
      </c>
      <c r="AX22">
        <v>330</v>
      </c>
    </row>
    <row r="23" spans="1:50" x14ac:dyDescent="0.2">
      <c r="A23" s="1" t="s">
        <v>88</v>
      </c>
      <c r="B23">
        <v>2295.5700000000002</v>
      </c>
      <c r="C23">
        <v>221</v>
      </c>
      <c r="D23">
        <v>146.06</v>
      </c>
      <c r="E23">
        <v>4263</v>
      </c>
      <c r="F23">
        <v>10850</v>
      </c>
      <c r="G23">
        <v>761.3</v>
      </c>
      <c r="H23">
        <v>29.42</v>
      </c>
      <c r="I23">
        <v>3712</v>
      </c>
      <c r="J23">
        <v>664.3</v>
      </c>
      <c r="K23">
        <v>377.7</v>
      </c>
      <c r="L23">
        <v>5185</v>
      </c>
      <c r="M23">
        <v>291.10000000000002</v>
      </c>
      <c r="N23">
        <v>113.59</v>
      </c>
      <c r="O23">
        <v>3.99</v>
      </c>
      <c r="P23">
        <v>159.5</v>
      </c>
      <c r="Q23">
        <v>90.87</v>
      </c>
      <c r="R23">
        <v>978.3</v>
      </c>
      <c r="S23">
        <v>5.1150000000000001E-2</v>
      </c>
      <c r="T23">
        <v>65.239999999999995</v>
      </c>
      <c r="U23">
        <v>2301</v>
      </c>
      <c r="V23">
        <v>10.23</v>
      </c>
      <c r="W23">
        <v>45.5</v>
      </c>
      <c r="X23">
        <v>325.5</v>
      </c>
      <c r="Y23">
        <v>0.73</v>
      </c>
      <c r="Z23">
        <v>0.18099999999999999</v>
      </c>
      <c r="AA23">
        <v>132.55000000000001</v>
      </c>
      <c r="AB23">
        <v>814</v>
      </c>
      <c r="AC23">
        <v>0.8</v>
      </c>
      <c r="AD23">
        <v>2.7250000000000001</v>
      </c>
      <c r="AE23">
        <v>348</v>
      </c>
      <c r="AF23">
        <v>403.2</v>
      </c>
      <c r="AG23">
        <v>85.6</v>
      </c>
      <c r="AH23">
        <v>113.8</v>
      </c>
      <c r="AI23">
        <v>6.9349999999999996</v>
      </c>
      <c r="AJ23">
        <v>4279</v>
      </c>
      <c r="AK23">
        <v>2.6615000000000002</v>
      </c>
      <c r="AL23">
        <v>106.8</v>
      </c>
      <c r="AM23">
        <v>2330</v>
      </c>
      <c r="AN23">
        <v>17190</v>
      </c>
      <c r="AO23">
        <v>50.4</v>
      </c>
      <c r="AP23">
        <v>1080</v>
      </c>
      <c r="AQ23">
        <v>478</v>
      </c>
      <c r="AR23">
        <v>117.9</v>
      </c>
      <c r="AS23">
        <v>53.05</v>
      </c>
      <c r="AT23">
        <v>0.72599999999999998</v>
      </c>
      <c r="AU23">
        <v>52.65</v>
      </c>
      <c r="AV23">
        <v>96.84</v>
      </c>
      <c r="AW23">
        <v>0.42270000000000002</v>
      </c>
      <c r="AX23">
        <v>351</v>
      </c>
    </row>
    <row r="24" spans="1:50" x14ac:dyDescent="0.2">
      <c r="A24" s="1" t="s">
        <v>89</v>
      </c>
      <c r="B24">
        <v>2294.0100000000002</v>
      </c>
      <c r="C24">
        <v>222.01</v>
      </c>
      <c r="D24">
        <v>145.27000000000001</v>
      </c>
      <c r="E24">
        <v>4230</v>
      </c>
      <c r="F24">
        <v>10880</v>
      </c>
      <c r="G24">
        <v>757.2</v>
      </c>
      <c r="H24">
        <v>29.164999999999999</v>
      </c>
      <c r="I24">
        <v>3737</v>
      </c>
      <c r="J24">
        <v>664</v>
      </c>
      <c r="K24">
        <v>378</v>
      </c>
      <c r="L24">
        <v>5265</v>
      </c>
      <c r="M24">
        <v>286.5</v>
      </c>
      <c r="N24">
        <v>113.65</v>
      </c>
      <c r="O24">
        <v>3.9904999999999999</v>
      </c>
      <c r="P24">
        <v>163</v>
      </c>
      <c r="Q24">
        <v>92.24</v>
      </c>
      <c r="R24">
        <v>995.3</v>
      </c>
      <c r="S24">
        <v>5.1210000000000012E-2</v>
      </c>
      <c r="T24">
        <v>65.400000000000006</v>
      </c>
      <c r="U24">
        <v>2332</v>
      </c>
      <c r="V24">
        <v>10.199999999999999</v>
      </c>
      <c r="W24">
        <v>46.4</v>
      </c>
      <c r="X24">
        <v>326.5</v>
      </c>
      <c r="Y24">
        <v>0.73919999999999997</v>
      </c>
      <c r="Z24">
        <v>0.18149999999999999</v>
      </c>
      <c r="AA24">
        <v>132.69999999999999</v>
      </c>
      <c r="AB24">
        <v>815.5</v>
      </c>
      <c r="AC24">
        <v>0.79969999999999997</v>
      </c>
      <c r="AD24">
        <v>2.7130000000000001</v>
      </c>
      <c r="AE24">
        <v>347</v>
      </c>
      <c r="AF24">
        <v>402.1</v>
      </c>
      <c r="AG24">
        <v>85.5</v>
      </c>
      <c r="AH24">
        <v>108.6</v>
      </c>
      <c r="AI24">
        <v>6.875</v>
      </c>
      <c r="AJ24">
        <v>4288</v>
      </c>
      <c r="AK24">
        <v>2.6539999999999999</v>
      </c>
      <c r="AL24">
        <v>106.5</v>
      </c>
      <c r="AM24">
        <v>2272</v>
      </c>
      <c r="AN24">
        <v>17130</v>
      </c>
      <c r="AO24">
        <v>51</v>
      </c>
      <c r="AP24">
        <v>1085</v>
      </c>
      <c r="AQ24">
        <v>480</v>
      </c>
      <c r="AR24">
        <v>117</v>
      </c>
      <c r="AS24">
        <v>52.6</v>
      </c>
      <c r="AT24">
        <v>0.72</v>
      </c>
      <c r="AU24">
        <v>51.35</v>
      </c>
      <c r="AV24">
        <v>98.55</v>
      </c>
      <c r="AW24">
        <v>0.42099999999999999</v>
      </c>
      <c r="AX24">
        <v>392</v>
      </c>
    </row>
    <row r="25" spans="1:50" x14ac:dyDescent="0.2">
      <c r="A25" s="1" t="s">
        <v>90</v>
      </c>
      <c r="B25">
        <v>2306.5700000000002</v>
      </c>
      <c r="C25">
        <v>220</v>
      </c>
      <c r="D25">
        <v>145.09</v>
      </c>
      <c r="E25">
        <v>4248</v>
      </c>
      <c r="F25">
        <v>11090</v>
      </c>
      <c r="G25">
        <v>808.1</v>
      </c>
      <c r="H25">
        <v>29.135000000000002</v>
      </c>
      <c r="I25">
        <v>3728</v>
      </c>
      <c r="J25">
        <v>667.6</v>
      </c>
      <c r="K25">
        <v>378.3</v>
      </c>
      <c r="L25">
        <v>5210</v>
      </c>
      <c r="M25">
        <v>287.2</v>
      </c>
      <c r="N25">
        <v>114.8</v>
      </c>
      <c r="O25">
        <v>4.05</v>
      </c>
      <c r="P25">
        <v>162.85</v>
      </c>
      <c r="Q25">
        <v>93.7</v>
      </c>
      <c r="R25">
        <v>1012</v>
      </c>
      <c r="S25">
        <v>5.1060000000000001E-2</v>
      </c>
      <c r="T25">
        <v>66.03</v>
      </c>
      <c r="U25">
        <v>2329</v>
      </c>
      <c r="V25">
        <v>10.365</v>
      </c>
      <c r="W25">
        <v>47.41</v>
      </c>
      <c r="X25">
        <v>330</v>
      </c>
      <c r="Y25">
        <v>0.72699999999999998</v>
      </c>
      <c r="Z25">
        <v>0.17949999999999999</v>
      </c>
      <c r="AA25">
        <v>132.19999999999999</v>
      </c>
      <c r="AB25">
        <v>820</v>
      </c>
      <c r="AC25">
        <v>0.79759999999999998</v>
      </c>
      <c r="AD25">
        <v>2.6989999999999998</v>
      </c>
      <c r="AE25">
        <v>345</v>
      </c>
      <c r="AF25">
        <v>404.5</v>
      </c>
      <c r="AG25">
        <v>85.6</v>
      </c>
      <c r="AH25">
        <v>110.9</v>
      </c>
      <c r="AI25">
        <v>6.77</v>
      </c>
      <c r="AJ25">
        <v>4260</v>
      </c>
      <c r="AK25">
        <v>2.65</v>
      </c>
      <c r="AL25">
        <v>105.3</v>
      </c>
      <c r="AM25">
        <v>2229</v>
      </c>
      <c r="AN25">
        <v>17200</v>
      </c>
      <c r="AO25">
        <v>50.4</v>
      </c>
      <c r="AP25">
        <v>1075</v>
      </c>
      <c r="AQ25">
        <v>468</v>
      </c>
      <c r="AR25">
        <v>116.1</v>
      </c>
      <c r="AS25">
        <v>51.7</v>
      </c>
      <c r="AT25">
        <v>0.72299999999999998</v>
      </c>
      <c r="AU25">
        <v>51.9</v>
      </c>
      <c r="AV25">
        <v>98.7</v>
      </c>
      <c r="AW25">
        <v>0.41920000000000002</v>
      </c>
      <c r="AX25">
        <v>377</v>
      </c>
    </row>
    <row r="26" spans="1:50" x14ac:dyDescent="0.2">
      <c r="A26" s="1" t="s">
        <v>91</v>
      </c>
      <c r="B26">
        <v>2311.2800000000002</v>
      </c>
      <c r="C26">
        <v>220.9</v>
      </c>
      <c r="D26">
        <v>145.09</v>
      </c>
      <c r="E26">
        <v>4290</v>
      </c>
      <c r="F26">
        <v>11170</v>
      </c>
      <c r="G26">
        <v>802.5</v>
      </c>
      <c r="H26">
        <v>28.875</v>
      </c>
      <c r="I26">
        <v>3785</v>
      </c>
      <c r="J26">
        <v>663.35</v>
      </c>
      <c r="K26">
        <v>379.55</v>
      </c>
      <c r="L26">
        <v>5185</v>
      </c>
      <c r="M26">
        <v>287.14999999999998</v>
      </c>
      <c r="N26">
        <v>113.88</v>
      </c>
      <c r="O26">
        <v>4.0324999999999998</v>
      </c>
      <c r="P26">
        <v>162.75</v>
      </c>
      <c r="Q26">
        <v>93.04</v>
      </c>
      <c r="R26">
        <v>1006</v>
      </c>
      <c r="S26">
        <v>5.1450000000000003E-2</v>
      </c>
      <c r="T26">
        <v>65.849999999999994</v>
      </c>
      <c r="U26">
        <v>2369</v>
      </c>
      <c r="V26">
        <v>10.49</v>
      </c>
      <c r="W26">
        <v>47.52</v>
      </c>
      <c r="X26">
        <v>332</v>
      </c>
      <c r="Y26">
        <v>0.71840000000000004</v>
      </c>
      <c r="Z26">
        <v>0.18065000000000001</v>
      </c>
      <c r="AA26">
        <v>131.55000000000001</v>
      </c>
      <c r="AB26">
        <v>825.5</v>
      </c>
      <c r="AC26">
        <v>0.79830000000000001</v>
      </c>
      <c r="AD26">
        <v>2.7850000000000001</v>
      </c>
      <c r="AE26">
        <v>346.5</v>
      </c>
      <c r="AF26">
        <v>401.3</v>
      </c>
      <c r="AG26">
        <v>84.6</v>
      </c>
      <c r="AH26">
        <v>109.6</v>
      </c>
      <c r="AI26">
        <v>6.74</v>
      </c>
      <c r="AJ26">
        <v>4305</v>
      </c>
      <c r="AK26">
        <v>2.7054999999999998</v>
      </c>
      <c r="AL26">
        <v>105</v>
      </c>
      <c r="AM26">
        <v>2251</v>
      </c>
      <c r="AN26">
        <v>17350</v>
      </c>
      <c r="AO26">
        <v>51.6</v>
      </c>
      <c r="AP26">
        <v>1080</v>
      </c>
      <c r="AQ26">
        <v>470</v>
      </c>
      <c r="AR26">
        <v>115.7</v>
      </c>
      <c r="AS26">
        <v>51.55</v>
      </c>
      <c r="AT26">
        <v>0.71900000000000008</v>
      </c>
      <c r="AU26">
        <v>52.4</v>
      </c>
      <c r="AV26">
        <v>97.33</v>
      </c>
      <c r="AW26">
        <v>0.42849999999999999</v>
      </c>
      <c r="AX26">
        <v>381</v>
      </c>
    </row>
    <row r="27" spans="1:50" x14ac:dyDescent="0.2">
      <c r="A27" s="1" t="s">
        <v>92</v>
      </c>
      <c r="B27">
        <v>2298</v>
      </c>
      <c r="C27">
        <v>219</v>
      </c>
      <c r="D27">
        <v>143.9</v>
      </c>
      <c r="E27">
        <v>4224</v>
      </c>
      <c r="F27">
        <v>11144</v>
      </c>
      <c r="G27">
        <v>825.4</v>
      </c>
      <c r="H27">
        <v>28.4</v>
      </c>
      <c r="I27">
        <v>3755</v>
      </c>
      <c r="J27">
        <v>675.95</v>
      </c>
      <c r="K27">
        <v>383</v>
      </c>
      <c r="L27">
        <v>5087</v>
      </c>
      <c r="M27">
        <v>283.2</v>
      </c>
      <c r="N27">
        <v>112.4</v>
      </c>
      <c r="O27">
        <v>4.0019999999999998</v>
      </c>
      <c r="P27">
        <v>161.65</v>
      </c>
      <c r="Q27">
        <v>91.39</v>
      </c>
      <c r="R27">
        <v>1008.6</v>
      </c>
      <c r="S27">
        <v>5.1279999999999992E-2</v>
      </c>
      <c r="T27">
        <v>65.08</v>
      </c>
      <c r="U27">
        <v>2347</v>
      </c>
      <c r="V27">
        <v>10.365</v>
      </c>
      <c r="W27">
        <v>47.445</v>
      </c>
      <c r="X27">
        <v>330.8</v>
      </c>
      <c r="Y27">
        <v>0.7097</v>
      </c>
      <c r="Z27">
        <v>0.18085000000000001</v>
      </c>
      <c r="AA27">
        <v>131.85</v>
      </c>
      <c r="AB27">
        <v>843</v>
      </c>
      <c r="AC27">
        <v>0.79410000000000003</v>
      </c>
      <c r="AD27">
        <v>2.8</v>
      </c>
      <c r="AE27">
        <v>345</v>
      </c>
      <c r="AF27">
        <v>401.3</v>
      </c>
      <c r="AG27">
        <v>83.65</v>
      </c>
      <c r="AH27">
        <v>109</v>
      </c>
      <c r="AI27">
        <v>6.6950000000000003</v>
      </c>
      <c r="AJ27">
        <v>4320</v>
      </c>
      <c r="AK27">
        <v>2.6415000000000002</v>
      </c>
      <c r="AL27">
        <v>104.55</v>
      </c>
      <c r="AM27">
        <v>2218</v>
      </c>
      <c r="AN27">
        <v>17270</v>
      </c>
      <c r="AO27">
        <v>51.4</v>
      </c>
      <c r="AP27">
        <v>1080</v>
      </c>
      <c r="AQ27">
        <v>468</v>
      </c>
      <c r="AR27">
        <v>117.6</v>
      </c>
      <c r="AS27">
        <v>51.2</v>
      </c>
      <c r="AT27">
        <v>0.71400000000000008</v>
      </c>
      <c r="AU27">
        <v>52.2</v>
      </c>
      <c r="AV27">
        <v>96.18</v>
      </c>
      <c r="AW27">
        <v>0.42120000000000002</v>
      </c>
      <c r="AX27">
        <v>370</v>
      </c>
    </row>
    <row r="28" spans="1:50" x14ac:dyDescent="0.2">
      <c r="A28" s="1" t="s">
        <v>93</v>
      </c>
      <c r="B28">
        <v>2297.6</v>
      </c>
      <c r="C28">
        <v>221.01</v>
      </c>
      <c r="D28">
        <v>143.26</v>
      </c>
      <c r="E28">
        <v>4246.5</v>
      </c>
      <c r="F28">
        <v>11066</v>
      </c>
      <c r="G28">
        <v>821.2</v>
      </c>
      <c r="H28">
        <v>28.48</v>
      </c>
      <c r="I28">
        <v>3725</v>
      </c>
      <c r="J28">
        <v>669.5</v>
      </c>
      <c r="K28">
        <v>381.05</v>
      </c>
      <c r="L28">
        <v>5150</v>
      </c>
      <c r="M28">
        <v>283.85000000000002</v>
      </c>
      <c r="N28">
        <v>111.82</v>
      </c>
      <c r="O28">
        <v>4.07</v>
      </c>
      <c r="P28">
        <v>163.27000000000001</v>
      </c>
      <c r="Q28">
        <v>88.61</v>
      </c>
      <c r="R28">
        <v>1002.1</v>
      </c>
      <c r="S28">
        <v>5.1339999999999997E-2</v>
      </c>
      <c r="T28">
        <v>65.67</v>
      </c>
      <c r="U28">
        <v>2320</v>
      </c>
      <c r="V28">
        <v>10.375</v>
      </c>
      <c r="W28">
        <v>47.38</v>
      </c>
      <c r="X28">
        <v>327.8</v>
      </c>
      <c r="Y28">
        <v>0.71</v>
      </c>
      <c r="Z28">
        <v>0.18195</v>
      </c>
      <c r="AA28">
        <v>139.85</v>
      </c>
      <c r="AB28">
        <v>836</v>
      </c>
      <c r="AC28">
        <v>0.80130000000000001</v>
      </c>
      <c r="AD28">
        <v>2.8010000000000002</v>
      </c>
      <c r="AE28">
        <v>349.5</v>
      </c>
      <c r="AF28">
        <v>404.9</v>
      </c>
      <c r="AG28">
        <v>83.75</v>
      </c>
      <c r="AH28">
        <v>110.8</v>
      </c>
      <c r="AI28">
        <v>6.71</v>
      </c>
      <c r="AJ28">
        <v>4336</v>
      </c>
      <c r="AK28">
        <v>2.6230000000000002</v>
      </c>
      <c r="AL28">
        <v>107.95</v>
      </c>
      <c r="AM28">
        <v>2229</v>
      </c>
      <c r="AN28">
        <v>17380</v>
      </c>
      <c r="AO28">
        <v>50.9</v>
      </c>
      <c r="AP28">
        <v>1070</v>
      </c>
      <c r="AQ28">
        <v>451</v>
      </c>
      <c r="AR28">
        <v>116</v>
      </c>
      <c r="AS28">
        <v>50.7</v>
      </c>
      <c r="AT28">
        <v>0.71599999999999997</v>
      </c>
      <c r="AU28">
        <v>52.65</v>
      </c>
      <c r="AV28">
        <v>96.69</v>
      </c>
      <c r="AW28">
        <v>0.42009999999999997</v>
      </c>
      <c r="AX28">
        <v>372</v>
      </c>
    </row>
    <row r="29" spans="1:50" x14ac:dyDescent="0.2">
      <c r="A29" s="1" t="s">
        <v>94</v>
      </c>
      <c r="B29">
        <v>2302.88</v>
      </c>
      <c r="C29">
        <v>222.36</v>
      </c>
      <c r="D29">
        <v>145</v>
      </c>
      <c r="E29">
        <v>4209</v>
      </c>
      <c r="F29">
        <v>11111</v>
      </c>
      <c r="G29">
        <v>838.2</v>
      </c>
      <c r="H29">
        <v>28.63</v>
      </c>
      <c r="I29">
        <v>3750</v>
      </c>
      <c r="J29">
        <v>666.5</v>
      </c>
      <c r="K29">
        <v>385.3</v>
      </c>
      <c r="L29">
        <v>5111</v>
      </c>
      <c r="M29">
        <v>282.39999999999998</v>
      </c>
      <c r="N29">
        <v>112.59</v>
      </c>
      <c r="O29">
        <v>4.08</v>
      </c>
      <c r="P29">
        <v>163.15</v>
      </c>
      <c r="Q29">
        <v>88.3</v>
      </c>
      <c r="R29">
        <v>1002.8</v>
      </c>
      <c r="S29">
        <v>4.9889999999999997E-2</v>
      </c>
      <c r="T29">
        <v>65.989999999999995</v>
      </c>
      <c r="U29">
        <v>2322</v>
      </c>
      <c r="V29">
        <v>10.414999999999999</v>
      </c>
      <c r="W29">
        <v>49.09</v>
      </c>
      <c r="X29">
        <v>330.4</v>
      </c>
      <c r="Y29">
        <v>0.72389999999999999</v>
      </c>
      <c r="Z29">
        <v>0.1825</v>
      </c>
      <c r="AA29">
        <v>140.80000000000001</v>
      </c>
      <c r="AB29">
        <v>838.5</v>
      </c>
      <c r="AC29">
        <v>0.79710000000000003</v>
      </c>
      <c r="AD29">
        <v>2.8439999999999999</v>
      </c>
      <c r="AE29">
        <v>351.5</v>
      </c>
      <c r="AF29">
        <v>407.8</v>
      </c>
      <c r="AG29">
        <v>82.5</v>
      </c>
      <c r="AH29">
        <v>111.85</v>
      </c>
      <c r="AI29">
        <v>6.7450000000000001</v>
      </c>
      <c r="AJ29">
        <v>4333</v>
      </c>
      <c r="AK29">
        <v>2.5779999999999998</v>
      </c>
      <c r="AL29">
        <v>103.7</v>
      </c>
      <c r="AM29">
        <v>2205</v>
      </c>
      <c r="AN29">
        <v>17300</v>
      </c>
      <c r="AO29">
        <v>52.7</v>
      </c>
      <c r="AP29">
        <v>1070</v>
      </c>
      <c r="AQ29">
        <v>460</v>
      </c>
      <c r="AR29">
        <v>115.4</v>
      </c>
      <c r="AS29">
        <v>50.6</v>
      </c>
      <c r="AT29">
        <v>0.70900000000000007</v>
      </c>
      <c r="AU29">
        <v>52.7</v>
      </c>
      <c r="AV29">
        <v>97.5</v>
      </c>
      <c r="AW29">
        <v>0.41310000000000002</v>
      </c>
      <c r="AX29">
        <v>375</v>
      </c>
    </row>
    <row r="30" spans="1:50" x14ac:dyDescent="0.2">
      <c r="A30" s="1" t="s">
        <v>95</v>
      </c>
      <c r="B30">
        <v>2295.34</v>
      </c>
      <c r="C30">
        <v>220</v>
      </c>
      <c r="D30">
        <v>144</v>
      </c>
      <c r="E30">
        <v>4205.5</v>
      </c>
      <c r="F30">
        <v>11150</v>
      </c>
      <c r="G30">
        <v>838.4</v>
      </c>
      <c r="H30">
        <v>28.86</v>
      </c>
      <c r="I30">
        <v>3800</v>
      </c>
      <c r="J30">
        <v>665.55</v>
      </c>
      <c r="K30">
        <v>382.55</v>
      </c>
      <c r="L30">
        <v>5112</v>
      </c>
      <c r="M30">
        <v>283.10000000000002</v>
      </c>
      <c r="N30">
        <v>114.3</v>
      </c>
      <c r="O30">
        <v>4.048</v>
      </c>
      <c r="P30">
        <v>162</v>
      </c>
      <c r="Q30">
        <v>89.3</v>
      </c>
      <c r="R30">
        <v>994.8</v>
      </c>
      <c r="S30">
        <v>4.7399999999999998E-2</v>
      </c>
      <c r="T30">
        <v>66.08</v>
      </c>
      <c r="U30">
        <v>2331</v>
      </c>
      <c r="V30">
        <v>10.39</v>
      </c>
      <c r="W30">
        <v>47.81</v>
      </c>
      <c r="X30">
        <v>331.9</v>
      </c>
      <c r="Y30">
        <v>0.71499999999999997</v>
      </c>
      <c r="Z30">
        <v>0.18395</v>
      </c>
      <c r="AA30">
        <v>139.65</v>
      </c>
      <c r="AB30">
        <v>843.5</v>
      </c>
      <c r="AC30">
        <v>0.79779999999999995</v>
      </c>
      <c r="AD30">
        <v>2.8639999999999999</v>
      </c>
      <c r="AE30">
        <v>352</v>
      </c>
      <c r="AF30">
        <v>405.5</v>
      </c>
      <c r="AG30">
        <v>82.55</v>
      </c>
      <c r="AH30">
        <v>110.7</v>
      </c>
      <c r="AI30">
        <v>6.7050000000000001</v>
      </c>
      <c r="AJ30">
        <v>4340</v>
      </c>
      <c r="AK30">
        <v>2.5750000000000002</v>
      </c>
      <c r="AL30">
        <v>104.65</v>
      </c>
      <c r="AM30">
        <v>2209</v>
      </c>
      <c r="AN30">
        <v>17440</v>
      </c>
      <c r="AO30">
        <v>53.1</v>
      </c>
      <c r="AP30">
        <v>1070</v>
      </c>
      <c r="AQ30">
        <v>462</v>
      </c>
      <c r="AR30">
        <v>116</v>
      </c>
      <c r="AS30">
        <v>50.7</v>
      </c>
      <c r="AT30">
        <v>0.72</v>
      </c>
      <c r="AU30">
        <v>52.8</v>
      </c>
      <c r="AV30">
        <v>97.51</v>
      </c>
      <c r="AW30">
        <v>0.40910000000000002</v>
      </c>
      <c r="AX30">
        <v>383</v>
      </c>
    </row>
    <row r="31" spans="1:50" x14ac:dyDescent="0.2">
      <c r="A31" s="1" t="s">
        <v>96</v>
      </c>
      <c r="B31">
        <v>2323.64</v>
      </c>
      <c r="C31">
        <v>220</v>
      </c>
      <c r="D31">
        <v>146.44</v>
      </c>
      <c r="E31">
        <v>4299</v>
      </c>
      <c r="F31">
        <v>11474</v>
      </c>
      <c r="G31">
        <v>841</v>
      </c>
      <c r="H31">
        <v>29.274999999999999</v>
      </c>
      <c r="I31">
        <v>3940</v>
      </c>
      <c r="J31">
        <v>670.45</v>
      </c>
      <c r="K31">
        <v>384.9</v>
      </c>
      <c r="L31">
        <v>5187</v>
      </c>
      <c r="M31">
        <v>285.95</v>
      </c>
      <c r="N31">
        <v>115.45</v>
      </c>
      <c r="O31">
        <v>4.1464999999999996</v>
      </c>
      <c r="P31">
        <v>167.66</v>
      </c>
      <c r="Q31">
        <v>90.5</v>
      </c>
      <c r="R31">
        <v>1013.3</v>
      </c>
      <c r="S31">
        <v>4.7030000000000002E-2</v>
      </c>
      <c r="T31">
        <v>69</v>
      </c>
      <c r="U31">
        <v>2345</v>
      </c>
      <c r="V31">
        <v>10.36</v>
      </c>
      <c r="W31">
        <v>48.06</v>
      </c>
      <c r="X31">
        <v>331.6</v>
      </c>
      <c r="Y31">
        <v>0.71650000000000003</v>
      </c>
      <c r="Z31">
        <v>0.187</v>
      </c>
      <c r="AA31">
        <v>137.1</v>
      </c>
      <c r="AB31">
        <v>864.5</v>
      </c>
      <c r="AC31">
        <v>0.80489999999999995</v>
      </c>
      <c r="AD31">
        <v>2.91</v>
      </c>
      <c r="AE31">
        <v>359</v>
      </c>
      <c r="AF31">
        <v>412.6</v>
      </c>
      <c r="AG31">
        <v>83.5</v>
      </c>
      <c r="AH31">
        <v>107.8</v>
      </c>
      <c r="AI31">
        <v>6.4850000000000003</v>
      </c>
      <c r="AJ31">
        <v>4351</v>
      </c>
      <c r="AK31">
        <v>2.59</v>
      </c>
      <c r="AL31">
        <v>104.2</v>
      </c>
      <c r="AM31">
        <v>2227</v>
      </c>
      <c r="AN31">
        <v>17640</v>
      </c>
      <c r="AO31">
        <v>53.3</v>
      </c>
      <c r="AP31">
        <v>1080</v>
      </c>
      <c r="AQ31">
        <v>465</v>
      </c>
      <c r="AR31">
        <v>116.2</v>
      </c>
      <c r="AS31">
        <v>51.25</v>
      </c>
      <c r="AT31">
        <v>0.72</v>
      </c>
      <c r="AU31">
        <v>52.8</v>
      </c>
      <c r="AV31">
        <v>97.14</v>
      </c>
      <c r="AW31">
        <v>0.40810000000000002</v>
      </c>
      <c r="AX31">
        <v>386</v>
      </c>
    </row>
    <row r="32" spans="1:50" x14ac:dyDescent="0.2">
      <c r="A32" s="1" t="s">
        <v>97</v>
      </c>
      <c r="B32">
        <v>2318.23</v>
      </c>
      <c r="C32">
        <v>215.56</v>
      </c>
      <c r="D32">
        <v>146</v>
      </c>
      <c r="E32">
        <v>4278</v>
      </c>
      <c r="F32">
        <v>11551</v>
      </c>
      <c r="G32">
        <v>847.1</v>
      </c>
      <c r="H32">
        <v>29.02</v>
      </c>
      <c r="I32">
        <v>3940</v>
      </c>
      <c r="J32">
        <v>673.85</v>
      </c>
      <c r="K32">
        <v>381.95</v>
      </c>
      <c r="L32">
        <v>5175</v>
      </c>
      <c r="M32">
        <v>285.89999999999998</v>
      </c>
      <c r="N32">
        <v>114.29</v>
      </c>
      <c r="O32">
        <v>4.2220000000000004</v>
      </c>
      <c r="P32">
        <v>171.3</v>
      </c>
      <c r="Q32">
        <v>90.12</v>
      </c>
      <c r="R32">
        <v>1023.4</v>
      </c>
      <c r="S32">
        <v>4.7440000000000003E-2</v>
      </c>
      <c r="T32">
        <v>69.61</v>
      </c>
      <c r="U32">
        <v>2328</v>
      </c>
      <c r="V32">
        <v>10.24</v>
      </c>
      <c r="W32">
        <v>48.3</v>
      </c>
      <c r="X32">
        <v>331.3</v>
      </c>
      <c r="Y32">
        <v>0.71050000000000002</v>
      </c>
      <c r="Z32">
        <v>0.1847</v>
      </c>
      <c r="AA32">
        <v>139.25</v>
      </c>
      <c r="AB32">
        <v>866</v>
      </c>
      <c r="AC32">
        <v>0.80249999999999999</v>
      </c>
      <c r="AD32">
        <v>2.8849999999999998</v>
      </c>
      <c r="AE32">
        <v>364</v>
      </c>
      <c r="AF32">
        <v>403.5</v>
      </c>
      <c r="AG32">
        <v>83.5</v>
      </c>
      <c r="AH32">
        <v>108.8</v>
      </c>
      <c r="AI32">
        <v>6.625</v>
      </c>
      <c r="AJ32">
        <v>4335</v>
      </c>
      <c r="AK32">
        <v>2.5724999999999998</v>
      </c>
      <c r="AL32">
        <v>104.25</v>
      </c>
      <c r="AM32">
        <v>2226</v>
      </c>
      <c r="AN32">
        <v>17030</v>
      </c>
      <c r="AO32">
        <v>53.8</v>
      </c>
      <c r="AP32">
        <v>1070</v>
      </c>
      <c r="AQ32">
        <v>466</v>
      </c>
      <c r="AR32">
        <v>116.1</v>
      </c>
      <c r="AS32">
        <v>51</v>
      </c>
      <c r="AT32">
        <v>0.72299999999999998</v>
      </c>
      <c r="AU32">
        <v>52.75</v>
      </c>
      <c r="AV32">
        <v>101.36</v>
      </c>
      <c r="AW32">
        <v>0.40649999999999997</v>
      </c>
      <c r="AX32">
        <v>390</v>
      </c>
    </row>
    <row r="33" spans="1:50" x14ac:dyDescent="0.2">
      <c r="A33" s="1" t="s">
        <v>98</v>
      </c>
      <c r="B33">
        <v>2315.4499999999998</v>
      </c>
      <c r="C33">
        <v>217.9</v>
      </c>
      <c r="D33">
        <v>146.9</v>
      </c>
      <c r="E33">
        <v>4264.5</v>
      </c>
      <c r="F33">
        <v>11640</v>
      </c>
      <c r="G33">
        <v>844.4</v>
      </c>
      <c r="H33">
        <v>28.795000000000002</v>
      </c>
      <c r="I33">
        <v>3911</v>
      </c>
      <c r="J33">
        <v>668.5</v>
      </c>
      <c r="K33">
        <v>380.8</v>
      </c>
      <c r="L33">
        <v>4937</v>
      </c>
      <c r="M33">
        <v>285.2</v>
      </c>
      <c r="N33">
        <v>112.7</v>
      </c>
      <c r="O33">
        <v>4.1885000000000003</v>
      </c>
      <c r="P33">
        <v>170.67</v>
      </c>
      <c r="Q33">
        <v>89.56</v>
      </c>
      <c r="R33">
        <v>1031</v>
      </c>
      <c r="S33">
        <v>4.725E-2</v>
      </c>
      <c r="T33">
        <v>68.33</v>
      </c>
      <c r="U33">
        <v>2319</v>
      </c>
      <c r="V33">
        <v>10.199999999999999</v>
      </c>
      <c r="W33">
        <v>48.86</v>
      </c>
      <c r="X33">
        <v>331.8</v>
      </c>
      <c r="Y33">
        <v>0.7026</v>
      </c>
      <c r="Z33">
        <v>0.18310000000000001</v>
      </c>
      <c r="AA33">
        <v>141.30000000000001</v>
      </c>
      <c r="AB33">
        <v>865</v>
      </c>
      <c r="AC33">
        <v>0.79859999999999998</v>
      </c>
      <c r="AD33">
        <v>2.851</v>
      </c>
      <c r="AE33">
        <v>354</v>
      </c>
      <c r="AF33">
        <v>401.2</v>
      </c>
      <c r="AG33">
        <v>83</v>
      </c>
      <c r="AH33">
        <v>109.75</v>
      </c>
      <c r="AI33">
        <v>6.6</v>
      </c>
      <c r="AJ33">
        <v>4377</v>
      </c>
      <c r="AK33">
        <v>2.5465</v>
      </c>
      <c r="AL33">
        <v>104.95</v>
      </c>
      <c r="AM33">
        <v>2219</v>
      </c>
      <c r="AN33">
        <v>16910</v>
      </c>
      <c r="AO33">
        <v>53.5</v>
      </c>
      <c r="AP33">
        <v>1060</v>
      </c>
      <c r="AQ33">
        <v>481</v>
      </c>
      <c r="AR33">
        <v>114.9</v>
      </c>
      <c r="AS33">
        <v>50.95</v>
      </c>
      <c r="AT33">
        <v>0.72199999999999998</v>
      </c>
      <c r="AU33">
        <v>52.8</v>
      </c>
      <c r="AV33">
        <v>105.35</v>
      </c>
      <c r="AW33">
        <v>0.41299999999999998</v>
      </c>
      <c r="AX33">
        <v>384</v>
      </c>
    </row>
    <row r="34" spans="1:50" x14ac:dyDescent="0.2">
      <c r="A34" s="1" t="s">
        <v>99</v>
      </c>
      <c r="B34">
        <v>2316.0700000000002</v>
      </c>
      <c r="C34">
        <v>216.41</v>
      </c>
      <c r="D34">
        <v>146.05000000000001</v>
      </c>
      <c r="E34">
        <v>4250</v>
      </c>
      <c r="F34">
        <v>11644</v>
      </c>
      <c r="G34">
        <v>848</v>
      </c>
      <c r="H34">
        <v>29.295000000000002</v>
      </c>
      <c r="I34">
        <v>3941</v>
      </c>
      <c r="J34">
        <v>668</v>
      </c>
      <c r="K34">
        <v>380.05</v>
      </c>
      <c r="L34">
        <v>5030</v>
      </c>
      <c r="M34">
        <v>286.05</v>
      </c>
      <c r="N34">
        <v>110.6</v>
      </c>
      <c r="O34">
        <v>4.2</v>
      </c>
      <c r="P34">
        <v>172.19</v>
      </c>
      <c r="Q34">
        <v>91.5</v>
      </c>
      <c r="R34">
        <v>1033.3</v>
      </c>
      <c r="S34">
        <v>4.6809999999999997E-2</v>
      </c>
      <c r="T34">
        <v>71</v>
      </c>
      <c r="U34">
        <v>2306</v>
      </c>
      <c r="V34">
        <v>10.220000000000001</v>
      </c>
      <c r="W34">
        <v>49.195</v>
      </c>
      <c r="X34">
        <v>333</v>
      </c>
      <c r="Y34">
        <v>0.70230000000000004</v>
      </c>
      <c r="Z34">
        <v>0.18495</v>
      </c>
      <c r="AA34">
        <v>145</v>
      </c>
      <c r="AB34">
        <v>860</v>
      </c>
      <c r="AC34">
        <v>0.8004</v>
      </c>
      <c r="AD34">
        <v>2.891</v>
      </c>
      <c r="AE34">
        <v>382.5</v>
      </c>
      <c r="AF34">
        <v>414</v>
      </c>
      <c r="AG34">
        <v>82.8</v>
      </c>
      <c r="AH34">
        <v>110.6</v>
      </c>
      <c r="AI34">
        <v>6.5</v>
      </c>
      <c r="AJ34">
        <v>4389</v>
      </c>
      <c r="AK34">
        <v>2.5070000000000001</v>
      </c>
      <c r="AL34">
        <v>103.8</v>
      </c>
      <c r="AM34">
        <v>2219</v>
      </c>
      <c r="AN34">
        <v>16900</v>
      </c>
      <c r="AO34">
        <v>53.5</v>
      </c>
      <c r="AP34">
        <v>1060</v>
      </c>
      <c r="AQ34">
        <v>474</v>
      </c>
      <c r="AR34">
        <v>115.8</v>
      </c>
      <c r="AS34">
        <v>50.9</v>
      </c>
      <c r="AT34">
        <v>0.71700000000000008</v>
      </c>
      <c r="AU34">
        <v>52.8</v>
      </c>
      <c r="AV34">
        <v>103.51</v>
      </c>
      <c r="AW34">
        <v>0.4103</v>
      </c>
      <c r="AX34">
        <v>410</v>
      </c>
    </row>
    <row r="35" spans="1:50" x14ac:dyDescent="0.2">
      <c r="A35" s="1" t="s">
        <v>100</v>
      </c>
      <c r="B35">
        <v>2267.92</v>
      </c>
      <c r="C35">
        <v>210.95</v>
      </c>
      <c r="D35">
        <v>143.05000000000001</v>
      </c>
      <c r="E35">
        <v>4159.5</v>
      </c>
      <c r="F35">
        <v>11355</v>
      </c>
      <c r="G35">
        <v>824.2</v>
      </c>
      <c r="H35">
        <v>28.36</v>
      </c>
      <c r="I35">
        <v>3785</v>
      </c>
      <c r="J35">
        <v>653.29999999999995</v>
      </c>
      <c r="K35">
        <v>381</v>
      </c>
      <c r="L35">
        <v>4818</v>
      </c>
      <c r="M35">
        <v>283.55</v>
      </c>
      <c r="N35">
        <v>107.7</v>
      </c>
      <c r="O35">
        <v>4.0904999999999996</v>
      </c>
      <c r="P35">
        <v>168.86</v>
      </c>
      <c r="Q35">
        <v>90.94</v>
      </c>
      <c r="R35">
        <v>1015</v>
      </c>
      <c r="S35">
        <v>4.5310000000000003E-2</v>
      </c>
      <c r="T35">
        <v>69.86</v>
      </c>
      <c r="U35">
        <v>2300</v>
      </c>
      <c r="V35">
        <v>10.01</v>
      </c>
      <c r="W35">
        <v>48.395000000000003</v>
      </c>
      <c r="X35">
        <v>332.5</v>
      </c>
      <c r="Y35">
        <v>0.68640000000000001</v>
      </c>
      <c r="Z35">
        <v>0.183</v>
      </c>
      <c r="AA35">
        <v>143.9</v>
      </c>
      <c r="AB35">
        <v>846</v>
      </c>
      <c r="AC35">
        <v>0.80200000000000005</v>
      </c>
      <c r="AD35">
        <v>2.8460000000000001</v>
      </c>
      <c r="AE35">
        <v>373</v>
      </c>
      <c r="AF35">
        <v>411.6</v>
      </c>
      <c r="AG35">
        <v>82.85</v>
      </c>
      <c r="AH35">
        <v>109.55</v>
      </c>
      <c r="AI35">
        <v>6.5</v>
      </c>
      <c r="AJ35">
        <v>4404</v>
      </c>
      <c r="AK35">
        <v>2.4514999999999998</v>
      </c>
      <c r="AL35">
        <v>104.35</v>
      </c>
      <c r="AM35">
        <v>2194</v>
      </c>
      <c r="AN35">
        <v>16830</v>
      </c>
      <c r="AO35">
        <v>53.5</v>
      </c>
      <c r="AP35">
        <v>1065</v>
      </c>
      <c r="AQ35">
        <v>470</v>
      </c>
      <c r="AR35">
        <v>114.3</v>
      </c>
      <c r="AS35">
        <v>50.15</v>
      </c>
      <c r="AT35">
        <v>0.71400000000000008</v>
      </c>
      <c r="AU35">
        <v>52.8</v>
      </c>
      <c r="AV35">
        <v>103.8</v>
      </c>
      <c r="AW35">
        <v>0.40600000000000003</v>
      </c>
      <c r="AX35">
        <v>394</v>
      </c>
    </row>
    <row r="36" spans="1:50" x14ac:dyDescent="0.2">
      <c r="A36" s="1" t="s">
        <v>101</v>
      </c>
      <c r="B36">
        <v>2271.7399999999998</v>
      </c>
      <c r="C36">
        <v>210.35</v>
      </c>
      <c r="D36">
        <v>142.28</v>
      </c>
      <c r="E36">
        <v>4159.5</v>
      </c>
      <c r="F36">
        <v>11500</v>
      </c>
      <c r="G36">
        <v>828.2</v>
      </c>
      <c r="H36">
        <v>28.684999999999999</v>
      </c>
      <c r="I36">
        <v>3830</v>
      </c>
      <c r="J36">
        <v>653</v>
      </c>
      <c r="K36">
        <v>384.55</v>
      </c>
      <c r="L36">
        <v>4750</v>
      </c>
      <c r="M36">
        <v>283.7</v>
      </c>
      <c r="N36">
        <v>107.68</v>
      </c>
      <c r="O36">
        <v>4.12</v>
      </c>
      <c r="P36">
        <v>170.5</v>
      </c>
      <c r="Q36">
        <v>91</v>
      </c>
      <c r="R36">
        <v>1041.8</v>
      </c>
      <c r="S36">
        <v>4.514E-2</v>
      </c>
      <c r="T36">
        <v>71.42</v>
      </c>
      <c r="U36">
        <v>2315</v>
      </c>
      <c r="V36">
        <v>10.01</v>
      </c>
      <c r="W36">
        <v>48.6</v>
      </c>
      <c r="X36">
        <v>334.6</v>
      </c>
      <c r="Y36">
        <v>0.69700000000000006</v>
      </c>
      <c r="Z36">
        <v>0.18240000000000001</v>
      </c>
      <c r="AA36">
        <v>142.69999999999999</v>
      </c>
      <c r="AB36">
        <v>860</v>
      </c>
      <c r="AC36">
        <v>0.80449999999999999</v>
      </c>
      <c r="AD36">
        <v>2.8839999999999999</v>
      </c>
      <c r="AE36">
        <v>375.5</v>
      </c>
      <c r="AF36">
        <v>405.5</v>
      </c>
      <c r="AG36">
        <v>82.3</v>
      </c>
      <c r="AH36">
        <v>113.9</v>
      </c>
      <c r="AI36">
        <v>6.5350000000000001</v>
      </c>
      <c r="AJ36">
        <v>4423</v>
      </c>
      <c r="AK36">
        <v>2.5554999999999999</v>
      </c>
      <c r="AL36">
        <v>103.15</v>
      </c>
      <c r="AM36">
        <v>2184</v>
      </c>
      <c r="AN36">
        <v>16670</v>
      </c>
      <c r="AO36">
        <v>54.3</v>
      </c>
      <c r="AP36">
        <v>1070</v>
      </c>
      <c r="AQ36">
        <v>467</v>
      </c>
      <c r="AR36">
        <v>114.9</v>
      </c>
      <c r="AS36">
        <v>50.45</v>
      </c>
      <c r="AT36">
        <v>0.73</v>
      </c>
      <c r="AU36">
        <v>53.15</v>
      </c>
      <c r="AV36">
        <v>107</v>
      </c>
      <c r="AW36">
        <v>0.4078</v>
      </c>
      <c r="AX36">
        <v>405</v>
      </c>
    </row>
    <row r="37" spans="1:50" x14ac:dyDescent="0.2">
      <c r="A37" s="1" t="s">
        <v>102</v>
      </c>
      <c r="B37">
        <v>2271.7399999999998</v>
      </c>
      <c r="C37">
        <v>210.35</v>
      </c>
      <c r="D37">
        <v>142.28</v>
      </c>
      <c r="E37">
        <v>4159.5</v>
      </c>
      <c r="F37">
        <v>11500</v>
      </c>
      <c r="G37">
        <v>828.2</v>
      </c>
      <c r="H37">
        <v>28.684999999999999</v>
      </c>
      <c r="I37">
        <v>3830</v>
      </c>
      <c r="J37">
        <v>653</v>
      </c>
      <c r="K37">
        <v>384.55</v>
      </c>
      <c r="L37">
        <v>4750</v>
      </c>
      <c r="M37">
        <v>283.7</v>
      </c>
      <c r="N37">
        <v>107.68</v>
      </c>
      <c r="O37">
        <v>4.12</v>
      </c>
      <c r="P37">
        <v>170.5</v>
      </c>
      <c r="Q37">
        <v>91</v>
      </c>
      <c r="R37">
        <v>1041.8</v>
      </c>
      <c r="S37">
        <v>4.514E-2</v>
      </c>
      <c r="T37">
        <v>71.42</v>
      </c>
      <c r="U37">
        <v>2315</v>
      </c>
      <c r="V37">
        <v>10.01</v>
      </c>
      <c r="W37">
        <v>48.6</v>
      </c>
      <c r="X37">
        <v>334.6</v>
      </c>
      <c r="Y37">
        <v>0.69700000000000006</v>
      </c>
      <c r="Z37">
        <v>0.18240000000000001</v>
      </c>
      <c r="AA37">
        <v>142.69999999999999</v>
      </c>
      <c r="AB37">
        <v>860</v>
      </c>
      <c r="AC37">
        <v>0.80449999999999999</v>
      </c>
      <c r="AD37">
        <v>2.8839999999999999</v>
      </c>
      <c r="AE37">
        <v>375.5</v>
      </c>
      <c r="AF37">
        <v>405.5</v>
      </c>
      <c r="AG37">
        <v>82.3</v>
      </c>
      <c r="AH37">
        <v>113.9</v>
      </c>
      <c r="AI37">
        <v>6.5350000000000001</v>
      </c>
      <c r="AJ37">
        <v>4423</v>
      </c>
      <c r="AK37">
        <v>2.5554999999999999</v>
      </c>
      <c r="AL37">
        <v>103.15</v>
      </c>
      <c r="AM37">
        <v>2184</v>
      </c>
      <c r="AN37">
        <v>16670</v>
      </c>
      <c r="AO37">
        <v>54.3</v>
      </c>
      <c r="AP37">
        <v>1070</v>
      </c>
      <c r="AQ37">
        <v>467</v>
      </c>
      <c r="AR37">
        <v>114.9</v>
      </c>
      <c r="AS37">
        <v>50.45</v>
      </c>
      <c r="AT37">
        <v>0.73</v>
      </c>
      <c r="AU37">
        <v>53.15</v>
      </c>
      <c r="AV37">
        <v>107</v>
      </c>
      <c r="AW37">
        <v>0.4078</v>
      </c>
      <c r="AX37">
        <v>405</v>
      </c>
    </row>
    <row r="38" spans="1:50" x14ac:dyDescent="0.2">
      <c r="A38" s="1" t="s">
        <v>103</v>
      </c>
      <c r="B38">
        <v>2270.73</v>
      </c>
      <c r="C38">
        <v>215</v>
      </c>
      <c r="D38">
        <v>141</v>
      </c>
      <c r="E38">
        <v>4140</v>
      </c>
      <c r="F38">
        <v>11275</v>
      </c>
      <c r="G38">
        <v>824</v>
      </c>
      <c r="H38">
        <v>28.895</v>
      </c>
      <c r="I38">
        <v>3845</v>
      </c>
      <c r="J38">
        <v>655</v>
      </c>
      <c r="K38">
        <v>382</v>
      </c>
      <c r="L38">
        <v>4702</v>
      </c>
      <c r="M38">
        <v>282.75</v>
      </c>
      <c r="N38">
        <v>109.2</v>
      </c>
      <c r="O38">
        <v>4.0999999999999996</v>
      </c>
      <c r="P38">
        <v>171.01</v>
      </c>
      <c r="Q38">
        <v>90.2</v>
      </c>
      <c r="R38">
        <v>1040.5</v>
      </c>
      <c r="S38">
        <v>4.4749999999999998E-2</v>
      </c>
      <c r="T38">
        <v>70.5</v>
      </c>
      <c r="U38">
        <v>2322</v>
      </c>
      <c r="V38">
        <v>9.9849999999999994</v>
      </c>
      <c r="W38">
        <v>48.23</v>
      </c>
      <c r="X38">
        <v>333.5</v>
      </c>
      <c r="Y38">
        <v>0.71799999999999997</v>
      </c>
      <c r="Z38">
        <v>0.18365000000000001</v>
      </c>
      <c r="AA38">
        <v>144.05000000000001</v>
      </c>
      <c r="AB38">
        <v>852</v>
      </c>
      <c r="AC38">
        <v>0.83009999999999995</v>
      </c>
      <c r="AD38">
        <v>2.8570000000000002</v>
      </c>
      <c r="AE38">
        <v>379.5</v>
      </c>
      <c r="AF38">
        <v>408.4</v>
      </c>
      <c r="AG38">
        <v>81.5</v>
      </c>
      <c r="AH38">
        <v>113.95</v>
      </c>
      <c r="AI38">
        <v>6.4649999999999999</v>
      </c>
      <c r="AJ38">
        <v>4265</v>
      </c>
      <c r="AK38">
        <v>2.5609999999999999</v>
      </c>
      <c r="AL38">
        <v>102.85</v>
      </c>
      <c r="AM38">
        <v>2173</v>
      </c>
      <c r="AN38">
        <v>16840</v>
      </c>
      <c r="AO38">
        <v>54</v>
      </c>
      <c r="AP38">
        <v>1065</v>
      </c>
      <c r="AQ38">
        <v>466</v>
      </c>
      <c r="AR38">
        <v>114.6</v>
      </c>
      <c r="AS38">
        <v>50.35</v>
      </c>
      <c r="AT38">
        <v>0.72599999999999998</v>
      </c>
      <c r="AU38">
        <v>52.35</v>
      </c>
      <c r="AV38">
        <v>109.34</v>
      </c>
      <c r="AW38">
        <v>0.41020000000000001</v>
      </c>
      <c r="AX38">
        <v>390</v>
      </c>
    </row>
    <row r="39" spans="1:50" x14ac:dyDescent="0.2">
      <c r="A39" s="1" t="s">
        <v>104</v>
      </c>
      <c r="B39">
        <v>2253.48</v>
      </c>
      <c r="C39">
        <v>214</v>
      </c>
      <c r="D39">
        <v>139.4</v>
      </c>
      <c r="E39">
        <v>4090</v>
      </c>
      <c r="F39">
        <v>11161</v>
      </c>
      <c r="G39">
        <v>813.8</v>
      </c>
      <c r="H39">
        <v>29.05</v>
      </c>
      <c r="I39">
        <v>3903</v>
      </c>
      <c r="J39">
        <v>642.04999999999995</v>
      </c>
      <c r="K39">
        <v>381.7</v>
      </c>
      <c r="L39">
        <v>4690</v>
      </c>
      <c r="M39">
        <v>281.85000000000002</v>
      </c>
      <c r="N39">
        <v>111.43</v>
      </c>
      <c r="O39">
        <v>4.0294999999999996</v>
      </c>
      <c r="P39">
        <v>169.11</v>
      </c>
      <c r="Q39">
        <v>89.2</v>
      </c>
      <c r="R39">
        <v>1025.9000000000001</v>
      </c>
      <c r="S39">
        <v>4.4650000000000002E-2</v>
      </c>
      <c r="T39">
        <v>71.290000000000006</v>
      </c>
      <c r="U39">
        <v>2298</v>
      </c>
      <c r="V39">
        <v>9.89</v>
      </c>
      <c r="W39">
        <v>47.744999999999997</v>
      </c>
      <c r="X39">
        <v>333.4</v>
      </c>
      <c r="Y39">
        <v>0.70820000000000005</v>
      </c>
      <c r="Z39">
        <v>0.18315000000000001</v>
      </c>
      <c r="AA39">
        <v>143.55000000000001</v>
      </c>
      <c r="AB39">
        <v>843.5</v>
      </c>
      <c r="AC39">
        <v>0.83489999999999998</v>
      </c>
      <c r="AD39">
        <v>2.8220000000000001</v>
      </c>
      <c r="AE39">
        <v>382.5</v>
      </c>
      <c r="AF39">
        <v>404</v>
      </c>
      <c r="AG39">
        <v>80.900000000000006</v>
      </c>
      <c r="AH39">
        <v>114.95</v>
      </c>
      <c r="AI39">
        <v>6.3650000000000002</v>
      </c>
      <c r="AJ39">
        <v>4180</v>
      </c>
      <c r="AK39">
        <v>2.56</v>
      </c>
      <c r="AL39">
        <v>102.2</v>
      </c>
      <c r="AM39">
        <v>2174</v>
      </c>
      <c r="AN39">
        <v>16830</v>
      </c>
      <c r="AO39">
        <v>54.3</v>
      </c>
      <c r="AP39">
        <v>1050</v>
      </c>
      <c r="AQ39">
        <v>482</v>
      </c>
      <c r="AR39">
        <v>114.2</v>
      </c>
      <c r="AS39">
        <v>50.35</v>
      </c>
      <c r="AT39">
        <v>0.72299999999999998</v>
      </c>
      <c r="AU39">
        <v>51.9</v>
      </c>
      <c r="AV39">
        <v>109.95</v>
      </c>
      <c r="AW39">
        <v>0.41199999999999998</v>
      </c>
      <c r="AX39">
        <v>398</v>
      </c>
    </row>
    <row r="40" spans="1:50" x14ac:dyDescent="0.2">
      <c r="A40" s="1" t="s">
        <v>105</v>
      </c>
      <c r="B40">
        <v>2237.5300000000002</v>
      </c>
      <c r="C40">
        <v>209.36</v>
      </c>
      <c r="D40">
        <v>137.72999999999999</v>
      </c>
      <c r="E40">
        <v>4055</v>
      </c>
      <c r="F40">
        <v>11066</v>
      </c>
      <c r="G40">
        <v>804</v>
      </c>
      <c r="H40">
        <v>28.26</v>
      </c>
      <c r="I40">
        <v>3979</v>
      </c>
      <c r="J40">
        <v>650</v>
      </c>
      <c r="K40">
        <v>383.25</v>
      </c>
      <c r="L40">
        <v>4710</v>
      </c>
      <c r="M40">
        <v>282.85000000000002</v>
      </c>
      <c r="N40">
        <v>111.18</v>
      </c>
      <c r="O40">
        <v>4.05</v>
      </c>
      <c r="P40">
        <v>168.57</v>
      </c>
      <c r="Q40">
        <v>89.1</v>
      </c>
      <c r="R40">
        <v>1039.4000000000001</v>
      </c>
      <c r="S40">
        <v>4.4510000000000001E-2</v>
      </c>
      <c r="T40">
        <v>68.56</v>
      </c>
      <c r="U40">
        <v>2296</v>
      </c>
      <c r="V40">
        <v>9.8000000000000007</v>
      </c>
      <c r="W40">
        <v>48.234999999999999</v>
      </c>
      <c r="X40">
        <v>337</v>
      </c>
      <c r="Y40">
        <v>0.69120000000000004</v>
      </c>
      <c r="Z40">
        <v>0.18110000000000001</v>
      </c>
      <c r="AA40">
        <v>140.5</v>
      </c>
      <c r="AB40">
        <v>841</v>
      </c>
      <c r="AC40">
        <v>0.82150000000000001</v>
      </c>
      <c r="AD40">
        <v>2.7589999999999999</v>
      </c>
      <c r="AE40">
        <v>385</v>
      </c>
      <c r="AF40">
        <v>403.1</v>
      </c>
      <c r="AG40">
        <v>81.55</v>
      </c>
      <c r="AH40">
        <v>107.35</v>
      </c>
      <c r="AI40">
        <v>6.6</v>
      </c>
      <c r="AJ40">
        <v>4198</v>
      </c>
      <c r="AK40">
        <v>2.4249999999999998</v>
      </c>
      <c r="AL40">
        <v>107</v>
      </c>
      <c r="AM40">
        <v>2085</v>
      </c>
      <c r="AN40">
        <v>16600</v>
      </c>
      <c r="AO40">
        <v>54.1</v>
      </c>
      <c r="AP40">
        <v>1070</v>
      </c>
      <c r="AQ40">
        <v>495</v>
      </c>
      <c r="AR40">
        <v>111.7</v>
      </c>
      <c r="AS40">
        <v>50</v>
      </c>
      <c r="AT40">
        <v>0.69900000000000007</v>
      </c>
      <c r="AU40">
        <v>51.9</v>
      </c>
      <c r="AV40">
        <v>109.94</v>
      </c>
      <c r="AW40">
        <v>0.40699999999999997</v>
      </c>
      <c r="AX40">
        <v>398</v>
      </c>
    </row>
    <row r="41" spans="1:50" x14ac:dyDescent="0.2">
      <c r="A41" s="1" t="s">
        <v>106</v>
      </c>
      <c r="B41">
        <v>2222.56</v>
      </c>
      <c r="C41">
        <v>206.3</v>
      </c>
      <c r="D41">
        <v>136.52000000000001</v>
      </c>
      <c r="E41">
        <v>4045.5</v>
      </c>
      <c r="F41">
        <v>11051</v>
      </c>
      <c r="G41">
        <v>799.5</v>
      </c>
      <c r="H41">
        <v>28.375</v>
      </c>
      <c r="I41">
        <v>3870</v>
      </c>
      <c r="J41">
        <v>641</v>
      </c>
      <c r="K41">
        <v>387</v>
      </c>
      <c r="L41">
        <v>4631</v>
      </c>
      <c r="M41">
        <v>277.5</v>
      </c>
      <c r="N41">
        <v>110.5</v>
      </c>
      <c r="O41">
        <v>4.1064999999999996</v>
      </c>
      <c r="P41">
        <v>167.3</v>
      </c>
      <c r="Q41">
        <v>89.7</v>
      </c>
      <c r="R41">
        <v>964.6</v>
      </c>
      <c r="S41">
        <v>4.6110000000000012E-2</v>
      </c>
      <c r="T41">
        <v>69.7</v>
      </c>
      <c r="U41">
        <v>2295</v>
      </c>
      <c r="V41">
        <v>9.7200000000000006</v>
      </c>
      <c r="W41">
        <v>46.475000000000001</v>
      </c>
      <c r="X41">
        <v>331.6</v>
      </c>
      <c r="Y41">
        <v>0.67900000000000005</v>
      </c>
      <c r="Z41">
        <v>0.183</v>
      </c>
      <c r="AA41">
        <v>139.65</v>
      </c>
      <c r="AB41">
        <v>845.5</v>
      </c>
      <c r="AC41">
        <v>0.81930000000000003</v>
      </c>
      <c r="AD41">
        <v>2.8</v>
      </c>
      <c r="AE41">
        <v>389.5</v>
      </c>
      <c r="AF41">
        <v>405</v>
      </c>
      <c r="AG41">
        <v>80.400000000000006</v>
      </c>
      <c r="AH41">
        <v>104.95</v>
      </c>
      <c r="AI41">
        <v>6.5</v>
      </c>
      <c r="AJ41">
        <v>4239</v>
      </c>
      <c r="AK41">
        <v>2.3435000000000001</v>
      </c>
      <c r="AL41">
        <v>105.5</v>
      </c>
      <c r="AM41">
        <v>2129</v>
      </c>
      <c r="AN41">
        <v>16500</v>
      </c>
      <c r="AO41">
        <v>54.3</v>
      </c>
      <c r="AP41">
        <v>1060</v>
      </c>
      <c r="AQ41">
        <v>510</v>
      </c>
      <c r="AR41">
        <v>111.5</v>
      </c>
      <c r="AS41">
        <v>50.2</v>
      </c>
      <c r="AT41">
        <v>0.69299999999999995</v>
      </c>
      <c r="AU41">
        <v>51.45</v>
      </c>
      <c r="AV41">
        <v>108</v>
      </c>
      <c r="AW41">
        <v>0.40329999999999999</v>
      </c>
      <c r="AX41">
        <v>388</v>
      </c>
    </row>
    <row r="42" spans="1:50" x14ac:dyDescent="0.2">
      <c r="A42" s="1" t="s">
        <v>107</v>
      </c>
      <c r="B42">
        <v>2221.42</v>
      </c>
      <c r="C42">
        <v>206</v>
      </c>
      <c r="D42">
        <v>135.5</v>
      </c>
      <c r="E42">
        <v>4091</v>
      </c>
      <c r="F42">
        <v>11126</v>
      </c>
      <c r="G42">
        <v>805</v>
      </c>
      <c r="H42">
        <v>28.71</v>
      </c>
      <c r="I42">
        <v>3890</v>
      </c>
      <c r="J42">
        <v>646.04999999999995</v>
      </c>
      <c r="K42">
        <v>392.35</v>
      </c>
      <c r="L42">
        <v>4592</v>
      </c>
      <c r="M42">
        <v>276.55</v>
      </c>
      <c r="N42">
        <v>108.15</v>
      </c>
      <c r="O42">
        <v>4.0964999999999998</v>
      </c>
      <c r="P42">
        <v>153.68</v>
      </c>
      <c r="Q42">
        <v>91</v>
      </c>
      <c r="R42">
        <v>958.8</v>
      </c>
      <c r="S42">
        <v>4.5190000000000001E-2</v>
      </c>
      <c r="T42">
        <v>70.040000000000006</v>
      </c>
      <c r="U42">
        <v>2315</v>
      </c>
      <c r="V42">
        <v>9.6950000000000003</v>
      </c>
      <c r="W42">
        <v>44.854999999999997</v>
      </c>
      <c r="X42">
        <v>334</v>
      </c>
      <c r="Y42">
        <v>0.66799999999999993</v>
      </c>
      <c r="Z42">
        <v>0.18149999999999999</v>
      </c>
      <c r="AA42">
        <v>138</v>
      </c>
      <c r="AB42">
        <v>837.5</v>
      </c>
      <c r="AC42">
        <v>0.80099999999999993</v>
      </c>
      <c r="AD42">
        <v>2.85</v>
      </c>
      <c r="AE42">
        <v>389</v>
      </c>
      <c r="AF42">
        <v>414</v>
      </c>
      <c r="AG42">
        <v>79.099999999999994</v>
      </c>
      <c r="AH42">
        <v>100.05</v>
      </c>
      <c r="AI42">
        <v>6.375</v>
      </c>
      <c r="AJ42">
        <v>4280</v>
      </c>
      <c r="AK42">
        <v>2.3075000000000001</v>
      </c>
      <c r="AL42">
        <v>104.4</v>
      </c>
      <c r="AM42">
        <v>2141</v>
      </c>
      <c r="AN42">
        <v>16300</v>
      </c>
      <c r="AO42">
        <v>54.4</v>
      </c>
      <c r="AP42">
        <v>1040</v>
      </c>
      <c r="AQ42">
        <v>501</v>
      </c>
      <c r="AR42">
        <v>108.8</v>
      </c>
      <c r="AS42">
        <v>49.4</v>
      </c>
      <c r="AT42">
        <v>0.68400000000000005</v>
      </c>
      <c r="AU42">
        <v>50.7</v>
      </c>
      <c r="AV42">
        <v>104.49</v>
      </c>
      <c r="AW42">
        <v>0.39700000000000002</v>
      </c>
      <c r="AX42">
        <v>380</v>
      </c>
    </row>
    <row r="43" spans="1:50" x14ac:dyDescent="0.2">
      <c r="A43" s="1" t="s">
        <v>108</v>
      </c>
      <c r="B43">
        <v>2256.27</v>
      </c>
      <c r="C43">
        <v>212.2</v>
      </c>
      <c r="D43">
        <v>136.91</v>
      </c>
      <c r="E43">
        <v>4132</v>
      </c>
      <c r="F43">
        <v>11243</v>
      </c>
      <c r="G43">
        <v>847</v>
      </c>
      <c r="H43">
        <v>29.295000000000002</v>
      </c>
      <c r="I43">
        <v>3943</v>
      </c>
      <c r="J43">
        <v>655</v>
      </c>
      <c r="K43">
        <v>390.2</v>
      </c>
      <c r="L43">
        <v>4646</v>
      </c>
      <c r="M43">
        <v>277.10000000000002</v>
      </c>
      <c r="N43">
        <v>110.35</v>
      </c>
      <c r="O43">
        <v>4.0919999999999996</v>
      </c>
      <c r="P43">
        <v>155.01</v>
      </c>
      <c r="Q43">
        <v>94.1</v>
      </c>
      <c r="R43">
        <v>960</v>
      </c>
      <c r="S43">
        <v>4.7199999999999999E-2</v>
      </c>
      <c r="T43">
        <v>70.91</v>
      </c>
      <c r="U43">
        <v>2285</v>
      </c>
      <c r="V43">
        <v>9.83</v>
      </c>
      <c r="W43">
        <v>45.42</v>
      </c>
      <c r="X43">
        <v>332.9</v>
      </c>
      <c r="Y43">
        <v>0.66599999999999993</v>
      </c>
      <c r="Z43">
        <v>0.18229999999999999</v>
      </c>
      <c r="AA43">
        <v>141</v>
      </c>
      <c r="AB43">
        <v>844</v>
      </c>
      <c r="AC43">
        <v>0.80020000000000002</v>
      </c>
      <c r="AD43">
        <v>2.8410000000000002</v>
      </c>
      <c r="AE43">
        <v>367</v>
      </c>
      <c r="AF43">
        <v>409.5</v>
      </c>
      <c r="AG43">
        <v>78</v>
      </c>
      <c r="AH43">
        <v>103.65</v>
      </c>
      <c r="AI43">
        <v>6.3</v>
      </c>
      <c r="AJ43">
        <v>4297</v>
      </c>
      <c r="AK43">
        <v>2.3050000000000002</v>
      </c>
      <c r="AL43">
        <v>103.1</v>
      </c>
      <c r="AM43">
        <v>2235</v>
      </c>
      <c r="AN43">
        <v>16440</v>
      </c>
      <c r="AO43">
        <v>55.5</v>
      </c>
      <c r="AP43">
        <v>1040</v>
      </c>
      <c r="AQ43">
        <v>517</v>
      </c>
      <c r="AR43">
        <v>110.4</v>
      </c>
      <c r="AS43">
        <v>49.85</v>
      </c>
      <c r="AT43">
        <v>0.68400000000000005</v>
      </c>
      <c r="AU43">
        <v>51.25</v>
      </c>
      <c r="AV43">
        <v>105.28</v>
      </c>
      <c r="AW43">
        <v>0.39269999999999999</v>
      </c>
      <c r="AX43">
        <v>381</v>
      </c>
    </row>
    <row r="44" spans="1:50" x14ac:dyDescent="0.2">
      <c r="A44" s="1" t="s">
        <v>109</v>
      </c>
      <c r="B44">
        <v>2245.94</v>
      </c>
      <c r="C44">
        <v>210.4</v>
      </c>
      <c r="D44">
        <v>134.4</v>
      </c>
      <c r="E44">
        <v>4135</v>
      </c>
      <c r="F44">
        <v>11224</v>
      </c>
      <c r="G44">
        <v>832.3</v>
      </c>
      <c r="H44">
        <v>28.85</v>
      </c>
      <c r="I44">
        <v>3806</v>
      </c>
      <c r="J44">
        <v>661.45</v>
      </c>
      <c r="K44">
        <v>392.75</v>
      </c>
      <c r="L44">
        <v>4599</v>
      </c>
      <c r="M44">
        <v>272.89999999999998</v>
      </c>
      <c r="N44">
        <v>109.87</v>
      </c>
      <c r="O44">
        <v>4.1154999999999999</v>
      </c>
      <c r="P44">
        <v>157.44</v>
      </c>
      <c r="Q44">
        <v>98</v>
      </c>
      <c r="R44">
        <v>960.5</v>
      </c>
      <c r="S44">
        <v>4.6960000000000002E-2</v>
      </c>
      <c r="T44">
        <v>70.3</v>
      </c>
      <c r="U44">
        <v>2286</v>
      </c>
      <c r="V44">
        <v>9.64</v>
      </c>
      <c r="W44">
        <v>45.295000000000002</v>
      </c>
      <c r="X44">
        <v>335.6</v>
      </c>
      <c r="Y44">
        <v>0.67130000000000001</v>
      </c>
      <c r="Z44">
        <v>0.18190000000000001</v>
      </c>
      <c r="AA44">
        <v>140.55000000000001</v>
      </c>
      <c r="AB44">
        <v>835.5</v>
      </c>
      <c r="AC44">
        <v>0.79559999999999997</v>
      </c>
      <c r="AD44">
        <v>2.8490000000000002</v>
      </c>
      <c r="AE44">
        <v>375.5</v>
      </c>
      <c r="AF44">
        <v>406.3</v>
      </c>
      <c r="AG44">
        <v>77.349999999999994</v>
      </c>
      <c r="AH44">
        <v>102.7</v>
      </c>
      <c r="AI44">
        <v>6.34</v>
      </c>
      <c r="AJ44">
        <v>4297</v>
      </c>
      <c r="AK44">
        <v>2.2549999999999999</v>
      </c>
      <c r="AL44">
        <v>103.3</v>
      </c>
      <c r="AM44">
        <v>2268</v>
      </c>
      <c r="AN44">
        <v>16550</v>
      </c>
      <c r="AO44">
        <v>55.5</v>
      </c>
      <c r="AP44">
        <v>1040</v>
      </c>
      <c r="AQ44">
        <v>519</v>
      </c>
      <c r="AR44">
        <v>110.7</v>
      </c>
      <c r="AS44">
        <v>49.85</v>
      </c>
      <c r="AT44">
        <v>0.68900000000000006</v>
      </c>
      <c r="AU44">
        <v>51.7</v>
      </c>
      <c r="AV44">
        <v>105.2</v>
      </c>
      <c r="AW44">
        <v>0.39439999999999997</v>
      </c>
      <c r="AX44">
        <v>390</v>
      </c>
    </row>
    <row r="45" spans="1:50" x14ac:dyDescent="0.2">
      <c r="A45" s="1" t="s">
        <v>110</v>
      </c>
      <c r="B45">
        <v>2249.6799999999998</v>
      </c>
      <c r="C45">
        <v>214.43</v>
      </c>
      <c r="D45">
        <v>136.76</v>
      </c>
      <c r="E45">
        <v>4125</v>
      </c>
      <c r="F45">
        <v>11222</v>
      </c>
      <c r="G45">
        <v>827.8</v>
      </c>
      <c r="H45">
        <v>28.434999999999999</v>
      </c>
      <c r="I45">
        <v>3873</v>
      </c>
      <c r="J45">
        <v>656.65</v>
      </c>
      <c r="K45">
        <v>390.8</v>
      </c>
      <c r="L45">
        <v>4572</v>
      </c>
      <c r="M45">
        <v>264.75</v>
      </c>
      <c r="N45">
        <v>111.6</v>
      </c>
      <c r="O45">
        <v>4.1310000000000002</v>
      </c>
      <c r="P45">
        <v>157.74</v>
      </c>
      <c r="Q45">
        <v>98.5</v>
      </c>
      <c r="R45">
        <v>961.7</v>
      </c>
      <c r="S45">
        <v>4.6600000000000003E-2</v>
      </c>
      <c r="T45">
        <v>70.28</v>
      </c>
      <c r="U45">
        <v>2291</v>
      </c>
      <c r="V45">
        <v>8.8049999999999997</v>
      </c>
      <c r="W45">
        <v>44.704999999999998</v>
      </c>
      <c r="X45">
        <v>318.2</v>
      </c>
      <c r="Y45">
        <v>0.68920000000000003</v>
      </c>
      <c r="Z45">
        <v>0.1847</v>
      </c>
      <c r="AA45">
        <v>140.55000000000001</v>
      </c>
      <c r="AB45">
        <v>833</v>
      </c>
      <c r="AC45">
        <v>0.79330000000000001</v>
      </c>
      <c r="AD45">
        <v>2.851</v>
      </c>
      <c r="AE45">
        <v>361.5</v>
      </c>
      <c r="AF45">
        <v>403</v>
      </c>
      <c r="AG45">
        <v>78.8</v>
      </c>
      <c r="AH45">
        <v>99.45</v>
      </c>
      <c r="AI45">
        <v>6.3550000000000004</v>
      </c>
      <c r="AJ45">
        <v>4291</v>
      </c>
      <c r="AK45">
        <v>2.2574999999999998</v>
      </c>
      <c r="AL45">
        <v>102.55</v>
      </c>
      <c r="AM45">
        <v>2150</v>
      </c>
      <c r="AN45">
        <v>16470</v>
      </c>
      <c r="AO45">
        <v>54.6</v>
      </c>
      <c r="AP45">
        <v>1040</v>
      </c>
      <c r="AQ45">
        <v>530</v>
      </c>
      <c r="AR45">
        <v>108.1</v>
      </c>
      <c r="AS45">
        <v>49.9</v>
      </c>
      <c r="AT45">
        <v>0.68299999999999994</v>
      </c>
      <c r="AU45">
        <v>52</v>
      </c>
      <c r="AV45">
        <v>103.49</v>
      </c>
      <c r="AW45">
        <v>0.3896</v>
      </c>
      <c r="AX45">
        <v>398</v>
      </c>
    </row>
    <row r="46" spans="1:50" x14ac:dyDescent="0.2">
      <c r="A46" s="1" t="s">
        <v>111</v>
      </c>
      <c r="B46">
        <v>2236.65</v>
      </c>
      <c r="C46">
        <v>202.51</v>
      </c>
      <c r="D46">
        <v>137.1</v>
      </c>
      <c r="E46">
        <v>4140</v>
      </c>
      <c r="F46">
        <v>11285</v>
      </c>
      <c r="G46">
        <v>829.1</v>
      </c>
      <c r="H46">
        <v>28.3</v>
      </c>
      <c r="I46">
        <v>3890</v>
      </c>
      <c r="J46">
        <v>672.65</v>
      </c>
      <c r="K46">
        <v>393.95</v>
      </c>
      <c r="L46">
        <v>4550</v>
      </c>
      <c r="M46">
        <v>264.95</v>
      </c>
      <c r="N46">
        <v>111.64</v>
      </c>
      <c r="O46">
        <v>4.0880000000000001</v>
      </c>
      <c r="P46">
        <v>154.65</v>
      </c>
      <c r="Q46">
        <v>100.1</v>
      </c>
      <c r="R46">
        <v>944</v>
      </c>
      <c r="S46">
        <v>4.6699999999999998E-2</v>
      </c>
      <c r="T46">
        <v>73.95</v>
      </c>
      <c r="U46">
        <v>2303</v>
      </c>
      <c r="V46">
        <v>8.75</v>
      </c>
      <c r="W46">
        <v>43.945</v>
      </c>
      <c r="X46">
        <v>331.8</v>
      </c>
      <c r="Y46">
        <v>0.68740000000000001</v>
      </c>
      <c r="Z46">
        <v>0.1842</v>
      </c>
      <c r="AA46">
        <v>140.75</v>
      </c>
      <c r="AB46">
        <v>840</v>
      </c>
      <c r="AC46">
        <v>0.78700000000000003</v>
      </c>
      <c r="AD46">
        <v>2.867</v>
      </c>
      <c r="AE46">
        <v>359</v>
      </c>
      <c r="AF46">
        <v>405.7</v>
      </c>
      <c r="AG46">
        <v>77.400000000000006</v>
      </c>
      <c r="AH46">
        <v>95.85</v>
      </c>
      <c r="AI46">
        <v>6.31</v>
      </c>
      <c r="AJ46">
        <v>4303</v>
      </c>
      <c r="AK46">
        <v>2.2965</v>
      </c>
      <c r="AL46">
        <v>102.5</v>
      </c>
      <c r="AM46">
        <v>2162</v>
      </c>
      <c r="AN46">
        <v>16420</v>
      </c>
      <c r="AO46">
        <v>55.2</v>
      </c>
      <c r="AP46">
        <v>1035</v>
      </c>
      <c r="AQ46">
        <v>540</v>
      </c>
      <c r="AR46">
        <v>107.5</v>
      </c>
      <c r="AS46">
        <v>50.1</v>
      </c>
      <c r="AT46">
        <v>0.68599999999999994</v>
      </c>
      <c r="AU46">
        <v>53</v>
      </c>
      <c r="AV46">
        <v>103.5</v>
      </c>
      <c r="AW46">
        <v>0.38990000000000002</v>
      </c>
      <c r="AX46">
        <v>397</v>
      </c>
    </row>
    <row r="47" spans="1:50" x14ac:dyDescent="0.2">
      <c r="A47" s="1" t="s">
        <v>112</v>
      </c>
      <c r="B47">
        <v>2231.0300000000002</v>
      </c>
      <c r="C47">
        <v>199.91</v>
      </c>
      <c r="D47">
        <v>138.07</v>
      </c>
      <c r="E47">
        <v>4154</v>
      </c>
      <c r="F47">
        <v>11222</v>
      </c>
      <c r="G47">
        <v>833.3</v>
      </c>
      <c r="H47">
        <v>28.39</v>
      </c>
      <c r="I47">
        <v>3894</v>
      </c>
      <c r="J47">
        <v>660.45</v>
      </c>
      <c r="K47">
        <v>389.3</v>
      </c>
      <c r="L47">
        <v>4615</v>
      </c>
      <c r="M47">
        <v>262</v>
      </c>
      <c r="N47">
        <v>110.55</v>
      </c>
      <c r="O47">
        <v>4.0510000000000002</v>
      </c>
      <c r="P47">
        <v>154.94</v>
      </c>
      <c r="Q47">
        <v>98.73</v>
      </c>
      <c r="R47">
        <v>942.4</v>
      </c>
      <c r="S47">
        <v>4.6899999999999997E-2</v>
      </c>
      <c r="T47">
        <v>73.59</v>
      </c>
      <c r="U47">
        <v>2293</v>
      </c>
      <c r="V47">
        <v>8.64</v>
      </c>
      <c r="W47">
        <v>44.344999999999999</v>
      </c>
      <c r="X47">
        <v>332.9</v>
      </c>
      <c r="Y47">
        <v>0.67569999999999997</v>
      </c>
      <c r="Z47">
        <v>0.1835</v>
      </c>
      <c r="AA47">
        <v>140.65</v>
      </c>
      <c r="AB47">
        <v>847.5</v>
      </c>
      <c r="AC47">
        <v>0.79900000000000004</v>
      </c>
      <c r="AD47">
        <v>2.8650000000000002</v>
      </c>
      <c r="AE47">
        <v>354.5</v>
      </c>
      <c r="AF47">
        <v>403.3</v>
      </c>
      <c r="AG47">
        <v>77.2</v>
      </c>
      <c r="AH47">
        <v>97</v>
      </c>
      <c r="AI47">
        <v>6.3150000000000004</v>
      </c>
      <c r="AJ47">
        <v>4318</v>
      </c>
      <c r="AK47">
        <v>2.3039999999999998</v>
      </c>
      <c r="AL47">
        <v>103.9</v>
      </c>
      <c r="AM47">
        <v>2150</v>
      </c>
      <c r="AN47">
        <v>16350</v>
      </c>
      <c r="AO47">
        <v>55.2</v>
      </c>
      <c r="AP47">
        <v>1040</v>
      </c>
      <c r="AQ47">
        <v>550</v>
      </c>
      <c r="AR47">
        <v>107.5</v>
      </c>
      <c r="AS47">
        <v>49.95</v>
      </c>
      <c r="AT47">
        <v>0.68</v>
      </c>
      <c r="AU47">
        <v>53</v>
      </c>
      <c r="AV47">
        <v>102.5</v>
      </c>
      <c r="AW47">
        <v>0.39150000000000001</v>
      </c>
      <c r="AX47">
        <v>387</v>
      </c>
    </row>
    <row r="48" spans="1:50" x14ac:dyDescent="0.2">
      <c r="A48" s="1" t="s">
        <v>113</v>
      </c>
      <c r="B48">
        <v>2253.6</v>
      </c>
      <c r="C48">
        <v>207.95</v>
      </c>
      <c r="D48">
        <v>139</v>
      </c>
      <c r="E48">
        <v>4222</v>
      </c>
      <c r="F48">
        <v>11100</v>
      </c>
      <c r="G48">
        <v>840.9</v>
      </c>
      <c r="H48">
        <v>28.39</v>
      </c>
      <c r="I48">
        <v>3880</v>
      </c>
      <c r="J48">
        <v>674.15</v>
      </c>
      <c r="K48">
        <v>394.6</v>
      </c>
      <c r="L48">
        <v>4609</v>
      </c>
      <c r="M48">
        <v>266.7</v>
      </c>
      <c r="N48">
        <v>110.38</v>
      </c>
      <c r="O48">
        <v>4.07</v>
      </c>
      <c r="P48">
        <v>153.69999999999999</v>
      </c>
      <c r="Q48">
        <v>98.2</v>
      </c>
      <c r="R48">
        <v>925.3</v>
      </c>
      <c r="S48">
        <v>4.7350000000000003E-2</v>
      </c>
      <c r="T48">
        <v>72.69</v>
      </c>
      <c r="U48">
        <v>2264</v>
      </c>
      <c r="V48">
        <v>8.58</v>
      </c>
      <c r="W48">
        <v>43.68</v>
      </c>
      <c r="X48">
        <v>332.6</v>
      </c>
      <c r="Y48">
        <v>0.67910000000000004</v>
      </c>
      <c r="Z48">
        <v>0.18534999999999999</v>
      </c>
      <c r="AA48">
        <v>141.15</v>
      </c>
      <c r="AB48">
        <v>846</v>
      </c>
      <c r="AC48">
        <v>0.80940000000000001</v>
      </c>
      <c r="AD48">
        <v>2.8730000000000002</v>
      </c>
      <c r="AE48">
        <v>353.5</v>
      </c>
      <c r="AF48">
        <v>402</v>
      </c>
      <c r="AG48">
        <v>77.599999999999994</v>
      </c>
      <c r="AH48">
        <v>96.3</v>
      </c>
      <c r="AI48">
        <v>6.335</v>
      </c>
      <c r="AJ48">
        <v>4362</v>
      </c>
      <c r="AK48">
        <v>2.34</v>
      </c>
      <c r="AL48">
        <v>103.7</v>
      </c>
      <c r="AM48">
        <v>2135</v>
      </c>
      <c r="AN48">
        <v>16390</v>
      </c>
      <c r="AO48">
        <v>55</v>
      </c>
      <c r="AP48">
        <v>1040</v>
      </c>
      <c r="AQ48">
        <v>542</v>
      </c>
      <c r="AR48">
        <v>107.4</v>
      </c>
      <c r="AS48">
        <v>50.3</v>
      </c>
      <c r="AT48">
        <v>0.68</v>
      </c>
      <c r="AU48">
        <v>53.05</v>
      </c>
      <c r="AV48">
        <v>100.18</v>
      </c>
      <c r="AW48">
        <v>0.3952</v>
      </c>
      <c r="AX48">
        <v>389</v>
      </c>
    </row>
    <row r="49" spans="1:50" x14ac:dyDescent="0.2">
      <c r="A49" s="1" t="s">
        <v>114</v>
      </c>
      <c r="B49">
        <v>2250.2600000000002</v>
      </c>
      <c r="C49">
        <v>208.5</v>
      </c>
      <c r="D49">
        <v>138.76</v>
      </c>
      <c r="E49">
        <v>4230.5</v>
      </c>
      <c r="F49">
        <v>11115</v>
      </c>
      <c r="G49">
        <v>845</v>
      </c>
      <c r="H49">
        <v>28.254999999999999</v>
      </c>
      <c r="I49">
        <v>4108</v>
      </c>
      <c r="J49">
        <v>658</v>
      </c>
      <c r="K49">
        <v>396.5</v>
      </c>
      <c r="L49">
        <v>4610</v>
      </c>
      <c r="M49">
        <v>267.35000000000002</v>
      </c>
      <c r="N49">
        <v>109.62</v>
      </c>
      <c r="O49">
        <v>4.0664999999999996</v>
      </c>
      <c r="P49">
        <v>148.59</v>
      </c>
      <c r="Q49">
        <v>98.9</v>
      </c>
      <c r="R49">
        <v>910.4</v>
      </c>
      <c r="S49">
        <v>4.7829999999999998E-2</v>
      </c>
      <c r="T49">
        <v>72.650000000000006</v>
      </c>
      <c r="U49">
        <v>2280</v>
      </c>
      <c r="V49">
        <v>8.6449999999999996</v>
      </c>
      <c r="W49">
        <v>42.23</v>
      </c>
      <c r="X49">
        <v>333.7</v>
      </c>
      <c r="Y49">
        <v>0.67290000000000005</v>
      </c>
      <c r="Z49">
        <v>0.18484999999999999</v>
      </c>
      <c r="AA49">
        <v>139.80000000000001</v>
      </c>
      <c r="AB49">
        <v>849</v>
      </c>
      <c r="AC49">
        <v>0.79810000000000003</v>
      </c>
      <c r="AD49">
        <v>2.871</v>
      </c>
      <c r="AE49">
        <v>352.5</v>
      </c>
      <c r="AF49">
        <v>402.5</v>
      </c>
      <c r="AG49">
        <v>77.7</v>
      </c>
      <c r="AH49">
        <v>96.05</v>
      </c>
      <c r="AI49">
        <v>6.2</v>
      </c>
      <c r="AJ49">
        <v>4345</v>
      </c>
      <c r="AK49">
        <v>2.2970000000000002</v>
      </c>
      <c r="AL49">
        <v>103.15</v>
      </c>
      <c r="AM49">
        <v>2143</v>
      </c>
      <c r="AN49">
        <v>16450</v>
      </c>
      <c r="AO49">
        <v>54.7</v>
      </c>
      <c r="AP49">
        <v>1040</v>
      </c>
      <c r="AQ49">
        <v>536</v>
      </c>
      <c r="AR49">
        <v>107.6</v>
      </c>
      <c r="AS49">
        <v>50</v>
      </c>
      <c r="AT49">
        <v>0.68700000000000006</v>
      </c>
      <c r="AU49">
        <v>53</v>
      </c>
      <c r="AV49">
        <v>102.6</v>
      </c>
      <c r="AW49">
        <v>0.39729999999999999</v>
      </c>
      <c r="AX49">
        <v>389</v>
      </c>
    </row>
    <row r="50" spans="1:50" x14ac:dyDescent="0.2">
      <c r="A50" s="1" t="s">
        <v>115</v>
      </c>
      <c r="B50">
        <v>2295.9499999999998</v>
      </c>
      <c r="C50">
        <v>218</v>
      </c>
      <c r="D50">
        <v>141.01</v>
      </c>
      <c r="E50">
        <v>4350</v>
      </c>
      <c r="F50">
        <v>11399</v>
      </c>
      <c r="G50">
        <v>852.8</v>
      </c>
      <c r="H50">
        <v>28.48</v>
      </c>
      <c r="I50">
        <v>4206</v>
      </c>
      <c r="J50">
        <v>675.95</v>
      </c>
      <c r="K50">
        <v>396.15</v>
      </c>
      <c r="L50">
        <v>4600</v>
      </c>
      <c r="M50">
        <v>278.10000000000002</v>
      </c>
      <c r="N50">
        <v>108.58</v>
      </c>
      <c r="O50">
        <v>4.0999999999999996</v>
      </c>
      <c r="P50">
        <v>151.84</v>
      </c>
      <c r="Q50">
        <v>100</v>
      </c>
      <c r="R50">
        <v>930.1</v>
      </c>
      <c r="S50">
        <v>4.8009999999999997E-2</v>
      </c>
      <c r="T50">
        <v>73.22</v>
      </c>
      <c r="U50">
        <v>2270</v>
      </c>
      <c r="V50">
        <v>8.81</v>
      </c>
      <c r="W50">
        <v>42.55</v>
      </c>
      <c r="X50">
        <v>334</v>
      </c>
      <c r="Y50">
        <v>0.67559999999999998</v>
      </c>
      <c r="Z50">
        <v>0.1875</v>
      </c>
      <c r="AA50">
        <v>139.80000000000001</v>
      </c>
      <c r="AB50">
        <v>849</v>
      </c>
      <c r="AC50">
        <v>0.79099999999999993</v>
      </c>
      <c r="AD50">
        <v>2.907</v>
      </c>
      <c r="AE50">
        <v>350</v>
      </c>
      <c r="AF50">
        <v>404.8</v>
      </c>
      <c r="AG50">
        <v>76.150000000000006</v>
      </c>
      <c r="AH50">
        <v>98.05</v>
      </c>
      <c r="AI50">
        <v>6.5</v>
      </c>
      <c r="AJ50">
        <v>4350</v>
      </c>
      <c r="AK50">
        <v>2.3420000000000001</v>
      </c>
      <c r="AL50">
        <v>104.05</v>
      </c>
      <c r="AM50">
        <v>2148</v>
      </c>
      <c r="AN50">
        <v>16420</v>
      </c>
      <c r="AO50">
        <v>55.2</v>
      </c>
      <c r="AP50">
        <v>1040</v>
      </c>
      <c r="AQ50">
        <v>517</v>
      </c>
      <c r="AR50">
        <v>107</v>
      </c>
      <c r="AS50">
        <v>50.1</v>
      </c>
      <c r="AT50">
        <v>0.69200000000000006</v>
      </c>
      <c r="AU50">
        <v>53.85</v>
      </c>
      <c r="AV50">
        <v>102.41</v>
      </c>
      <c r="AW50">
        <v>0.3916</v>
      </c>
      <c r="AX50">
        <v>390</v>
      </c>
    </row>
    <row r="51" spans="1:50" x14ac:dyDescent="0.2">
      <c r="A51" s="1" t="s">
        <v>116</v>
      </c>
      <c r="B51">
        <v>2319.31</v>
      </c>
      <c r="C51">
        <v>221.01</v>
      </c>
      <c r="D51">
        <v>144</v>
      </c>
      <c r="E51">
        <v>4376</v>
      </c>
      <c r="F51">
        <v>11600</v>
      </c>
      <c r="G51">
        <v>879.3</v>
      </c>
      <c r="H51">
        <v>28.645</v>
      </c>
      <c r="I51">
        <v>4170</v>
      </c>
      <c r="J51">
        <v>677.2</v>
      </c>
      <c r="K51">
        <v>394.7</v>
      </c>
      <c r="L51">
        <v>4623</v>
      </c>
      <c r="M51">
        <v>284.10000000000002</v>
      </c>
      <c r="N51">
        <v>107.86</v>
      </c>
      <c r="O51">
        <v>4.0715000000000003</v>
      </c>
      <c r="P51">
        <v>154.69999999999999</v>
      </c>
      <c r="Q51">
        <v>102.3</v>
      </c>
      <c r="R51">
        <v>931</v>
      </c>
      <c r="S51">
        <v>4.8329999999999998E-2</v>
      </c>
      <c r="T51">
        <v>74.55</v>
      </c>
      <c r="U51">
        <v>2290</v>
      </c>
      <c r="V51">
        <v>9.08</v>
      </c>
      <c r="W51">
        <v>42.6</v>
      </c>
      <c r="X51">
        <v>335</v>
      </c>
      <c r="Y51">
        <v>0.68159999999999998</v>
      </c>
      <c r="Z51">
        <v>0.18775</v>
      </c>
      <c r="AA51">
        <v>140.15</v>
      </c>
      <c r="AB51">
        <v>847</v>
      </c>
      <c r="AC51">
        <v>0.79530000000000001</v>
      </c>
      <c r="AD51">
        <v>2.8050000000000002</v>
      </c>
      <c r="AE51">
        <v>351</v>
      </c>
      <c r="AF51">
        <v>402.3</v>
      </c>
      <c r="AG51">
        <v>75.900000000000006</v>
      </c>
      <c r="AH51">
        <v>101.35</v>
      </c>
      <c r="AI51">
        <v>6.4850000000000003</v>
      </c>
      <c r="AJ51">
        <v>4350</v>
      </c>
      <c r="AK51">
        <v>2.3384999999999998</v>
      </c>
      <c r="AL51">
        <v>102.95</v>
      </c>
      <c r="AM51">
        <v>2160</v>
      </c>
      <c r="AN51">
        <v>16440</v>
      </c>
      <c r="AO51">
        <v>55.5</v>
      </c>
      <c r="AP51">
        <v>1040</v>
      </c>
      <c r="AQ51">
        <v>510</v>
      </c>
      <c r="AR51">
        <v>105.7</v>
      </c>
      <c r="AS51">
        <v>49.85</v>
      </c>
      <c r="AT51">
        <v>0.68400000000000005</v>
      </c>
      <c r="AU51">
        <v>54.85</v>
      </c>
      <c r="AV51">
        <v>104.45</v>
      </c>
      <c r="AW51">
        <v>0.39410000000000001</v>
      </c>
      <c r="AX51">
        <v>388</v>
      </c>
    </row>
    <row r="52" spans="1:50" x14ac:dyDescent="0.2">
      <c r="A52" s="1" t="s">
        <v>117</v>
      </c>
      <c r="B52">
        <v>2301.65</v>
      </c>
      <c r="C52">
        <v>218.45</v>
      </c>
      <c r="D52">
        <v>142.49</v>
      </c>
      <c r="E52">
        <v>4325</v>
      </c>
      <c r="F52">
        <v>11540</v>
      </c>
      <c r="G52">
        <v>879.9</v>
      </c>
      <c r="H52">
        <v>28.105</v>
      </c>
      <c r="I52">
        <v>4123</v>
      </c>
      <c r="J52">
        <v>678</v>
      </c>
      <c r="K52">
        <v>389.95</v>
      </c>
      <c r="L52">
        <v>4620</v>
      </c>
      <c r="M52">
        <v>281.10000000000002</v>
      </c>
      <c r="N52">
        <v>107.9</v>
      </c>
      <c r="O52">
        <v>4.0489999999999986</v>
      </c>
      <c r="P52">
        <v>153.01</v>
      </c>
      <c r="Q52">
        <v>102.96</v>
      </c>
      <c r="R52">
        <v>934.7</v>
      </c>
      <c r="S52">
        <v>4.8379999999999999E-2</v>
      </c>
      <c r="T52">
        <v>74.05</v>
      </c>
      <c r="U52">
        <v>2272</v>
      </c>
      <c r="V52">
        <v>8.875</v>
      </c>
      <c r="W52">
        <v>42.79</v>
      </c>
      <c r="X52">
        <v>335</v>
      </c>
      <c r="Y52">
        <v>0.68159999999999998</v>
      </c>
      <c r="Z52">
        <v>0.18754999999999999</v>
      </c>
      <c r="AA52">
        <v>143.05000000000001</v>
      </c>
      <c r="AB52">
        <v>843.5</v>
      </c>
      <c r="AC52">
        <v>0.79210000000000003</v>
      </c>
      <c r="AD52">
        <v>2.77</v>
      </c>
      <c r="AE52">
        <v>349</v>
      </c>
      <c r="AF52">
        <v>401</v>
      </c>
      <c r="AG52">
        <v>75.75</v>
      </c>
      <c r="AH52">
        <v>100.4</v>
      </c>
      <c r="AI52">
        <v>6.6</v>
      </c>
      <c r="AJ52">
        <v>4353</v>
      </c>
      <c r="AK52">
        <v>2.2909999999999999</v>
      </c>
      <c r="AL52">
        <v>102</v>
      </c>
      <c r="AM52">
        <v>2132</v>
      </c>
      <c r="AN52">
        <v>16390</v>
      </c>
      <c r="AO52">
        <v>55.4</v>
      </c>
      <c r="AP52">
        <v>1045</v>
      </c>
      <c r="AQ52">
        <v>513</v>
      </c>
      <c r="AR52">
        <v>106</v>
      </c>
      <c r="AS52">
        <v>49.95</v>
      </c>
      <c r="AT52">
        <v>0.68799999999999994</v>
      </c>
      <c r="AU52">
        <v>54.25</v>
      </c>
      <c r="AV52">
        <v>103.64</v>
      </c>
      <c r="AW52">
        <v>0.39319999999999999</v>
      </c>
      <c r="AX52">
        <v>399</v>
      </c>
    </row>
    <row r="53" spans="1:50" x14ac:dyDescent="0.2">
      <c r="A53" s="1" t="s">
        <v>118</v>
      </c>
      <c r="B53">
        <v>2304.06</v>
      </c>
      <c r="C53">
        <v>217.7</v>
      </c>
      <c r="D53">
        <v>142.24</v>
      </c>
      <c r="E53">
        <v>4334.5</v>
      </c>
      <c r="F53">
        <v>11458</v>
      </c>
      <c r="G53">
        <v>874.7</v>
      </c>
      <c r="H53">
        <v>28.085000000000001</v>
      </c>
      <c r="I53">
        <v>4131</v>
      </c>
      <c r="J53">
        <v>684.15</v>
      </c>
      <c r="K53">
        <v>393.25</v>
      </c>
      <c r="L53">
        <v>4630</v>
      </c>
      <c r="M53">
        <v>284</v>
      </c>
      <c r="N53">
        <v>106.11</v>
      </c>
      <c r="O53">
        <v>4.12</v>
      </c>
      <c r="P53">
        <v>151.53</v>
      </c>
      <c r="Q53">
        <v>105.19</v>
      </c>
      <c r="R53">
        <v>930.9</v>
      </c>
      <c r="S53">
        <v>4.8559999999999999E-2</v>
      </c>
      <c r="T53">
        <v>74.900000000000006</v>
      </c>
      <c r="U53">
        <v>2268</v>
      </c>
      <c r="V53">
        <v>9.1199999999999992</v>
      </c>
      <c r="W53">
        <v>43.15</v>
      </c>
      <c r="X53">
        <v>334.5</v>
      </c>
      <c r="Y53">
        <v>0.68440000000000001</v>
      </c>
      <c r="Z53">
        <v>0.188</v>
      </c>
      <c r="AA53">
        <v>140</v>
      </c>
      <c r="AB53">
        <v>853</v>
      </c>
      <c r="AC53">
        <v>0.7893</v>
      </c>
      <c r="AD53">
        <v>2.8460000000000001</v>
      </c>
      <c r="AE53">
        <v>347.5</v>
      </c>
      <c r="AF53">
        <v>403.1</v>
      </c>
      <c r="AG53">
        <v>75.599999999999994</v>
      </c>
      <c r="AH53">
        <v>102</v>
      </c>
      <c r="AI53">
        <v>6.57</v>
      </c>
      <c r="AJ53">
        <v>4353</v>
      </c>
      <c r="AK53">
        <v>2.3119999999999998</v>
      </c>
      <c r="AL53">
        <v>101.35</v>
      </c>
      <c r="AM53">
        <v>2141</v>
      </c>
      <c r="AN53">
        <v>16390</v>
      </c>
      <c r="AO53">
        <v>55.8</v>
      </c>
      <c r="AP53">
        <v>1035</v>
      </c>
      <c r="AQ53">
        <v>502</v>
      </c>
      <c r="AR53">
        <v>106.3</v>
      </c>
      <c r="AS53">
        <v>50</v>
      </c>
      <c r="AT53">
        <v>0.68599999999999994</v>
      </c>
      <c r="AU53">
        <v>55</v>
      </c>
      <c r="AV53">
        <v>104.01</v>
      </c>
      <c r="AW53">
        <v>0.39579999999999999</v>
      </c>
      <c r="AX53">
        <v>380</v>
      </c>
    </row>
    <row r="54" spans="1:50" x14ac:dyDescent="0.2">
      <c r="A54" s="1" t="s">
        <v>119</v>
      </c>
      <c r="B54">
        <v>2346.86</v>
      </c>
      <c r="C54">
        <v>224.54</v>
      </c>
      <c r="D54">
        <v>145.55000000000001</v>
      </c>
      <c r="E54">
        <v>4462</v>
      </c>
      <c r="F54">
        <v>11566</v>
      </c>
      <c r="G54">
        <v>903.7</v>
      </c>
      <c r="H54">
        <v>28.42</v>
      </c>
      <c r="I54">
        <v>4192</v>
      </c>
      <c r="J54">
        <v>686</v>
      </c>
      <c r="K54">
        <v>406.05</v>
      </c>
      <c r="L54">
        <v>4528</v>
      </c>
      <c r="M54">
        <v>288</v>
      </c>
      <c r="N54">
        <v>106.4</v>
      </c>
      <c r="O54">
        <v>4.1339999999999986</v>
      </c>
      <c r="P54">
        <v>154.27000000000001</v>
      </c>
      <c r="Q54">
        <v>107.7</v>
      </c>
      <c r="R54">
        <v>942.3</v>
      </c>
      <c r="S54">
        <v>4.8660000000000002E-2</v>
      </c>
      <c r="T54">
        <v>72.5</v>
      </c>
      <c r="U54">
        <v>2277</v>
      </c>
      <c r="V54">
        <v>9.18</v>
      </c>
      <c r="W54">
        <v>44.534999999999997</v>
      </c>
      <c r="X54">
        <v>335</v>
      </c>
      <c r="Y54">
        <v>0.68400000000000005</v>
      </c>
      <c r="Z54">
        <v>0.19</v>
      </c>
      <c r="AA54">
        <v>129.19999999999999</v>
      </c>
      <c r="AB54">
        <v>844</v>
      </c>
      <c r="AC54">
        <v>0.79159999999999997</v>
      </c>
      <c r="AD54">
        <v>2.895</v>
      </c>
      <c r="AE54">
        <v>343.5</v>
      </c>
      <c r="AF54">
        <v>404.4</v>
      </c>
      <c r="AG54">
        <v>75.5</v>
      </c>
      <c r="AH54">
        <v>105.5</v>
      </c>
      <c r="AI54">
        <v>6.6</v>
      </c>
      <c r="AJ54">
        <v>4379</v>
      </c>
      <c r="AK54">
        <v>2.2919999999999998</v>
      </c>
      <c r="AL54">
        <v>101.7</v>
      </c>
      <c r="AM54">
        <v>2138</v>
      </c>
      <c r="AN54">
        <v>16360</v>
      </c>
      <c r="AO54">
        <v>57.9</v>
      </c>
      <c r="AP54">
        <v>1045</v>
      </c>
      <c r="AQ54">
        <v>500</v>
      </c>
      <c r="AR54">
        <v>105.9</v>
      </c>
      <c r="AS54">
        <v>50</v>
      </c>
      <c r="AT54">
        <v>0.69</v>
      </c>
      <c r="AU54">
        <v>55.9</v>
      </c>
      <c r="AV54">
        <v>103.21</v>
      </c>
      <c r="AW54">
        <v>0.39700000000000002</v>
      </c>
      <c r="AX54">
        <v>395</v>
      </c>
    </row>
    <row r="55" spans="1:50" x14ac:dyDescent="0.2">
      <c r="A55" s="1" t="s">
        <v>120</v>
      </c>
      <c r="B55">
        <v>2345.38</v>
      </c>
      <c r="C55">
        <v>226.71</v>
      </c>
      <c r="D55">
        <v>144.96</v>
      </c>
      <c r="E55">
        <v>4415.5</v>
      </c>
      <c r="F55">
        <v>11698</v>
      </c>
      <c r="G55">
        <v>907.2</v>
      </c>
      <c r="H55">
        <v>28.47</v>
      </c>
      <c r="I55">
        <v>4186</v>
      </c>
      <c r="J55">
        <v>678.75</v>
      </c>
      <c r="K55">
        <v>403.4</v>
      </c>
      <c r="L55">
        <v>4550</v>
      </c>
      <c r="M55">
        <v>276.95</v>
      </c>
      <c r="N55">
        <v>108</v>
      </c>
      <c r="O55">
        <v>4.2080000000000002</v>
      </c>
      <c r="P55">
        <v>154.27000000000001</v>
      </c>
      <c r="Q55">
        <v>105.3</v>
      </c>
      <c r="R55">
        <v>941.9</v>
      </c>
      <c r="S55">
        <v>4.8500000000000001E-2</v>
      </c>
      <c r="T55">
        <v>72.2</v>
      </c>
      <c r="U55">
        <v>2320</v>
      </c>
      <c r="V55">
        <v>9.2249999999999996</v>
      </c>
      <c r="W55">
        <v>44.445</v>
      </c>
      <c r="X55">
        <v>339.4</v>
      </c>
      <c r="Y55">
        <v>0.68</v>
      </c>
      <c r="Z55">
        <v>0.18984999999999999</v>
      </c>
      <c r="AA55">
        <v>129.55000000000001</v>
      </c>
      <c r="AB55">
        <v>850</v>
      </c>
      <c r="AC55">
        <v>0.78420000000000001</v>
      </c>
      <c r="AD55">
        <v>2.899</v>
      </c>
      <c r="AE55">
        <v>340</v>
      </c>
      <c r="AF55">
        <v>403.6</v>
      </c>
      <c r="AG55">
        <v>75.2</v>
      </c>
      <c r="AH55">
        <v>105.9</v>
      </c>
      <c r="AI55">
        <v>6.4950000000000001</v>
      </c>
      <c r="AJ55">
        <v>4383</v>
      </c>
      <c r="AK55">
        <v>2.2995000000000001</v>
      </c>
      <c r="AL55">
        <v>101.45</v>
      </c>
      <c r="AM55">
        <v>2036</v>
      </c>
      <c r="AN55">
        <v>16310</v>
      </c>
      <c r="AO55">
        <v>56.8</v>
      </c>
      <c r="AP55">
        <v>1050</v>
      </c>
      <c r="AQ55">
        <v>499</v>
      </c>
      <c r="AR55">
        <v>106</v>
      </c>
      <c r="AS55">
        <v>50.1</v>
      </c>
      <c r="AT55">
        <v>0.69400000000000006</v>
      </c>
      <c r="AU55">
        <v>57.75</v>
      </c>
      <c r="AV55">
        <v>103.03</v>
      </c>
      <c r="AW55">
        <v>0.39929999999999999</v>
      </c>
      <c r="AX55">
        <v>401</v>
      </c>
    </row>
    <row r="56" spans="1:50" x14ac:dyDescent="0.2">
      <c r="A56" s="1" t="s">
        <v>121</v>
      </c>
      <c r="B56">
        <v>2373.17</v>
      </c>
      <c r="C56">
        <v>230</v>
      </c>
      <c r="D56">
        <v>148</v>
      </c>
      <c r="E56">
        <v>4452</v>
      </c>
      <c r="F56">
        <v>11799</v>
      </c>
      <c r="G56">
        <v>906.2</v>
      </c>
      <c r="H56">
        <v>29</v>
      </c>
      <c r="I56">
        <v>4276</v>
      </c>
      <c r="J56">
        <v>689.95</v>
      </c>
      <c r="K56">
        <v>408.15</v>
      </c>
      <c r="L56">
        <v>4521</v>
      </c>
      <c r="M56">
        <v>278.8</v>
      </c>
      <c r="N56">
        <v>109.9</v>
      </c>
      <c r="O56">
        <v>4.2989999999999986</v>
      </c>
      <c r="P56">
        <v>157.41999999999999</v>
      </c>
      <c r="Q56">
        <v>105.4</v>
      </c>
      <c r="R56">
        <v>962.9</v>
      </c>
      <c r="S56">
        <v>4.9390000000000003E-2</v>
      </c>
      <c r="T56">
        <v>72.77</v>
      </c>
      <c r="U56">
        <v>2359</v>
      </c>
      <c r="V56">
        <v>9.39</v>
      </c>
      <c r="W56">
        <v>45.115000000000002</v>
      </c>
      <c r="X56">
        <v>337.6</v>
      </c>
      <c r="Y56">
        <v>0.6875</v>
      </c>
      <c r="Z56">
        <v>0.191</v>
      </c>
      <c r="AA56">
        <v>128.30000000000001</v>
      </c>
      <c r="AB56">
        <v>784.5</v>
      </c>
      <c r="AC56">
        <v>0.79</v>
      </c>
      <c r="AD56">
        <v>2.875</v>
      </c>
      <c r="AE56">
        <v>338.5</v>
      </c>
      <c r="AF56">
        <v>406.2</v>
      </c>
      <c r="AG56">
        <v>75.3</v>
      </c>
      <c r="AH56">
        <v>107.5</v>
      </c>
      <c r="AI56">
        <v>6.5</v>
      </c>
      <c r="AJ56">
        <v>4373</v>
      </c>
      <c r="AK56">
        <v>2.3980000000000001</v>
      </c>
      <c r="AL56">
        <v>101.35</v>
      </c>
      <c r="AM56">
        <v>2057</v>
      </c>
      <c r="AN56">
        <v>16230</v>
      </c>
      <c r="AO56">
        <v>55</v>
      </c>
      <c r="AP56">
        <v>1055</v>
      </c>
      <c r="AQ56">
        <v>523</v>
      </c>
      <c r="AR56">
        <v>105.9</v>
      </c>
      <c r="AS56">
        <v>50.4</v>
      </c>
      <c r="AT56">
        <v>0.69</v>
      </c>
      <c r="AU56">
        <v>60.45</v>
      </c>
      <c r="AV56">
        <v>105.5</v>
      </c>
      <c r="AW56">
        <v>0.4</v>
      </c>
      <c r="AX56">
        <v>399</v>
      </c>
    </row>
    <row r="57" spans="1:50" x14ac:dyDescent="0.2">
      <c r="A57" s="1" t="s">
        <v>122</v>
      </c>
      <c r="B57">
        <v>2365.17</v>
      </c>
      <c r="C57">
        <v>230.3</v>
      </c>
      <c r="D57">
        <v>147.30000000000001</v>
      </c>
      <c r="E57">
        <v>4355</v>
      </c>
      <c r="F57">
        <v>11725</v>
      </c>
      <c r="G57">
        <v>901.3</v>
      </c>
      <c r="H57">
        <v>29.295000000000002</v>
      </c>
      <c r="I57">
        <v>4220</v>
      </c>
      <c r="J57">
        <v>699.9</v>
      </c>
      <c r="K57">
        <v>413.2</v>
      </c>
      <c r="L57">
        <v>4465</v>
      </c>
      <c r="M57">
        <v>273.75</v>
      </c>
      <c r="N57">
        <v>109.5</v>
      </c>
      <c r="O57">
        <v>4.38</v>
      </c>
      <c r="P57">
        <v>161</v>
      </c>
      <c r="Q57">
        <v>106.5</v>
      </c>
      <c r="R57">
        <v>967</v>
      </c>
      <c r="S57">
        <v>4.9029999999999997E-2</v>
      </c>
      <c r="T57">
        <v>72.5</v>
      </c>
      <c r="U57">
        <v>2349</v>
      </c>
      <c r="V57">
        <v>9.1850000000000005</v>
      </c>
      <c r="W57">
        <v>44.53</v>
      </c>
      <c r="X57">
        <v>338.4</v>
      </c>
      <c r="Y57">
        <v>0.68989999999999996</v>
      </c>
      <c r="Z57">
        <v>0.191</v>
      </c>
      <c r="AA57">
        <v>126.55</v>
      </c>
      <c r="AB57">
        <v>781.5</v>
      </c>
      <c r="AC57">
        <v>0.79759999999999998</v>
      </c>
      <c r="AD57">
        <v>2.8370000000000002</v>
      </c>
      <c r="AE57">
        <v>337</v>
      </c>
      <c r="AF57">
        <v>408.1</v>
      </c>
      <c r="AG57">
        <v>75.599999999999994</v>
      </c>
      <c r="AH57">
        <v>106.3</v>
      </c>
      <c r="AI57">
        <v>6.375</v>
      </c>
      <c r="AJ57">
        <v>4350</v>
      </c>
      <c r="AK57">
        <v>2.4104999999999999</v>
      </c>
      <c r="AL57">
        <v>101.75</v>
      </c>
      <c r="AM57">
        <v>2049</v>
      </c>
      <c r="AN57">
        <v>16160</v>
      </c>
      <c r="AO57">
        <v>53.9</v>
      </c>
      <c r="AP57">
        <v>1060</v>
      </c>
      <c r="AQ57">
        <v>528</v>
      </c>
      <c r="AR57">
        <v>106.1</v>
      </c>
      <c r="AS57">
        <v>50.7</v>
      </c>
      <c r="AT57">
        <v>0.69099999999999995</v>
      </c>
      <c r="AU57">
        <v>62.4</v>
      </c>
      <c r="AV57">
        <v>105.5</v>
      </c>
      <c r="AW57">
        <v>0.40100000000000002</v>
      </c>
      <c r="AX57">
        <v>395</v>
      </c>
    </row>
    <row r="58" spans="1:50" x14ac:dyDescent="0.2">
      <c r="A58" s="1" t="s">
        <v>123</v>
      </c>
      <c r="B58">
        <v>2336.15</v>
      </c>
      <c r="C58">
        <v>227.57</v>
      </c>
      <c r="D58">
        <v>144.77000000000001</v>
      </c>
      <c r="E58">
        <v>4280</v>
      </c>
      <c r="F58">
        <v>11260</v>
      </c>
      <c r="G58">
        <v>909.8</v>
      </c>
      <c r="H58">
        <v>28.945</v>
      </c>
      <c r="I58">
        <v>4226</v>
      </c>
      <c r="J58">
        <v>694</v>
      </c>
      <c r="K58">
        <v>409.85</v>
      </c>
      <c r="L58">
        <v>4446</v>
      </c>
      <c r="M58">
        <v>272.89999999999998</v>
      </c>
      <c r="N58">
        <v>109</v>
      </c>
      <c r="O58">
        <v>4.3605</v>
      </c>
      <c r="P58">
        <v>158.59</v>
      </c>
      <c r="Q58">
        <v>106</v>
      </c>
      <c r="R58">
        <v>955</v>
      </c>
      <c r="S58">
        <v>4.8599999999999997E-2</v>
      </c>
      <c r="T58">
        <v>72.099999999999994</v>
      </c>
      <c r="U58">
        <v>2325</v>
      </c>
      <c r="V58">
        <v>9.08</v>
      </c>
      <c r="W58">
        <v>44.05</v>
      </c>
      <c r="X58">
        <v>342.7</v>
      </c>
      <c r="Y58">
        <v>0.6875</v>
      </c>
      <c r="Z58">
        <v>0.18884999999999999</v>
      </c>
      <c r="AA58">
        <v>124.3</v>
      </c>
      <c r="AB58">
        <v>775</v>
      </c>
      <c r="AC58">
        <v>0.7802</v>
      </c>
      <c r="AD58">
        <v>2.851</v>
      </c>
      <c r="AE58">
        <v>332</v>
      </c>
      <c r="AF58">
        <v>410.1</v>
      </c>
      <c r="AG58">
        <v>74.650000000000006</v>
      </c>
      <c r="AH58">
        <v>103.35</v>
      </c>
      <c r="AI58">
        <v>6.4</v>
      </c>
      <c r="AJ58">
        <v>4350</v>
      </c>
      <c r="AK58">
        <v>2.4175</v>
      </c>
      <c r="AL58">
        <v>101.1</v>
      </c>
      <c r="AM58">
        <v>2039</v>
      </c>
      <c r="AN58">
        <v>16120</v>
      </c>
      <c r="AO58">
        <v>57.1</v>
      </c>
      <c r="AP58">
        <v>1055</v>
      </c>
      <c r="AQ58">
        <v>517</v>
      </c>
      <c r="AR58">
        <v>105</v>
      </c>
      <c r="AS58">
        <v>50.05</v>
      </c>
      <c r="AT58">
        <v>0.68099999999999994</v>
      </c>
      <c r="AU58">
        <v>60.4</v>
      </c>
      <c r="AV58">
        <v>104.53</v>
      </c>
      <c r="AW58">
        <v>0.39100000000000001</v>
      </c>
      <c r="AX58">
        <v>390</v>
      </c>
    </row>
    <row r="59" spans="1:50" x14ac:dyDescent="0.2">
      <c r="A59" s="1" t="s">
        <v>124</v>
      </c>
      <c r="B59">
        <v>2322.06</v>
      </c>
      <c r="C59">
        <v>226.6</v>
      </c>
      <c r="D59">
        <v>145.08000000000001</v>
      </c>
      <c r="E59">
        <v>4236</v>
      </c>
      <c r="F59">
        <v>11359</v>
      </c>
      <c r="G59">
        <v>891.8</v>
      </c>
      <c r="H59">
        <v>28.445</v>
      </c>
      <c r="I59">
        <v>4179</v>
      </c>
      <c r="J59">
        <v>697.05</v>
      </c>
      <c r="K59">
        <v>406.45</v>
      </c>
      <c r="L59">
        <v>4463</v>
      </c>
      <c r="M59">
        <v>270</v>
      </c>
      <c r="N59">
        <v>106.5</v>
      </c>
      <c r="O59">
        <v>4.2439999999999998</v>
      </c>
      <c r="P59">
        <v>155.65</v>
      </c>
      <c r="Q59">
        <v>100.25</v>
      </c>
      <c r="R59">
        <v>960</v>
      </c>
      <c r="S59">
        <v>4.8310000000000013E-2</v>
      </c>
      <c r="T59">
        <v>72.3</v>
      </c>
      <c r="U59">
        <v>2290</v>
      </c>
      <c r="V59">
        <v>9.0649999999999995</v>
      </c>
      <c r="W59">
        <v>44.34</v>
      </c>
      <c r="X59">
        <v>337.9</v>
      </c>
      <c r="Y59">
        <v>0.69</v>
      </c>
      <c r="Z59">
        <v>0.18704999999999999</v>
      </c>
      <c r="AA59">
        <v>124.8</v>
      </c>
      <c r="AB59">
        <v>780</v>
      </c>
      <c r="AC59">
        <v>0.76770000000000005</v>
      </c>
      <c r="AD59">
        <v>2.9</v>
      </c>
      <c r="AE59">
        <v>332</v>
      </c>
      <c r="AF59">
        <v>403.5</v>
      </c>
      <c r="AG59">
        <v>71.8</v>
      </c>
      <c r="AH59">
        <v>104.25</v>
      </c>
      <c r="AI59">
        <v>6.4</v>
      </c>
      <c r="AJ59">
        <v>4386</v>
      </c>
      <c r="AK59">
        <v>2.3815</v>
      </c>
      <c r="AL59">
        <v>100.2</v>
      </c>
      <c r="AM59">
        <v>2070</v>
      </c>
      <c r="AN59">
        <v>16200</v>
      </c>
      <c r="AO59">
        <v>54.1</v>
      </c>
      <c r="AP59">
        <v>1055</v>
      </c>
      <c r="AQ59">
        <v>523</v>
      </c>
      <c r="AR59">
        <v>105.5</v>
      </c>
      <c r="AS59">
        <v>50.2</v>
      </c>
      <c r="AT59">
        <v>0.68099999999999994</v>
      </c>
      <c r="AU59">
        <v>62</v>
      </c>
      <c r="AV59">
        <v>104.4</v>
      </c>
      <c r="AW59">
        <v>0.38629999999999998</v>
      </c>
      <c r="AX59">
        <v>378</v>
      </c>
    </row>
    <row r="60" spans="1:50" x14ac:dyDescent="0.2">
      <c r="A60" s="1" t="s">
        <v>125</v>
      </c>
      <c r="B60">
        <v>2346.4299999999998</v>
      </c>
      <c r="C60">
        <v>229.85</v>
      </c>
      <c r="D60">
        <v>146.87</v>
      </c>
      <c r="E60">
        <v>4319</v>
      </c>
      <c r="F60">
        <v>11398</v>
      </c>
      <c r="G60">
        <v>897.2</v>
      </c>
      <c r="H60">
        <v>28.9</v>
      </c>
      <c r="I60">
        <v>4260</v>
      </c>
      <c r="J60">
        <v>703.7</v>
      </c>
      <c r="K60">
        <v>406.9</v>
      </c>
      <c r="L60">
        <v>4474</v>
      </c>
      <c r="M60">
        <v>269.14999999999998</v>
      </c>
      <c r="N60">
        <v>106.41</v>
      </c>
      <c r="O60">
        <v>4.3144999999999998</v>
      </c>
      <c r="P60">
        <v>158.02000000000001</v>
      </c>
      <c r="Q60">
        <v>101.49</v>
      </c>
      <c r="R60">
        <v>961.6</v>
      </c>
      <c r="S60">
        <v>4.9750000000000003E-2</v>
      </c>
      <c r="T60">
        <v>71.92</v>
      </c>
      <c r="U60">
        <v>2326</v>
      </c>
      <c r="V60">
        <v>9</v>
      </c>
      <c r="W60">
        <v>44.63</v>
      </c>
      <c r="X60">
        <v>344.4</v>
      </c>
      <c r="Y60">
        <v>0.69099999999999995</v>
      </c>
      <c r="Z60">
        <v>0.18915000000000001</v>
      </c>
      <c r="AA60">
        <v>123.25</v>
      </c>
      <c r="AB60">
        <v>780</v>
      </c>
      <c r="AC60">
        <v>0.77210000000000001</v>
      </c>
      <c r="AD60">
        <v>2.8450000000000002</v>
      </c>
      <c r="AE60">
        <v>329.5</v>
      </c>
      <c r="AF60">
        <v>407</v>
      </c>
      <c r="AG60">
        <v>72</v>
      </c>
      <c r="AH60">
        <v>103.5</v>
      </c>
      <c r="AI60">
        <v>6.35</v>
      </c>
      <c r="AJ60">
        <v>4419</v>
      </c>
      <c r="AK60">
        <v>2.4115000000000002</v>
      </c>
      <c r="AL60">
        <v>102.65</v>
      </c>
      <c r="AM60">
        <v>2045</v>
      </c>
      <c r="AN60">
        <v>16340</v>
      </c>
      <c r="AO60">
        <v>55</v>
      </c>
      <c r="AP60">
        <v>1050</v>
      </c>
      <c r="AQ60">
        <v>513</v>
      </c>
      <c r="AR60">
        <v>106.5</v>
      </c>
      <c r="AS60">
        <v>50.1</v>
      </c>
      <c r="AT60">
        <v>0.69</v>
      </c>
      <c r="AU60">
        <v>61.3</v>
      </c>
      <c r="AV60">
        <v>104.8</v>
      </c>
      <c r="AW60">
        <v>0.38069999999999998</v>
      </c>
      <c r="AX60">
        <v>383</v>
      </c>
    </row>
    <row r="61" spans="1:50" x14ac:dyDescent="0.2">
      <c r="A61" s="1" t="s">
        <v>126</v>
      </c>
      <c r="B61">
        <v>2334.1799999999998</v>
      </c>
      <c r="C61">
        <v>227.99</v>
      </c>
      <c r="D61">
        <v>147</v>
      </c>
      <c r="E61">
        <v>4300.5</v>
      </c>
      <c r="F61">
        <v>10680</v>
      </c>
      <c r="G61">
        <v>898</v>
      </c>
      <c r="H61">
        <v>29</v>
      </c>
      <c r="I61">
        <v>4200</v>
      </c>
      <c r="J61">
        <v>699.7</v>
      </c>
      <c r="K61">
        <v>407.3</v>
      </c>
      <c r="L61">
        <v>4457</v>
      </c>
      <c r="M61">
        <v>269.35000000000002</v>
      </c>
      <c r="N61">
        <v>106.2</v>
      </c>
      <c r="O61">
        <v>4.3375000000000004</v>
      </c>
      <c r="P61">
        <v>156.88999999999999</v>
      </c>
      <c r="Q61">
        <v>101</v>
      </c>
      <c r="R61">
        <v>953.1</v>
      </c>
      <c r="S61">
        <v>4.9399999999999999E-2</v>
      </c>
      <c r="T61">
        <v>71.73</v>
      </c>
      <c r="U61">
        <v>2310</v>
      </c>
      <c r="V61">
        <v>9.1150000000000002</v>
      </c>
      <c r="W61">
        <v>44.75</v>
      </c>
      <c r="X61">
        <v>339.2</v>
      </c>
      <c r="Y61">
        <v>0.68969999999999998</v>
      </c>
      <c r="Z61">
        <v>0.189</v>
      </c>
      <c r="AA61">
        <v>123</v>
      </c>
      <c r="AB61">
        <v>779</v>
      </c>
      <c r="AC61">
        <v>0.79579999999999995</v>
      </c>
      <c r="AD61">
        <v>2.8069999999999999</v>
      </c>
      <c r="AE61">
        <v>330</v>
      </c>
      <c r="AF61">
        <v>410.1</v>
      </c>
      <c r="AG61">
        <v>72.349999999999994</v>
      </c>
      <c r="AH61">
        <v>101.75</v>
      </c>
      <c r="AI61">
        <v>6.39</v>
      </c>
      <c r="AJ61">
        <v>4410</v>
      </c>
      <c r="AK61">
        <v>2.4095</v>
      </c>
      <c r="AL61">
        <v>102.85</v>
      </c>
      <c r="AM61">
        <v>2039</v>
      </c>
      <c r="AN61">
        <v>16490</v>
      </c>
      <c r="AO61">
        <v>55.7</v>
      </c>
      <c r="AP61">
        <v>1055</v>
      </c>
      <c r="AQ61">
        <v>517</v>
      </c>
      <c r="AR61">
        <v>107.2</v>
      </c>
      <c r="AS61">
        <v>49.7</v>
      </c>
      <c r="AT61">
        <v>0.71400000000000008</v>
      </c>
      <c r="AU61">
        <v>60.95</v>
      </c>
      <c r="AV61">
        <v>103.72</v>
      </c>
      <c r="AW61">
        <v>0.38200000000000001</v>
      </c>
      <c r="AX61">
        <v>386</v>
      </c>
    </row>
    <row r="62" spans="1:50" x14ac:dyDescent="0.2">
      <c r="A62" s="1" t="s">
        <v>127</v>
      </c>
      <c r="B62">
        <v>2310.92</v>
      </c>
      <c r="C62">
        <v>222.5</v>
      </c>
      <c r="D62">
        <v>145.31</v>
      </c>
      <c r="E62">
        <v>4262.5</v>
      </c>
      <c r="F62">
        <v>10610</v>
      </c>
      <c r="G62">
        <v>886</v>
      </c>
      <c r="H62">
        <v>28.594999999999999</v>
      </c>
      <c r="I62">
        <v>4137</v>
      </c>
      <c r="J62">
        <v>690.05</v>
      </c>
      <c r="K62">
        <v>399.5</v>
      </c>
      <c r="L62">
        <v>4430</v>
      </c>
      <c r="M62">
        <v>270.39999999999998</v>
      </c>
      <c r="N62">
        <v>105.7</v>
      </c>
      <c r="O62">
        <v>4.3624999999999998</v>
      </c>
      <c r="P62">
        <v>157.08000000000001</v>
      </c>
      <c r="Q62">
        <v>100.1</v>
      </c>
      <c r="R62">
        <v>961.3</v>
      </c>
      <c r="S62">
        <v>4.8719999999999999E-2</v>
      </c>
      <c r="T62">
        <v>71.62</v>
      </c>
      <c r="U62">
        <v>2318</v>
      </c>
      <c r="V62">
        <v>9.0399999999999991</v>
      </c>
      <c r="W62">
        <v>44.62</v>
      </c>
      <c r="X62">
        <v>345.2</v>
      </c>
      <c r="Y62">
        <v>0.68389999999999995</v>
      </c>
      <c r="Z62">
        <v>0.17455000000000001</v>
      </c>
      <c r="AA62">
        <v>124.25</v>
      </c>
      <c r="AB62">
        <v>784.5</v>
      </c>
      <c r="AC62">
        <v>0.79500000000000004</v>
      </c>
      <c r="AD62">
        <v>2.83</v>
      </c>
      <c r="AE62">
        <v>327.5</v>
      </c>
      <c r="AF62">
        <v>408.6</v>
      </c>
      <c r="AG62">
        <v>72.75</v>
      </c>
      <c r="AH62">
        <v>99.55</v>
      </c>
      <c r="AI62">
        <v>6.41</v>
      </c>
      <c r="AJ62">
        <v>4414</v>
      </c>
      <c r="AK62">
        <v>2.4159999999999999</v>
      </c>
      <c r="AL62">
        <v>102.85</v>
      </c>
      <c r="AM62">
        <v>2030</v>
      </c>
      <c r="AN62">
        <v>16450</v>
      </c>
      <c r="AO62">
        <v>56.1</v>
      </c>
      <c r="AP62">
        <v>1070</v>
      </c>
      <c r="AQ62">
        <v>516</v>
      </c>
      <c r="AR62">
        <v>108</v>
      </c>
      <c r="AS62">
        <v>49.85</v>
      </c>
      <c r="AT62">
        <v>0.73299999999999998</v>
      </c>
      <c r="AU62">
        <v>61.85</v>
      </c>
      <c r="AV62">
        <v>104.65</v>
      </c>
      <c r="AW62">
        <v>0.38579999999999998</v>
      </c>
      <c r="AX62">
        <v>383</v>
      </c>
    </row>
    <row r="63" spans="1:50" x14ac:dyDescent="0.2">
      <c r="A63" s="1" t="s">
        <v>128</v>
      </c>
      <c r="B63">
        <v>2294.7800000000002</v>
      </c>
      <c r="C63">
        <v>216.28</v>
      </c>
      <c r="D63">
        <v>138.29</v>
      </c>
      <c r="E63">
        <v>4299</v>
      </c>
      <c r="F63">
        <v>10574</v>
      </c>
      <c r="G63">
        <v>893</v>
      </c>
      <c r="H63">
        <v>28.524999999999999</v>
      </c>
      <c r="I63">
        <v>4189</v>
      </c>
      <c r="J63">
        <v>701.45</v>
      </c>
      <c r="K63">
        <v>400.9</v>
      </c>
      <c r="L63">
        <v>4440</v>
      </c>
      <c r="M63">
        <v>269</v>
      </c>
      <c r="N63">
        <v>105.37</v>
      </c>
      <c r="O63">
        <v>4.4065000000000003</v>
      </c>
      <c r="P63">
        <v>161.1</v>
      </c>
      <c r="Q63">
        <v>100.4</v>
      </c>
      <c r="R63">
        <v>980.7</v>
      </c>
      <c r="S63">
        <v>4.8529999999999997E-2</v>
      </c>
      <c r="T63">
        <v>69.97</v>
      </c>
      <c r="U63">
        <v>2343</v>
      </c>
      <c r="V63">
        <v>8.89</v>
      </c>
      <c r="W63">
        <v>44.9</v>
      </c>
      <c r="X63">
        <v>337.4</v>
      </c>
      <c r="Y63">
        <v>0.68979999999999997</v>
      </c>
      <c r="Z63">
        <v>0.17449999999999999</v>
      </c>
      <c r="AA63">
        <v>123</v>
      </c>
      <c r="AB63">
        <v>782.5</v>
      </c>
      <c r="AC63">
        <v>0.78059999999999996</v>
      </c>
      <c r="AD63">
        <v>2.8279999999999998</v>
      </c>
      <c r="AE63">
        <v>331.5</v>
      </c>
      <c r="AF63">
        <v>410</v>
      </c>
      <c r="AG63">
        <v>72.599999999999994</v>
      </c>
      <c r="AH63">
        <v>96.25</v>
      </c>
      <c r="AI63">
        <v>6.3849999999999998</v>
      </c>
      <c r="AJ63">
        <v>4416</v>
      </c>
      <c r="AK63">
        <v>2.3965000000000001</v>
      </c>
      <c r="AL63">
        <v>104.45</v>
      </c>
      <c r="AM63">
        <v>2037</v>
      </c>
      <c r="AN63">
        <v>16590</v>
      </c>
      <c r="AO63">
        <v>55.4</v>
      </c>
      <c r="AP63">
        <v>1130</v>
      </c>
      <c r="AQ63">
        <v>508</v>
      </c>
      <c r="AR63">
        <v>112</v>
      </c>
      <c r="AS63">
        <v>49.85</v>
      </c>
      <c r="AT63">
        <v>0.73</v>
      </c>
      <c r="AU63">
        <v>61</v>
      </c>
      <c r="AV63">
        <v>103.1</v>
      </c>
      <c r="AW63">
        <v>0.38140000000000002</v>
      </c>
      <c r="AX63">
        <v>382</v>
      </c>
    </row>
    <row r="64" spans="1:50" x14ac:dyDescent="0.2">
      <c r="A64" s="1" t="s">
        <v>129</v>
      </c>
      <c r="B64">
        <v>2269.4499999999998</v>
      </c>
      <c r="C64">
        <v>207.5</v>
      </c>
      <c r="D64">
        <v>137.58000000000001</v>
      </c>
      <c r="E64">
        <v>4334</v>
      </c>
      <c r="F64">
        <v>10350</v>
      </c>
      <c r="G64">
        <v>890.8</v>
      </c>
      <c r="H64">
        <v>28.594999999999999</v>
      </c>
      <c r="I64">
        <v>4149</v>
      </c>
      <c r="J64">
        <v>704.95</v>
      </c>
      <c r="K64">
        <v>400.5</v>
      </c>
      <c r="L64">
        <v>4342</v>
      </c>
      <c r="M64">
        <v>268.3</v>
      </c>
      <c r="N64">
        <v>104.82</v>
      </c>
      <c r="O64">
        <v>4.3825000000000003</v>
      </c>
      <c r="P64">
        <v>159.88</v>
      </c>
      <c r="Q64">
        <v>96.24</v>
      </c>
      <c r="R64">
        <v>984</v>
      </c>
      <c r="S64">
        <v>4.7840000000000001E-2</v>
      </c>
      <c r="T64">
        <v>68.599999999999994</v>
      </c>
      <c r="U64">
        <v>2328</v>
      </c>
      <c r="V64">
        <v>8.7850000000000001</v>
      </c>
      <c r="W64">
        <v>43.225000000000001</v>
      </c>
      <c r="X64">
        <v>339.9</v>
      </c>
      <c r="Y64">
        <v>0.68120000000000003</v>
      </c>
      <c r="Z64">
        <v>0.1734</v>
      </c>
      <c r="AA64">
        <v>121</v>
      </c>
      <c r="AB64">
        <v>772</v>
      </c>
      <c r="AC64">
        <v>0.79059999999999997</v>
      </c>
      <c r="AD64">
        <v>2.82</v>
      </c>
      <c r="AE64">
        <v>330</v>
      </c>
      <c r="AF64">
        <v>407.4</v>
      </c>
      <c r="AG64">
        <v>72.2</v>
      </c>
      <c r="AH64">
        <v>95.2</v>
      </c>
      <c r="AI64">
        <v>6.27</v>
      </c>
      <c r="AJ64">
        <v>4368</v>
      </c>
      <c r="AK64">
        <v>2.3820000000000001</v>
      </c>
      <c r="AL64">
        <v>102</v>
      </c>
      <c r="AM64">
        <v>2018</v>
      </c>
      <c r="AN64">
        <v>16480</v>
      </c>
      <c r="AO64">
        <v>55.7</v>
      </c>
      <c r="AP64">
        <v>1100</v>
      </c>
      <c r="AQ64">
        <v>507</v>
      </c>
      <c r="AR64">
        <v>111.1</v>
      </c>
      <c r="AS64">
        <v>49.1</v>
      </c>
      <c r="AT64">
        <v>0.71700000000000008</v>
      </c>
      <c r="AU64">
        <v>60.3</v>
      </c>
      <c r="AV64">
        <v>103.57</v>
      </c>
      <c r="AW64">
        <v>0.376</v>
      </c>
      <c r="AX64">
        <v>374</v>
      </c>
    </row>
    <row r="65" spans="1:50" x14ac:dyDescent="0.2">
      <c r="A65" s="1" t="s">
        <v>130</v>
      </c>
      <c r="B65">
        <v>2247.8200000000002</v>
      </c>
      <c r="C65">
        <v>204.34</v>
      </c>
      <c r="D65">
        <v>136.47</v>
      </c>
      <c r="E65">
        <v>4300</v>
      </c>
      <c r="F65">
        <v>10255</v>
      </c>
      <c r="G65">
        <v>881.6</v>
      </c>
      <c r="H65">
        <v>28.465</v>
      </c>
      <c r="I65">
        <v>4077</v>
      </c>
      <c r="J65">
        <v>700</v>
      </c>
      <c r="K65">
        <v>393.25</v>
      </c>
      <c r="L65">
        <v>4300</v>
      </c>
      <c r="M65">
        <v>266.3</v>
      </c>
      <c r="N65">
        <v>103.75</v>
      </c>
      <c r="O65">
        <v>4.24</v>
      </c>
      <c r="P65">
        <v>159.46</v>
      </c>
      <c r="Q65">
        <v>96.3</v>
      </c>
      <c r="R65">
        <v>972.5</v>
      </c>
      <c r="S65">
        <v>4.8250000000000001E-2</v>
      </c>
      <c r="T65">
        <v>67.77</v>
      </c>
      <c r="U65">
        <v>2300</v>
      </c>
      <c r="V65">
        <v>8.7100000000000009</v>
      </c>
      <c r="W65">
        <v>42.914999999999999</v>
      </c>
      <c r="X65">
        <v>338.9</v>
      </c>
      <c r="Y65">
        <v>0.67930000000000001</v>
      </c>
      <c r="Z65">
        <v>0.1686</v>
      </c>
      <c r="AA65">
        <v>121.45</v>
      </c>
      <c r="AB65">
        <v>778.5</v>
      </c>
      <c r="AC65">
        <v>0.78299999999999992</v>
      </c>
      <c r="AD65">
        <v>2.82</v>
      </c>
      <c r="AE65">
        <v>326</v>
      </c>
      <c r="AF65">
        <v>409.9</v>
      </c>
      <c r="AG65">
        <v>72.3</v>
      </c>
      <c r="AH65">
        <v>95.5</v>
      </c>
      <c r="AI65">
        <v>6.41</v>
      </c>
      <c r="AJ65">
        <v>4384</v>
      </c>
      <c r="AK65">
        <v>2.3334999999999999</v>
      </c>
      <c r="AL65">
        <v>101.9</v>
      </c>
      <c r="AM65">
        <v>2003</v>
      </c>
      <c r="AN65">
        <v>16380</v>
      </c>
      <c r="AO65">
        <v>57</v>
      </c>
      <c r="AP65">
        <v>1080</v>
      </c>
      <c r="AQ65">
        <v>504</v>
      </c>
      <c r="AR65">
        <v>111.4</v>
      </c>
      <c r="AS65">
        <v>48.5</v>
      </c>
      <c r="AT65">
        <v>0.71</v>
      </c>
      <c r="AU65">
        <v>61.35</v>
      </c>
      <c r="AV65">
        <v>101.71</v>
      </c>
      <c r="AW65">
        <v>0.37240000000000001</v>
      </c>
      <c r="AX65">
        <v>369</v>
      </c>
    </row>
    <row r="66" spans="1:50" x14ac:dyDescent="0.2">
      <c r="A66" s="1" t="s">
        <v>131</v>
      </c>
      <c r="B66">
        <v>2261.25</v>
      </c>
      <c r="C66">
        <v>208.42</v>
      </c>
      <c r="D66">
        <v>138.37</v>
      </c>
      <c r="E66">
        <v>4340</v>
      </c>
      <c r="F66">
        <v>10314</v>
      </c>
      <c r="G66">
        <v>871</v>
      </c>
      <c r="H66">
        <v>28.364999999999998</v>
      </c>
      <c r="I66">
        <v>4142</v>
      </c>
      <c r="J66">
        <v>693.2</v>
      </c>
      <c r="K66">
        <v>394.5</v>
      </c>
      <c r="L66">
        <v>4285</v>
      </c>
      <c r="M66">
        <v>262</v>
      </c>
      <c r="N66">
        <v>104.01</v>
      </c>
      <c r="O66">
        <v>4.2445000000000004</v>
      </c>
      <c r="P66">
        <v>159.41999999999999</v>
      </c>
      <c r="Q66">
        <v>95.9</v>
      </c>
      <c r="R66">
        <v>983</v>
      </c>
      <c r="S66">
        <v>4.8239999999999998E-2</v>
      </c>
      <c r="T66">
        <v>67.87</v>
      </c>
      <c r="U66">
        <v>2303</v>
      </c>
      <c r="V66">
        <v>8.7349999999999994</v>
      </c>
      <c r="W66">
        <v>43.185000000000002</v>
      </c>
      <c r="X66">
        <v>342.1</v>
      </c>
      <c r="Y66">
        <v>0.67320000000000002</v>
      </c>
      <c r="Z66">
        <v>0.16994999999999999</v>
      </c>
      <c r="AA66">
        <v>123.8</v>
      </c>
      <c r="AB66">
        <v>779.5</v>
      </c>
      <c r="AC66">
        <v>0.79110000000000003</v>
      </c>
      <c r="AD66">
        <v>2.8050000000000002</v>
      </c>
      <c r="AE66">
        <v>331</v>
      </c>
      <c r="AF66">
        <v>407.2</v>
      </c>
      <c r="AG66">
        <v>72.150000000000006</v>
      </c>
      <c r="AH66">
        <v>97.1</v>
      </c>
      <c r="AI66">
        <v>6.6349999999999998</v>
      </c>
      <c r="AJ66">
        <v>4381</v>
      </c>
      <c r="AK66">
        <v>2.3744999999999998</v>
      </c>
      <c r="AL66">
        <v>103</v>
      </c>
      <c r="AM66">
        <v>2015</v>
      </c>
      <c r="AN66">
        <v>16480</v>
      </c>
      <c r="AO66">
        <v>57.3</v>
      </c>
      <c r="AP66">
        <v>1085</v>
      </c>
      <c r="AQ66">
        <v>506</v>
      </c>
      <c r="AR66">
        <v>108.6</v>
      </c>
      <c r="AS66">
        <v>48.6</v>
      </c>
      <c r="AT66">
        <v>0.72199999999999998</v>
      </c>
      <c r="AU66">
        <v>61.05</v>
      </c>
      <c r="AV66">
        <v>102.4</v>
      </c>
      <c r="AW66">
        <v>0.37069999999999997</v>
      </c>
      <c r="AX66">
        <v>366</v>
      </c>
    </row>
    <row r="67" spans="1:50" x14ac:dyDescent="0.2">
      <c r="A67" s="1" t="s">
        <v>132</v>
      </c>
      <c r="B67">
        <v>2278.3000000000002</v>
      </c>
      <c r="C67">
        <v>215.45</v>
      </c>
      <c r="D67">
        <v>138.85</v>
      </c>
      <c r="E67">
        <v>4322</v>
      </c>
      <c r="F67">
        <v>10760</v>
      </c>
      <c r="G67">
        <v>875</v>
      </c>
      <c r="H67">
        <v>28.23</v>
      </c>
      <c r="I67">
        <v>4292</v>
      </c>
      <c r="J67">
        <v>691.7</v>
      </c>
      <c r="K67">
        <v>394.9</v>
      </c>
      <c r="L67">
        <v>4180</v>
      </c>
      <c r="M67">
        <v>263.55</v>
      </c>
      <c r="N67">
        <v>103.1</v>
      </c>
      <c r="O67">
        <v>4.2300000000000004</v>
      </c>
      <c r="P67">
        <v>162.75</v>
      </c>
      <c r="Q67">
        <v>95.5</v>
      </c>
      <c r="R67">
        <v>989.9</v>
      </c>
      <c r="S67">
        <v>4.8219999999999999E-2</v>
      </c>
      <c r="T67">
        <v>68.349999999999994</v>
      </c>
      <c r="U67">
        <v>2286</v>
      </c>
      <c r="V67">
        <v>8.74</v>
      </c>
      <c r="W67">
        <v>44.57</v>
      </c>
      <c r="X67">
        <v>343.4</v>
      </c>
      <c r="Y67">
        <v>0.67390000000000005</v>
      </c>
      <c r="Z67">
        <v>0.17125000000000001</v>
      </c>
      <c r="AA67">
        <v>122.15</v>
      </c>
      <c r="AB67">
        <v>778</v>
      </c>
      <c r="AC67">
        <v>0.78210000000000002</v>
      </c>
      <c r="AD67">
        <v>2.8</v>
      </c>
      <c r="AE67">
        <v>329</v>
      </c>
      <c r="AF67">
        <v>405.5</v>
      </c>
      <c r="AG67">
        <v>72.25</v>
      </c>
      <c r="AH67">
        <v>96</v>
      </c>
      <c r="AI67">
        <v>6.41</v>
      </c>
      <c r="AJ67">
        <v>4404</v>
      </c>
      <c r="AK67">
        <v>2.3839999999999999</v>
      </c>
      <c r="AL67">
        <v>101.9</v>
      </c>
      <c r="AM67">
        <v>1995</v>
      </c>
      <c r="AN67">
        <v>16700</v>
      </c>
      <c r="AO67">
        <v>56.7</v>
      </c>
      <c r="AP67">
        <v>1120</v>
      </c>
      <c r="AQ67">
        <v>498</v>
      </c>
      <c r="AR67">
        <v>111.2</v>
      </c>
      <c r="AS67">
        <v>48.9</v>
      </c>
      <c r="AT67">
        <v>0.72099999999999997</v>
      </c>
      <c r="AU67">
        <v>62.1</v>
      </c>
      <c r="AV67">
        <v>98.6</v>
      </c>
      <c r="AW67">
        <v>0.36809999999999998</v>
      </c>
      <c r="AX67">
        <v>364</v>
      </c>
    </row>
    <row r="68" spans="1:50" x14ac:dyDescent="0.2">
      <c r="A68" s="1" t="s">
        <v>133</v>
      </c>
      <c r="B68">
        <v>2282.84</v>
      </c>
      <c r="C68">
        <v>213.7</v>
      </c>
      <c r="D68">
        <v>138.21</v>
      </c>
      <c r="E68">
        <v>4385</v>
      </c>
      <c r="F68">
        <v>10845</v>
      </c>
      <c r="G68">
        <v>895.7</v>
      </c>
      <c r="H68">
        <v>28.35</v>
      </c>
      <c r="I68">
        <v>4361</v>
      </c>
      <c r="J68">
        <v>705</v>
      </c>
      <c r="K68">
        <v>395.8</v>
      </c>
      <c r="L68">
        <v>4050</v>
      </c>
      <c r="M68">
        <v>262.8</v>
      </c>
      <c r="N68">
        <v>101.3</v>
      </c>
      <c r="O68">
        <v>4.1805000000000003</v>
      </c>
      <c r="P68">
        <v>161</v>
      </c>
      <c r="Q68">
        <v>95.2</v>
      </c>
      <c r="R68">
        <v>991.2</v>
      </c>
      <c r="S68">
        <v>4.795E-2</v>
      </c>
      <c r="T68">
        <v>68.2</v>
      </c>
      <c r="U68">
        <v>2276</v>
      </c>
      <c r="V68">
        <v>8.7050000000000001</v>
      </c>
      <c r="W68">
        <v>44.7</v>
      </c>
      <c r="X68">
        <v>339.8</v>
      </c>
      <c r="Y68">
        <v>0.67159999999999997</v>
      </c>
      <c r="Z68">
        <v>0.1706</v>
      </c>
      <c r="AA68">
        <v>121.3</v>
      </c>
      <c r="AB68">
        <v>773.5</v>
      </c>
      <c r="AC68">
        <v>0.77669999999999995</v>
      </c>
      <c r="AD68">
        <v>2.81</v>
      </c>
      <c r="AE68">
        <v>323</v>
      </c>
      <c r="AF68">
        <v>400</v>
      </c>
      <c r="AG68">
        <v>72.099999999999994</v>
      </c>
      <c r="AH68">
        <v>94.8</v>
      </c>
      <c r="AI68">
        <v>6.39</v>
      </c>
      <c r="AJ68">
        <v>4410</v>
      </c>
      <c r="AK68">
        <v>2.37</v>
      </c>
      <c r="AL68">
        <v>101.25</v>
      </c>
      <c r="AM68">
        <v>1996</v>
      </c>
      <c r="AN68">
        <v>16610</v>
      </c>
      <c r="AO68">
        <v>56.6</v>
      </c>
      <c r="AP68">
        <v>1125</v>
      </c>
      <c r="AQ68">
        <v>500</v>
      </c>
      <c r="AR68">
        <v>110.8</v>
      </c>
      <c r="AS68">
        <v>48.8</v>
      </c>
      <c r="AT68">
        <v>0.73499999999999999</v>
      </c>
      <c r="AU68">
        <v>61.55</v>
      </c>
      <c r="AV68">
        <v>100.5</v>
      </c>
      <c r="AW68">
        <v>0.36480000000000001</v>
      </c>
      <c r="AX68">
        <v>366</v>
      </c>
    </row>
    <row r="69" spans="1:50" x14ac:dyDescent="0.2">
      <c r="A69" s="1" t="s">
        <v>134</v>
      </c>
      <c r="B69">
        <v>2293.0700000000002</v>
      </c>
      <c r="C69">
        <v>210</v>
      </c>
      <c r="D69">
        <v>138.18</v>
      </c>
      <c r="E69">
        <v>4420</v>
      </c>
      <c r="F69">
        <v>10827</v>
      </c>
      <c r="G69">
        <v>914.5</v>
      </c>
      <c r="H69">
        <v>28.5</v>
      </c>
      <c r="I69">
        <v>4437</v>
      </c>
      <c r="J69">
        <v>710.7</v>
      </c>
      <c r="K69">
        <v>397.35</v>
      </c>
      <c r="L69">
        <v>4280</v>
      </c>
      <c r="M69">
        <v>263.3</v>
      </c>
      <c r="N69">
        <v>100.9</v>
      </c>
      <c r="O69">
        <v>4.2</v>
      </c>
      <c r="P69">
        <v>163.44999999999999</v>
      </c>
      <c r="Q69">
        <v>96.68</v>
      </c>
      <c r="R69">
        <v>997.5</v>
      </c>
      <c r="S69">
        <v>4.7579999999999997E-2</v>
      </c>
      <c r="T69">
        <v>68.900000000000006</v>
      </c>
      <c r="U69">
        <v>2266</v>
      </c>
      <c r="V69">
        <v>8.8000000000000007</v>
      </c>
      <c r="W69">
        <v>45.53</v>
      </c>
      <c r="X69">
        <v>340.8</v>
      </c>
      <c r="Y69">
        <v>0.67730000000000001</v>
      </c>
      <c r="Z69">
        <v>0.17419999999999999</v>
      </c>
      <c r="AA69">
        <v>122.7</v>
      </c>
      <c r="AB69">
        <v>773.5</v>
      </c>
      <c r="AC69">
        <v>0.78029999999999999</v>
      </c>
      <c r="AD69">
        <v>2.8</v>
      </c>
      <c r="AE69">
        <v>325.5</v>
      </c>
      <c r="AF69">
        <v>392</v>
      </c>
      <c r="AG69">
        <v>72.5</v>
      </c>
      <c r="AH69">
        <v>95.4</v>
      </c>
      <c r="AI69">
        <v>6.47</v>
      </c>
      <c r="AJ69">
        <v>4411</v>
      </c>
      <c r="AK69">
        <v>2.4184999999999999</v>
      </c>
      <c r="AL69">
        <v>101.9</v>
      </c>
      <c r="AM69">
        <v>2002</v>
      </c>
      <c r="AN69">
        <v>16590</v>
      </c>
      <c r="AO69">
        <v>55.9</v>
      </c>
      <c r="AP69">
        <v>1125</v>
      </c>
      <c r="AQ69">
        <v>494</v>
      </c>
      <c r="AR69">
        <v>113.7</v>
      </c>
      <c r="AS69">
        <v>48.85</v>
      </c>
      <c r="AT69">
        <v>0.73</v>
      </c>
      <c r="AU69">
        <v>65.8</v>
      </c>
      <c r="AV69">
        <v>102.74</v>
      </c>
      <c r="AW69">
        <v>0.37799999999999989</v>
      </c>
      <c r="AX69">
        <v>368</v>
      </c>
    </row>
    <row r="70" spans="1:50" x14ac:dyDescent="0.2">
      <c r="A70" s="1" t="s">
        <v>135</v>
      </c>
      <c r="B70">
        <v>2292.7199999999998</v>
      </c>
      <c r="C70">
        <v>208.9</v>
      </c>
      <c r="D70">
        <v>137.99</v>
      </c>
      <c r="E70">
        <v>4425</v>
      </c>
      <c r="F70">
        <v>10848</v>
      </c>
      <c r="G70">
        <v>920</v>
      </c>
      <c r="H70">
        <v>28.65</v>
      </c>
      <c r="I70">
        <v>4478</v>
      </c>
      <c r="J70">
        <v>707.8</v>
      </c>
      <c r="K70">
        <v>403.5</v>
      </c>
      <c r="L70">
        <v>4270</v>
      </c>
      <c r="M70">
        <v>263.95</v>
      </c>
      <c r="N70">
        <v>101.8</v>
      </c>
      <c r="O70">
        <v>4.1604999999999999</v>
      </c>
      <c r="P70">
        <v>163.63999999999999</v>
      </c>
      <c r="Q70">
        <v>96.4</v>
      </c>
      <c r="R70">
        <v>1014.7</v>
      </c>
      <c r="S70">
        <v>4.7820000000000001E-2</v>
      </c>
      <c r="T70">
        <v>69.069999999999993</v>
      </c>
      <c r="U70">
        <v>2262</v>
      </c>
      <c r="V70">
        <v>8.86</v>
      </c>
      <c r="W70">
        <v>46.3</v>
      </c>
      <c r="X70">
        <v>342</v>
      </c>
      <c r="Y70">
        <v>0.67379999999999995</v>
      </c>
      <c r="Z70">
        <v>0.17119999999999999</v>
      </c>
      <c r="AA70">
        <v>122.2</v>
      </c>
      <c r="AB70">
        <v>773</v>
      </c>
      <c r="AC70">
        <v>0.78349999999999997</v>
      </c>
      <c r="AD70">
        <v>2.8109999999999999</v>
      </c>
      <c r="AE70">
        <v>322</v>
      </c>
      <c r="AF70">
        <v>392.1</v>
      </c>
      <c r="AG70">
        <v>72.099999999999994</v>
      </c>
      <c r="AH70">
        <v>95.2</v>
      </c>
      <c r="AI70">
        <v>6.4950000000000001</v>
      </c>
      <c r="AJ70">
        <v>4473</v>
      </c>
      <c r="AK70">
        <v>2.4045000000000001</v>
      </c>
      <c r="AL70">
        <v>101</v>
      </c>
      <c r="AM70">
        <v>2004</v>
      </c>
      <c r="AN70">
        <v>16610</v>
      </c>
      <c r="AO70">
        <v>55.8</v>
      </c>
      <c r="AP70">
        <v>1115</v>
      </c>
      <c r="AQ70">
        <v>499</v>
      </c>
      <c r="AR70">
        <v>115.1</v>
      </c>
      <c r="AS70">
        <v>49</v>
      </c>
      <c r="AT70">
        <v>0.73299999999999998</v>
      </c>
      <c r="AU70">
        <v>65.099999999999994</v>
      </c>
      <c r="AV70">
        <v>101.8</v>
      </c>
      <c r="AW70">
        <v>0.37790000000000001</v>
      </c>
      <c r="AX70">
        <v>366</v>
      </c>
    </row>
    <row r="71" spans="1:50" x14ac:dyDescent="0.2">
      <c r="A71" s="1" t="s">
        <v>136</v>
      </c>
      <c r="B71">
        <v>2295.7199999999998</v>
      </c>
      <c r="C71">
        <v>211.33</v>
      </c>
      <c r="D71">
        <v>138.9</v>
      </c>
      <c r="E71">
        <v>4410</v>
      </c>
      <c r="F71">
        <v>10866</v>
      </c>
      <c r="G71">
        <v>907.8</v>
      </c>
      <c r="H71">
        <v>28.965</v>
      </c>
      <c r="I71">
        <v>4416</v>
      </c>
      <c r="J71">
        <v>718</v>
      </c>
      <c r="K71">
        <v>406.45</v>
      </c>
      <c r="L71">
        <v>4214</v>
      </c>
      <c r="M71">
        <v>261.85000000000002</v>
      </c>
      <c r="N71">
        <v>103.72</v>
      </c>
      <c r="O71">
        <v>4.0979999999999999</v>
      </c>
      <c r="P71">
        <v>163.30000000000001</v>
      </c>
      <c r="Q71">
        <v>96.75</v>
      </c>
      <c r="R71">
        <v>1009</v>
      </c>
      <c r="S71">
        <v>4.7969999999999999E-2</v>
      </c>
      <c r="T71">
        <v>69.09</v>
      </c>
      <c r="U71">
        <v>2272</v>
      </c>
      <c r="V71">
        <v>9.2850000000000001</v>
      </c>
      <c r="W71">
        <v>46.4</v>
      </c>
      <c r="X71">
        <v>341.2</v>
      </c>
      <c r="Y71">
        <v>0.67749999999999999</v>
      </c>
      <c r="Z71">
        <v>0.16889999999999999</v>
      </c>
      <c r="AA71">
        <v>121.7</v>
      </c>
      <c r="AB71">
        <v>770</v>
      </c>
      <c r="AC71">
        <v>0.78269999999999995</v>
      </c>
      <c r="AD71">
        <v>2.754</v>
      </c>
      <c r="AE71">
        <v>315</v>
      </c>
      <c r="AF71">
        <v>379.5</v>
      </c>
      <c r="AG71">
        <v>71.8</v>
      </c>
      <c r="AH71">
        <v>94.15</v>
      </c>
      <c r="AI71">
        <v>6.44</v>
      </c>
      <c r="AJ71">
        <v>4542</v>
      </c>
      <c r="AK71">
        <v>2.41</v>
      </c>
      <c r="AL71">
        <v>101.05</v>
      </c>
      <c r="AM71">
        <v>2017</v>
      </c>
      <c r="AN71">
        <v>16590</v>
      </c>
      <c r="AO71">
        <v>54.9</v>
      </c>
      <c r="AP71">
        <v>1095</v>
      </c>
      <c r="AQ71">
        <v>499</v>
      </c>
      <c r="AR71">
        <v>113.4</v>
      </c>
      <c r="AS71">
        <v>49.05</v>
      </c>
      <c r="AT71">
        <v>0.73</v>
      </c>
      <c r="AU71">
        <v>65.75</v>
      </c>
      <c r="AV71">
        <v>103</v>
      </c>
      <c r="AW71">
        <v>0.375</v>
      </c>
      <c r="AX71">
        <v>368</v>
      </c>
    </row>
    <row r="72" spans="1:50" x14ac:dyDescent="0.2">
      <c r="A72" s="1" t="s">
        <v>137</v>
      </c>
      <c r="B72">
        <v>2321.11</v>
      </c>
      <c r="C72">
        <v>214.86</v>
      </c>
      <c r="D72">
        <v>143.79</v>
      </c>
      <c r="E72">
        <v>4451.5</v>
      </c>
      <c r="F72">
        <v>10882</v>
      </c>
      <c r="G72">
        <v>924.4</v>
      </c>
      <c r="H72">
        <v>28.99</v>
      </c>
      <c r="I72">
        <v>4469</v>
      </c>
      <c r="J72">
        <v>721.4</v>
      </c>
      <c r="K72">
        <v>419</v>
      </c>
      <c r="L72">
        <v>4128</v>
      </c>
      <c r="M72">
        <v>263.8</v>
      </c>
      <c r="N72">
        <v>103</v>
      </c>
      <c r="O72">
        <v>4.1425000000000001</v>
      </c>
      <c r="P72">
        <v>162.4</v>
      </c>
      <c r="Q72">
        <v>97.28</v>
      </c>
      <c r="R72">
        <v>1020.3</v>
      </c>
      <c r="S72">
        <v>4.8280000000000003E-2</v>
      </c>
      <c r="T72">
        <v>70.3</v>
      </c>
      <c r="U72">
        <v>2284</v>
      </c>
      <c r="V72">
        <v>9.07</v>
      </c>
      <c r="W72">
        <v>46.26</v>
      </c>
      <c r="X72">
        <v>342.5</v>
      </c>
      <c r="Y72">
        <v>0.67879999999999996</v>
      </c>
      <c r="Z72">
        <v>0.1704</v>
      </c>
      <c r="AA72">
        <v>122.95</v>
      </c>
      <c r="AB72">
        <v>774</v>
      </c>
      <c r="AC72">
        <v>0.76719999999999999</v>
      </c>
      <c r="AD72">
        <v>2.702</v>
      </c>
      <c r="AE72">
        <v>312</v>
      </c>
      <c r="AF72">
        <v>378</v>
      </c>
      <c r="AG72">
        <v>70.349999999999994</v>
      </c>
      <c r="AH72">
        <v>92.8</v>
      </c>
      <c r="AI72">
        <v>6.42</v>
      </c>
      <c r="AJ72">
        <v>4540</v>
      </c>
      <c r="AK72">
        <v>2.4015</v>
      </c>
      <c r="AL72">
        <v>100.55</v>
      </c>
      <c r="AM72">
        <v>2001</v>
      </c>
      <c r="AN72">
        <v>16590</v>
      </c>
      <c r="AO72">
        <v>55.3</v>
      </c>
      <c r="AP72">
        <v>1105</v>
      </c>
      <c r="AQ72">
        <v>501</v>
      </c>
      <c r="AR72">
        <v>110.8</v>
      </c>
      <c r="AS72">
        <v>49.55</v>
      </c>
      <c r="AT72">
        <v>0.746</v>
      </c>
      <c r="AU72">
        <v>66.05</v>
      </c>
      <c r="AV72">
        <v>102.43</v>
      </c>
      <c r="AW72">
        <v>0.36849999999999999</v>
      </c>
      <c r="AX72">
        <v>361</v>
      </c>
    </row>
    <row r="73" spans="1:50" x14ac:dyDescent="0.2">
      <c r="A73" s="1" t="s">
        <v>138</v>
      </c>
      <c r="B73">
        <v>2315.1799999999998</v>
      </c>
      <c r="C73">
        <v>210.6</v>
      </c>
      <c r="D73">
        <v>142.13999999999999</v>
      </c>
      <c r="E73">
        <v>4494</v>
      </c>
      <c r="F73">
        <v>10782</v>
      </c>
      <c r="G73">
        <v>930.2</v>
      </c>
      <c r="H73">
        <v>29.175000000000001</v>
      </c>
      <c r="I73">
        <v>4355</v>
      </c>
      <c r="J73">
        <v>728.9</v>
      </c>
      <c r="K73">
        <v>416.6</v>
      </c>
      <c r="L73">
        <v>4187</v>
      </c>
      <c r="M73">
        <v>262.3</v>
      </c>
      <c r="N73">
        <v>102.5</v>
      </c>
      <c r="O73">
        <v>4.1520000000000001</v>
      </c>
      <c r="P73">
        <v>160.32</v>
      </c>
      <c r="Q73">
        <v>95.98</v>
      </c>
      <c r="R73">
        <v>1013.4</v>
      </c>
      <c r="S73">
        <v>4.8280000000000003E-2</v>
      </c>
      <c r="T73">
        <v>71.55</v>
      </c>
      <c r="U73">
        <v>2293</v>
      </c>
      <c r="V73">
        <v>8.98</v>
      </c>
      <c r="W73">
        <v>45.65</v>
      </c>
      <c r="X73">
        <v>341.2</v>
      </c>
      <c r="Y73">
        <v>0.67830000000000001</v>
      </c>
      <c r="Z73">
        <v>0.16925000000000001</v>
      </c>
      <c r="AA73">
        <v>121</v>
      </c>
      <c r="AB73">
        <v>772</v>
      </c>
      <c r="AC73">
        <v>0.76590000000000003</v>
      </c>
      <c r="AD73">
        <v>2.6960000000000002</v>
      </c>
      <c r="AE73">
        <v>314</v>
      </c>
      <c r="AF73">
        <v>384.5</v>
      </c>
      <c r="AG73">
        <v>71.3</v>
      </c>
      <c r="AH73">
        <v>92.5</v>
      </c>
      <c r="AI73">
        <v>6.46</v>
      </c>
      <c r="AJ73">
        <v>4480</v>
      </c>
      <c r="AK73">
        <v>2.41</v>
      </c>
      <c r="AL73">
        <v>100.55</v>
      </c>
      <c r="AM73">
        <v>2001</v>
      </c>
      <c r="AN73">
        <v>16600</v>
      </c>
      <c r="AO73">
        <v>55</v>
      </c>
      <c r="AP73">
        <v>1115</v>
      </c>
      <c r="AQ73">
        <v>502</v>
      </c>
      <c r="AR73">
        <v>111</v>
      </c>
      <c r="AS73">
        <v>53.85</v>
      </c>
      <c r="AT73">
        <v>0.72599999999999998</v>
      </c>
      <c r="AU73">
        <v>66.7</v>
      </c>
      <c r="AV73">
        <v>102.42</v>
      </c>
      <c r="AW73">
        <v>0.36809999999999998</v>
      </c>
      <c r="AX73">
        <v>363</v>
      </c>
    </row>
    <row r="74" spans="1:50" x14ac:dyDescent="0.2">
      <c r="A74" s="1" t="s">
        <v>139</v>
      </c>
      <c r="B74">
        <v>2295.15</v>
      </c>
      <c r="C74">
        <v>206.6</v>
      </c>
      <c r="D74">
        <v>140.36000000000001</v>
      </c>
      <c r="E74">
        <v>4501.5</v>
      </c>
      <c r="F74">
        <v>10700</v>
      </c>
      <c r="G74">
        <v>929.4</v>
      </c>
      <c r="H74">
        <v>28.82</v>
      </c>
      <c r="I74">
        <v>4442</v>
      </c>
      <c r="J74">
        <v>723.1</v>
      </c>
      <c r="K74">
        <v>416.8</v>
      </c>
      <c r="L74">
        <v>4179</v>
      </c>
      <c r="M74">
        <v>261.3</v>
      </c>
      <c r="N74">
        <v>100.42</v>
      </c>
      <c r="O74">
        <v>4.0984999999999996</v>
      </c>
      <c r="P74">
        <v>159.80000000000001</v>
      </c>
      <c r="Q74">
        <v>95.5</v>
      </c>
      <c r="R74">
        <v>996.1</v>
      </c>
      <c r="S74">
        <v>4.7579999999999997E-2</v>
      </c>
      <c r="T74">
        <v>71.599999999999994</v>
      </c>
      <c r="U74">
        <v>2290</v>
      </c>
      <c r="V74">
        <v>8.85</v>
      </c>
      <c r="W74">
        <v>45.9</v>
      </c>
      <c r="X74">
        <v>339.3</v>
      </c>
      <c r="Y74">
        <v>0.66769999999999996</v>
      </c>
      <c r="Z74">
        <v>0.16564999999999999</v>
      </c>
      <c r="AA74">
        <v>116</v>
      </c>
      <c r="AB74">
        <v>770</v>
      </c>
      <c r="AC74">
        <v>0.7671</v>
      </c>
      <c r="AD74">
        <v>2.7029999999999998</v>
      </c>
      <c r="AE74">
        <v>309</v>
      </c>
      <c r="AF74">
        <v>383.9</v>
      </c>
      <c r="AG74">
        <v>71.5</v>
      </c>
      <c r="AH74">
        <v>91.15</v>
      </c>
      <c r="AI74">
        <v>6.3849999999999998</v>
      </c>
      <c r="AJ74">
        <v>4400</v>
      </c>
      <c r="AK74">
        <v>2.35</v>
      </c>
      <c r="AL74">
        <v>100.3</v>
      </c>
      <c r="AM74">
        <v>1994</v>
      </c>
      <c r="AN74">
        <v>16520</v>
      </c>
      <c r="AO74">
        <v>54.8</v>
      </c>
      <c r="AP74">
        <v>1085</v>
      </c>
      <c r="AQ74">
        <v>516</v>
      </c>
      <c r="AR74">
        <v>109.9</v>
      </c>
      <c r="AS74">
        <v>53.45</v>
      </c>
      <c r="AT74">
        <v>0.72599999999999998</v>
      </c>
      <c r="AU74">
        <v>68.2</v>
      </c>
      <c r="AV74">
        <v>99.92</v>
      </c>
      <c r="AW74">
        <v>0.3634</v>
      </c>
      <c r="AX74">
        <v>359</v>
      </c>
    </row>
    <row r="75" spans="1:50" x14ac:dyDescent="0.2">
      <c r="A75" s="1" t="s">
        <v>140</v>
      </c>
      <c r="B75">
        <v>2297.9899999999998</v>
      </c>
      <c r="C75">
        <v>202.21</v>
      </c>
      <c r="D75">
        <v>142.38999999999999</v>
      </c>
      <c r="E75">
        <v>4499.5</v>
      </c>
      <c r="F75">
        <v>10814</v>
      </c>
      <c r="G75">
        <v>924.9</v>
      </c>
      <c r="H75">
        <v>29.204999999999998</v>
      </c>
      <c r="I75">
        <v>4359</v>
      </c>
      <c r="J75">
        <v>730</v>
      </c>
      <c r="K75">
        <v>411.25</v>
      </c>
      <c r="L75">
        <v>4205</v>
      </c>
      <c r="M75">
        <v>260.8</v>
      </c>
      <c r="N75">
        <v>102.06</v>
      </c>
      <c r="O75">
        <v>4.0620000000000003</v>
      </c>
      <c r="P75">
        <v>163.12</v>
      </c>
      <c r="Q75">
        <v>95.15</v>
      </c>
      <c r="R75">
        <v>1024.5</v>
      </c>
      <c r="S75">
        <v>4.7350000000000003E-2</v>
      </c>
      <c r="T75">
        <v>72</v>
      </c>
      <c r="U75">
        <v>2288</v>
      </c>
      <c r="V75">
        <v>8.89</v>
      </c>
      <c r="W75">
        <v>47.015000000000001</v>
      </c>
      <c r="X75">
        <v>342.1</v>
      </c>
      <c r="Y75">
        <v>0.66820000000000002</v>
      </c>
      <c r="Z75">
        <v>0.16414999999999999</v>
      </c>
      <c r="AA75">
        <v>118.1</v>
      </c>
      <c r="AB75">
        <v>771.5</v>
      </c>
      <c r="AC75">
        <v>0.7621</v>
      </c>
      <c r="AD75">
        <v>2.75</v>
      </c>
      <c r="AE75">
        <v>315.5</v>
      </c>
      <c r="AF75">
        <v>404.8</v>
      </c>
      <c r="AG75">
        <v>71.7</v>
      </c>
      <c r="AH75">
        <v>92.55</v>
      </c>
      <c r="AI75">
        <v>6.42</v>
      </c>
      <c r="AJ75">
        <v>4415</v>
      </c>
      <c r="AK75">
        <v>2.3119999999999998</v>
      </c>
      <c r="AL75">
        <v>99.5</v>
      </c>
      <c r="AM75">
        <v>1995</v>
      </c>
      <c r="AN75">
        <v>16500</v>
      </c>
      <c r="AO75">
        <v>56</v>
      </c>
      <c r="AP75">
        <v>1105</v>
      </c>
      <c r="AQ75">
        <v>515</v>
      </c>
      <c r="AR75">
        <v>109.8</v>
      </c>
      <c r="AS75">
        <v>52.05</v>
      </c>
      <c r="AT75">
        <v>0.71900000000000008</v>
      </c>
      <c r="AU75">
        <v>68.3</v>
      </c>
      <c r="AV75">
        <v>101</v>
      </c>
      <c r="AW75">
        <v>0.36609999999999998</v>
      </c>
      <c r="AX75">
        <v>355</v>
      </c>
    </row>
    <row r="76" spans="1:50" x14ac:dyDescent="0.2">
      <c r="A76" s="1" t="s">
        <v>141</v>
      </c>
      <c r="B76">
        <v>2299.88</v>
      </c>
      <c r="C76">
        <v>203.9</v>
      </c>
      <c r="D76">
        <v>141.34</v>
      </c>
      <c r="E76">
        <v>4479</v>
      </c>
      <c r="F76">
        <v>10770</v>
      </c>
      <c r="G76">
        <v>926</v>
      </c>
      <c r="H76">
        <v>29.03</v>
      </c>
      <c r="I76">
        <v>4425</v>
      </c>
      <c r="J76">
        <v>731.9</v>
      </c>
      <c r="K76">
        <v>419.35</v>
      </c>
      <c r="L76">
        <v>4230</v>
      </c>
      <c r="M76">
        <v>261.95</v>
      </c>
      <c r="N76">
        <v>101.5</v>
      </c>
      <c r="O76">
        <v>4.0235000000000003</v>
      </c>
      <c r="P76">
        <v>161.82</v>
      </c>
      <c r="Q76">
        <v>96</v>
      </c>
      <c r="R76">
        <v>1024</v>
      </c>
      <c r="S76">
        <v>4.6809999999999997E-2</v>
      </c>
      <c r="T76">
        <v>71.7</v>
      </c>
      <c r="U76">
        <v>2280</v>
      </c>
      <c r="V76">
        <v>9</v>
      </c>
      <c r="W76">
        <v>47.9</v>
      </c>
      <c r="X76">
        <v>348.7</v>
      </c>
      <c r="Y76">
        <v>0.66949999999999998</v>
      </c>
      <c r="Z76">
        <v>0.16255</v>
      </c>
      <c r="AA76">
        <v>114.3</v>
      </c>
      <c r="AB76">
        <v>777</v>
      </c>
      <c r="AC76">
        <v>0.75949999999999995</v>
      </c>
      <c r="AD76">
        <v>2.702</v>
      </c>
      <c r="AE76">
        <v>318.5</v>
      </c>
      <c r="AF76">
        <v>407.4</v>
      </c>
      <c r="AG76">
        <v>71.95</v>
      </c>
      <c r="AH76">
        <v>94.8</v>
      </c>
      <c r="AI76">
        <v>6.5149999999999997</v>
      </c>
      <c r="AJ76">
        <v>4422</v>
      </c>
      <c r="AK76">
        <v>2.2799999999999998</v>
      </c>
      <c r="AL76">
        <v>99.4</v>
      </c>
      <c r="AM76">
        <v>1997</v>
      </c>
      <c r="AN76">
        <v>16540</v>
      </c>
      <c r="AO76">
        <v>56.2</v>
      </c>
      <c r="AP76">
        <v>1105</v>
      </c>
      <c r="AQ76">
        <v>515</v>
      </c>
      <c r="AR76">
        <v>109</v>
      </c>
      <c r="AS76">
        <v>51.4</v>
      </c>
      <c r="AT76">
        <v>0.72499999999999998</v>
      </c>
      <c r="AU76">
        <v>68</v>
      </c>
      <c r="AV76">
        <v>101.59</v>
      </c>
      <c r="AW76">
        <v>0.36549999999999999</v>
      </c>
      <c r="AX76">
        <v>354</v>
      </c>
    </row>
    <row r="77" spans="1:50" x14ac:dyDescent="0.2">
      <c r="A77" s="1" t="s">
        <v>142</v>
      </c>
      <c r="B77">
        <v>2312.19</v>
      </c>
      <c r="C77">
        <v>201.79</v>
      </c>
      <c r="D77">
        <v>142.74</v>
      </c>
      <c r="E77">
        <v>4520</v>
      </c>
      <c r="F77">
        <v>10830</v>
      </c>
      <c r="G77">
        <v>939.9</v>
      </c>
      <c r="H77">
        <v>28.98</v>
      </c>
      <c r="I77">
        <v>4480</v>
      </c>
      <c r="J77">
        <v>732.8</v>
      </c>
      <c r="K77">
        <v>427.9</v>
      </c>
      <c r="L77">
        <v>4240</v>
      </c>
      <c r="M77">
        <v>262.2</v>
      </c>
      <c r="N77">
        <v>100.92</v>
      </c>
      <c r="O77">
        <v>4.1100000000000003</v>
      </c>
      <c r="P77">
        <v>160.32</v>
      </c>
      <c r="Q77">
        <v>99.7</v>
      </c>
      <c r="R77">
        <v>1021.4</v>
      </c>
      <c r="S77">
        <v>4.6800000000000001E-2</v>
      </c>
      <c r="T77">
        <v>71.900000000000006</v>
      </c>
      <c r="U77">
        <v>2263</v>
      </c>
      <c r="V77">
        <v>8.9649999999999999</v>
      </c>
      <c r="W77">
        <v>47.935000000000002</v>
      </c>
      <c r="X77">
        <v>344.1</v>
      </c>
      <c r="Y77">
        <v>0.66069999999999995</v>
      </c>
      <c r="Z77">
        <v>0.16189999999999999</v>
      </c>
      <c r="AA77">
        <v>114.25</v>
      </c>
      <c r="AB77">
        <v>777</v>
      </c>
      <c r="AC77">
        <v>0.76019999999999999</v>
      </c>
      <c r="AD77">
        <v>2.66</v>
      </c>
      <c r="AE77">
        <v>317</v>
      </c>
      <c r="AF77">
        <v>408.5</v>
      </c>
      <c r="AG77">
        <v>72.25</v>
      </c>
      <c r="AH77">
        <v>95.65</v>
      </c>
      <c r="AI77">
        <v>6.55</v>
      </c>
      <c r="AJ77">
        <v>4418</v>
      </c>
      <c r="AK77">
        <v>2.2250000000000001</v>
      </c>
      <c r="AL77">
        <v>98.8</v>
      </c>
      <c r="AM77">
        <v>2035</v>
      </c>
      <c r="AN77">
        <v>16530</v>
      </c>
      <c r="AO77">
        <v>56.4</v>
      </c>
      <c r="AP77">
        <v>1110</v>
      </c>
      <c r="AQ77">
        <v>527</v>
      </c>
      <c r="AR77">
        <v>108.4</v>
      </c>
      <c r="AS77">
        <v>50.9</v>
      </c>
      <c r="AT77">
        <v>0.73099999999999998</v>
      </c>
      <c r="AU77">
        <v>67.3</v>
      </c>
      <c r="AV77">
        <v>101.3</v>
      </c>
      <c r="AW77">
        <v>0.3624</v>
      </c>
      <c r="AX77">
        <v>373</v>
      </c>
    </row>
    <row r="78" spans="1:50" x14ac:dyDescent="0.2">
      <c r="A78" s="1" t="s">
        <v>143</v>
      </c>
      <c r="B78">
        <v>2293.0100000000002</v>
      </c>
      <c r="C78">
        <v>193.2</v>
      </c>
      <c r="D78">
        <v>144.1</v>
      </c>
      <c r="E78">
        <v>4499</v>
      </c>
      <c r="F78">
        <v>10830</v>
      </c>
      <c r="G78">
        <v>923.6</v>
      </c>
      <c r="H78">
        <v>28.905000000000001</v>
      </c>
      <c r="I78">
        <v>4383</v>
      </c>
      <c r="J78">
        <v>740</v>
      </c>
      <c r="K78">
        <v>429</v>
      </c>
      <c r="L78">
        <v>4228</v>
      </c>
      <c r="M78">
        <v>257.5</v>
      </c>
      <c r="N78">
        <v>100.5</v>
      </c>
      <c r="O78">
        <v>4.0715000000000003</v>
      </c>
      <c r="P78">
        <v>158.9</v>
      </c>
      <c r="Q78">
        <v>98.7</v>
      </c>
      <c r="R78">
        <v>1024.9000000000001</v>
      </c>
      <c r="S78">
        <v>4.5689999999999988E-2</v>
      </c>
      <c r="T78">
        <v>71.349999999999994</v>
      </c>
      <c r="U78">
        <v>2293</v>
      </c>
      <c r="V78">
        <v>8.7200000000000006</v>
      </c>
      <c r="W78">
        <v>47.62</v>
      </c>
      <c r="X78">
        <v>346.6</v>
      </c>
      <c r="Y78">
        <v>0.6532</v>
      </c>
      <c r="Z78">
        <v>0.15870000000000001</v>
      </c>
      <c r="AA78">
        <v>111.85</v>
      </c>
      <c r="AB78">
        <v>771</v>
      </c>
      <c r="AC78">
        <v>0.74980000000000002</v>
      </c>
      <c r="AD78">
        <v>2.6120000000000001</v>
      </c>
      <c r="AE78">
        <v>321.5</v>
      </c>
      <c r="AF78">
        <v>404</v>
      </c>
      <c r="AG78">
        <v>72.099999999999994</v>
      </c>
      <c r="AH78">
        <v>91.3</v>
      </c>
      <c r="AI78">
        <v>6.4749999999999996</v>
      </c>
      <c r="AJ78">
        <v>4388</v>
      </c>
      <c r="AK78">
        <v>2.165</v>
      </c>
      <c r="AL78">
        <v>94.45</v>
      </c>
      <c r="AM78">
        <v>2025</v>
      </c>
      <c r="AN78">
        <v>16460</v>
      </c>
      <c r="AO78">
        <v>56.2</v>
      </c>
      <c r="AP78">
        <v>1090</v>
      </c>
      <c r="AQ78">
        <v>511</v>
      </c>
      <c r="AR78">
        <v>107</v>
      </c>
      <c r="AS78">
        <v>50.1</v>
      </c>
      <c r="AT78">
        <v>0.71700000000000008</v>
      </c>
      <c r="AU78">
        <v>64.900000000000006</v>
      </c>
      <c r="AV78">
        <v>101.03</v>
      </c>
      <c r="AW78">
        <v>0.36009999999999998</v>
      </c>
      <c r="AX78">
        <v>364</v>
      </c>
    </row>
    <row r="79" spans="1:50" x14ac:dyDescent="0.2">
      <c r="A79" s="1" t="s">
        <v>144</v>
      </c>
      <c r="B79">
        <v>2309.58</v>
      </c>
      <c r="C79">
        <v>195.9</v>
      </c>
      <c r="D79">
        <v>145.19999999999999</v>
      </c>
      <c r="E79">
        <v>4598</v>
      </c>
      <c r="F79">
        <v>10999</v>
      </c>
      <c r="G79">
        <v>933</v>
      </c>
      <c r="H79">
        <v>29</v>
      </c>
      <c r="I79">
        <v>4450</v>
      </c>
      <c r="J79">
        <v>747.5</v>
      </c>
      <c r="K79">
        <v>432.3</v>
      </c>
      <c r="L79">
        <v>4189</v>
      </c>
      <c r="M79">
        <v>253.6</v>
      </c>
      <c r="N79">
        <v>102</v>
      </c>
      <c r="O79">
        <v>4.0569999999999986</v>
      </c>
      <c r="P79">
        <v>160.62</v>
      </c>
      <c r="Q79">
        <v>97.43</v>
      </c>
      <c r="R79">
        <v>1018.8</v>
      </c>
      <c r="S79">
        <v>4.5109999999999997E-2</v>
      </c>
      <c r="T79">
        <v>71.5</v>
      </c>
      <c r="U79">
        <v>2302</v>
      </c>
      <c r="V79">
        <v>8.73</v>
      </c>
      <c r="W79">
        <v>47.6</v>
      </c>
      <c r="X79">
        <v>349.9</v>
      </c>
      <c r="Y79">
        <v>0.6472</v>
      </c>
      <c r="Z79">
        <v>0.161</v>
      </c>
      <c r="AA79">
        <v>109.7</v>
      </c>
      <c r="AB79">
        <v>767.5</v>
      </c>
      <c r="AC79">
        <v>0.7399</v>
      </c>
      <c r="AD79">
        <v>2.66</v>
      </c>
      <c r="AE79">
        <v>320.5</v>
      </c>
      <c r="AF79">
        <v>404.9</v>
      </c>
      <c r="AG79">
        <v>71.2</v>
      </c>
      <c r="AH79">
        <v>93.15</v>
      </c>
      <c r="AI79">
        <v>6.415</v>
      </c>
      <c r="AJ79">
        <v>4431</v>
      </c>
      <c r="AK79">
        <v>2.0960000000000001</v>
      </c>
      <c r="AL79">
        <v>93.9</v>
      </c>
      <c r="AM79">
        <v>2050</v>
      </c>
      <c r="AN79">
        <v>16460</v>
      </c>
      <c r="AO79">
        <v>56</v>
      </c>
      <c r="AP79">
        <v>1095</v>
      </c>
      <c r="AQ79">
        <v>502</v>
      </c>
      <c r="AR79">
        <v>105.8</v>
      </c>
      <c r="AS79">
        <v>49.7</v>
      </c>
      <c r="AT79">
        <v>0.71400000000000008</v>
      </c>
      <c r="AU79">
        <v>64</v>
      </c>
      <c r="AV79">
        <v>98.61</v>
      </c>
      <c r="AW79">
        <v>0.36059999999999998</v>
      </c>
      <c r="AX79">
        <v>366</v>
      </c>
    </row>
    <row r="80" spans="1:50" x14ac:dyDescent="0.2">
      <c r="A80" s="1" t="s">
        <v>145</v>
      </c>
      <c r="B80">
        <v>2275.0500000000002</v>
      </c>
      <c r="C80">
        <v>186.15</v>
      </c>
      <c r="D80">
        <v>144.80000000000001</v>
      </c>
      <c r="E80">
        <v>4577</v>
      </c>
      <c r="F80">
        <v>10800</v>
      </c>
      <c r="G80">
        <v>939.5</v>
      </c>
      <c r="H80">
        <v>28.92</v>
      </c>
      <c r="I80">
        <v>4214</v>
      </c>
      <c r="J80">
        <v>752</v>
      </c>
      <c r="K80">
        <v>433.25</v>
      </c>
      <c r="L80">
        <v>4033</v>
      </c>
      <c r="M80">
        <v>253.7</v>
      </c>
      <c r="N80">
        <v>101.24</v>
      </c>
      <c r="O80">
        <v>3.8439999999999999</v>
      </c>
      <c r="P80">
        <v>152</v>
      </c>
      <c r="Q80">
        <v>92.75</v>
      </c>
      <c r="R80">
        <v>986.1</v>
      </c>
      <c r="S80">
        <v>4.3369999999999999E-2</v>
      </c>
      <c r="T80">
        <v>70.87</v>
      </c>
      <c r="U80">
        <v>2298</v>
      </c>
      <c r="V80">
        <v>8.4949999999999992</v>
      </c>
      <c r="W80">
        <v>45.14</v>
      </c>
      <c r="X80">
        <v>351.9</v>
      </c>
      <c r="Y80">
        <v>0.63160000000000005</v>
      </c>
      <c r="Z80">
        <v>0.15640000000000001</v>
      </c>
      <c r="AA80">
        <v>105</v>
      </c>
      <c r="AB80">
        <v>763</v>
      </c>
      <c r="AC80">
        <v>0.7389</v>
      </c>
      <c r="AD80">
        <v>2.67</v>
      </c>
      <c r="AE80">
        <v>314.5</v>
      </c>
      <c r="AF80">
        <v>397.9</v>
      </c>
      <c r="AG80">
        <v>70.7</v>
      </c>
      <c r="AH80">
        <v>88.7</v>
      </c>
      <c r="AI80">
        <v>6.34</v>
      </c>
      <c r="AJ80">
        <v>4420</v>
      </c>
      <c r="AK80">
        <v>2.16</v>
      </c>
      <c r="AL80">
        <v>91.75</v>
      </c>
      <c r="AM80">
        <v>2001</v>
      </c>
      <c r="AN80">
        <v>16190</v>
      </c>
      <c r="AO80">
        <v>55.8</v>
      </c>
      <c r="AP80">
        <v>1085</v>
      </c>
      <c r="AQ80">
        <v>499</v>
      </c>
      <c r="AR80">
        <v>104.4</v>
      </c>
      <c r="AS80">
        <v>48.75</v>
      </c>
      <c r="AT80">
        <v>0.70799999999999996</v>
      </c>
      <c r="AU80">
        <v>63.7</v>
      </c>
      <c r="AV80">
        <v>96.89</v>
      </c>
      <c r="AW80">
        <v>0.35249999999999998</v>
      </c>
      <c r="AX80">
        <v>380</v>
      </c>
    </row>
    <row r="81" spans="1:50" x14ac:dyDescent="0.2">
      <c r="A81" s="1" t="s">
        <v>146</v>
      </c>
      <c r="B81">
        <v>2285.61</v>
      </c>
      <c r="C81">
        <v>190</v>
      </c>
      <c r="D81">
        <v>142.9</v>
      </c>
      <c r="E81">
        <v>4541</v>
      </c>
      <c r="F81">
        <v>11005</v>
      </c>
      <c r="G81">
        <v>959.1</v>
      </c>
      <c r="H81">
        <v>28.535</v>
      </c>
      <c r="I81">
        <v>4165</v>
      </c>
      <c r="J81">
        <v>758.5</v>
      </c>
      <c r="K81">
        <v>437.2</v>
      </c>
      <c r="L81">
        <v>4039</v>
      </c>
      <c r="M81">
        <v>253.1</v>
      </c>
      <c r="N81">
        <v>100.09</v>
      </c>
      <c r="O81">
        <v>3.95</v>
      </c>
      <c r="P81">
        <v>155.9</v>
      </c>
      <c r="Q81">
        <v>96.19</v>
      </c>
      <c r="R81">
        <v>1019.9</v>
      </c>
      <c r="S81">
        <v>4.2950000000000002E-2</v>
      </c>
      <c r="T81">
        <v>70.2</v>
      </c>
      <c r="U81">
        <v>2282</v>
      </c>
      <c r="V81">
        <v>8.4849999999999994</v>
      </c>
      <c r="W81">
        <v>46.045000000000002</v>
      </c>
      <c r="X81">
        <v>350.7</v>
      </c>
      <c r="Y81">
        <v>0.625</v>
      </c>
      <c r="Z81">
        <v>0.1552</v>
      </c>
      <c r="AA81">
        <v>105.75</v>
      </c>
      <c r="AB81">
        <v>757</v>
      </c>
      <c r="AC81">
        <v>0.72</v>
      </c>
      <c r="AD81">
        <v>2.6629999999999998</v>
      </c>
      <c r="AE81">
        <v>310</v>
      </c>
      <c r="AF81">
        <v>400.1</v>
      </c>
      <c r="AG81">
        <v>71.150000000000006</v>
      </c>
      <c r="AH81">
        <v>89.35</v>
      </c>
      <c r="AI81">
        <v>6.34</v>
      </c>
      <c r="AJ81">
        <v>4450</v>
      </c>
      <c r="AK81">
        <v>2.1255000000000002</v>
      </c>
      <c r="AL81">
        <v>90.5</v>
      </c>
      <c r="AM81">
        <v>2000</v>
      </c>
      <c r="AN81">
        <v>16300</v>
      </c>
      <c r="AO81">
        <v>56</v>
      </c>
      <c r="AP81">
        <v>1105</v>
      </c>
      <c r="AQ81">
        <v>499</v>
      </c>
      <c r="AR81">
        <v>101.2</v>
      </c>
      <c r="AS81">
        <v>48.25</v>
      </c>
      <c r="AT81">
        <v>0.70200000000000007</v>
      </c>
      <c r="AU81">
        <v>63.2</v>
      </c>
      <c r="AV81">
        <v>97.71</v>
      </c>
      <c r="AW81">
        <v>0.35160000000000002</v>
      </c>
      <c r="AX81">
        <v>370</v>
      </c>
    </row>
    <row r="82" spans="1:50" x14ac:dyDescent="0.2">
      <c r="A82" s="1" t="s">
        <v>147</v>
      </c>
      <c r="B82">
        <v>2282.88</v>
      </c>
      <c r="C82">
        <v>192.76</v>
      </c>
      <c r="D82">
        <v>141.24</v>
      </c>
      <c r="E82">
        <v>4460</v>
      </c>
      <c r="F82">
        <v>10990</v>
      </c>
      <c r="G82">
        <v>987.6</v>
      </c>
      <c r="H82">
        <v>28.77</v>
      </c>
      <c r="I82">
        <v>4220</v>
      </c>
      <c r="J82">
        <v>752.6</v>
      </c>
      <c r="K82">
        <v>431.3</v>
      </c>
      <c r="L82">
        <v>3995</v>
      </c>
      <c r="M82">
        <v>251</v>
      </c>
      <c r="N82">
        <v>102.37</v>
      </c>
      <c r="O82">
        <v>3.976</v>
      </c>
      <c r="P82">
        <v>155.47999999999999</v>
      </c>
      <c r="Q82">
        <v>97</v>
      </c>
      <c r="R82">
        <v>1024.5</v>
      </c>
      <c r="S82">
        <v>4.3639999999999998E-2</v>
      </c>
      <c r="T82">
        <v>69.81</v>
      </c>
      <c r="U82">
        <v>2271</v>
      </c>
      <c r="V82">
        <v>8.375</v>
      </c>
      <c r="W82">
        <v>46.7</v>
      </c>
      <c r="X82">
        <v>350</v>
      </c>
      <c r="Y82">
        <v>0.62439999999999996</v>
      </c>
      <c r="Z82">
        <v>0.15690000000000001</v>
      </c>
      <c r="AA82">
        <v>107.25</v>
      </c>
      <c r="AB82">
        <v>754</v>
      </c>
      <c r="AC82">
        <v>0.71400000000000008</v>
      </c>
      <c r="AD82">
        <v>2.601</v>
      </c>
      <c r="AE82">
        <v>305</v>
      </c>
      <c r="AF82">
        <v>399.8</v>
      </c>
      <c r="AG82">
        <v>71.45</v>
      </c>
      <c r="AH82">
        <v>88.3</v>
      </c>
      <c r="AI82">
        <v>6.27</v>
      </c>
      <c r="AJ82">
        <v>4482</v>
      </c>
      <c r="AK82">
        <v>2.0859999999999999</v>
      </c>
      <c r="AL82">
        <v>90.35</v>
      </c>
      <c r="AM82">
        <v>1994</v>
      </c>
      <c r="AN82">
        <v>16480</v>
      </c>
      <c r="AO82">
        <v>57</v>
      </c>
      <c r="AP82">
        <v>1090</v>
      </c>
      <c r="AQ82">
        <v>497</v>
      </c>
      <c r="AR82">
        <v>99.2</v>
      </c>
      <c r="AS82">
        <v>47.75</v>
      </c>
      <c r="AT82">
        <v>0.7</v>
      </c>
      <c r="AU82">
        <v>63.9</v>
      </c>
      <c r="AV82">
        <v>103.42</v>
      </c>
      <c r="AW82">
        <v>0.35070000000000001</v>
      </c>
      <c r="AX82">
        <v>434</v>
      </c>
    </row>
    <row r="83" spans="1:50" x14ac:dyDescent="0.2">
      <c r="A83" s="1" t="s">
        <v>148</v>
      </c>
      <c r="B83">
        <v>2267.13</v>
      </c>
      <c r="C83">
        <v>187.98</v>
      </c>
      <c r="D83">
        <v>141.5</v>
      </c>
      <c r="E83">
        <v>4428.5</v>
      </c>
      <c r="F83">
        <v>11000</v>
      </c>
      <c r="G83">
        <v>974</v>
      </c>
      <c r="H83">
        <v>28.35</v>
      </c>
      <c r="I83">
        <v>4146</v>
      </c>
      <c r="J83">
        <v>753.5</v>
      </c>
      <c r="K83">
        <v>428.55</v>
      </c>
      <c r="L83">
        <v>4016</v>
      </c>
      <c r="M83">
        <v>249.85</v>
      </c>
      <c r="N83">
        <v>100.36</v>
      </c>
      <c r="O83">
        <v>4.0350000000000001</v>
      </c>
      <c r="P83">
        <v>155.54</v>
      </c>
      <c r="Q83">
        <v>95.8</v>
      </c>
      <c r="R83">
        <v>1022.8</v>
      </c>
      <c r="S83">
        <v>4.3400000000000001E-2</v>
      </c>
      <c r="T83">
        <v>69.98</v>
      </c>
      <c r="U83">
        <v>2314</v>
      </c>
      <c r="V83">
        <v>8.3949999999999996</v>
      </c>
      <c r="W83">
        <v>46.44</v>
      </c>
      <c r="X83">
        <v>358.6</v>
      </c>
      <c r="Y83">
        <v>0.63280000000000003</v>
      </c>
      <c r="Z83">
        <v>0.154</v>
      </c>
      <c r="AA83">
        <v>107.4</v>
      </c>
      <c r="AB83">
        <v>756</v>
      </c>
      <c r="AC83">
        <v>0.69599999999999995</v>
      </c>
      <c r="AD83">
        <v>2.5670000000000002</v>
      </c>
      <c r="AE83">
        <v>302</v>
      </c>
      <c r="AF83">
        <v>401</v>
      </c>
      <c r="AG83">
        <v>71.349999999999994</v>
      </c>
      <c r="AH83">
        <v>84.85</v>
      </c>
      <c r="AI83">
        <v>6.22</v>
      </c>
      <c r="AJ83">
        <v>4495</v>
      </c>
      <c r="AK83">
        <v>2.032</v>
      </c>
      <c r="AL83">
        <v>89.5</v>
      </c>
      <c r="AM83">
        <v>1987</v>
      </c>
      <c r="AN83">
        <v>16430</v>
      </c>
      <c r="AO83">
        <v>56.4</v>
      </c>
      <c r="AP83">
        <v>1095</v>
      </c>
      <c r="AQ83">
        <v>497</v>
      </c>
      <c r="AR83">
        <v>97.6</v>
      </c>
      <c r="AS83">
        <v>48</v>
      </c>
      <c r="AT83">
        <v>0.69700000000000006</v>
      </c>
      <c r="AU83">
        <v>61.6</v>
      </c>
      <c r="AV83">
        <v>100.24</v>
      </c>
      <c r="AW83">
        <v>0.34660000000000002</v>
      </c>
      <c r="AX83">
        <v>424</v>
      </c>
    </row>
    <row r="84" spans="1:50" x14ac:dyDescent="0.2">
      <c r="A84" s="1" t="s">
        <v>149</v>
      </c>
      <c r="B84">
        <v>2261.09</v>
      </c>
      <c r="C84">
        <v>191.6</v>
      </c>
      <c r="D84">
        <v>140.88</v>
      </c>
      <c r="E84">
        <v>4396</v>
      </c>
      <c r="F84">
        <v>10901</v>
      </c>
      <c r="G84">
        <v>978.8</v>
      </c>
      <c r="H84">
        <v>28</v>
      </c>
      <c r="I84">
        <v>4116</v>
      </c>
      <c r="J84">
        <v>742</v>
      </c>
      <c r="K84">
        <v>422.3</v>
      </c>
      <c r="L84">
        <v>4035</v>
      </c>
      <c r="M84">
        <v>248.8</v>
      </c>
      <c r="N84">
        <v>100.07</v>
      </c>
      <c r="O84">
        <v>4.0289999999999999</v>
      </c>
      <c r="P84">
        <v>153.38</v>
      </c>
      <c r="Q84">
        <v>94.1</v>
      </c>
      <c r="R84">
        <v>1018</v>
      </c>
      <c r="S84">
        <v>4.3880000000000002E-2</v>
      </c>
      <c r="T84">
        <v>69.78</v>
      </c>
      <c r="U84">
        <v>2319</v>
      </c>
      <c r="V84">
        <v>8.4550000000000001</v>
      </c>
      <c r="W84">
        <v>45.5</v>
      </c>
      <c r="X84">
        <v>359</v>
      </c>
      <c r="Y84">
        <v>0.63739999999999997</v>
      </c>
      <c r="Z84">
        <v>0.15295</v>
      </c>
      <c r="AA84">
        <v>110.5</v>
      </c>
      <c r="AB84">
        <v>752</v>
      </c>
      <c r="AC84">
        <v>0.7</v>
      </c>
      <c r="AD84">
        <v>2.5739999999999998</v>
      </c>
      <c r="AE84">
        <v>297</v>
      </c>
      <c r="AF84">
        <v>401.8</v>
      </c>
      <c r="AG84">
        <v>73.75</v>
      </c>
      <c r="AH84">
        <v>86.3</v>
      </c>
      <c r="AI84">
        <v>6.3150000000000004</v>
      </c>
      <c r="AJ84">
        <v>4469</v>
      </c>
      <c r="AK84">
        <v>2.0185</v>
      </c>
      <c r="AL84">
        <v>88</v>
      </c>
      <c r="AM84">
        <v>1958</v>
      </c>
      <c r="AN84">
        <v>16200</v>
      </c>
      <c r="AO84">
        <v>55.4</v>
      </c>
      <c r="AP84">
        <v>1090</v>
      </c>
      <c r="AQ84">
        <v>504</v>
      </c>
      <c r="AR84">
        <v>98.6</v>
      </c>
      <c r="AS84">
        <v>47</v>
      </c>
      <c r="AT84">
        <v>0.69799999999999995</v>
      </c>
      <c r="AU84">
        <v>62</v>
      </c>
      <c r="AV84">
        <v>99.03</v>
      </c>
      <c r="AW84">
        <v>0.34399999999999997</v>
      </c>
      <c r="AX84">
        <v>420</v>
      </c>
    </row>
    <row r="85" spans="1:50" x14ac:dyDescent="0.2">
      <c r="A85" s="1" t="s">
        <v>150</v>
      </c>
      <c r="B85">
        <v>2255.12</v>
      </c>
      <c r="C85">
        <v>189.55</v>
      </c>
      <c r="D85">
        <v>141.01</v>
      </c>
      <c r="E85">
        <v>4375</v>
      </c>
      <c r="F85">
        <v>10821</v>
      </c>
      <c r="G85">
        <v>977</v>
      </c>
      <c r="H85">
        <v>27.704999999999998</v>
      </c>
      <c r="I85">
        <v>4055</v>
      </c>
      <c r="J85">
        <v>740</v>
      </c>
      <c r="K85">
        <v>425.8</v>
      </c>
      <c r="L85">
        <v>4033</v>
      </c>
      <c r="M85">
        <v>248.65</v>
      </c>
      <c r="N85">
        <v>100.03</v>
      </c>
      <c r="O85">
        <v>3.9830000000000001</v>
      </c>
      <c r="P85">
        <v>155.16</v>
      </c>
      <c r="Q85">
        <v>93.89</v>
      </c>
      <c r="R85">
        <v>1020.2</v>
      </c>
      <c r="S85">
        <v>4.3709999999999999E-2</v>
      </c>
      <c r="T85">
        <v>69.599999999999994</v>
      </c>
      <c r="U85">
        <v>2325</v>
      </c>
      <c r="V85">
        <v>8.44</v>
      </c>
      <c r="W85">
        <v>45.854999999999997</v>
      </c>
      <c r="X85">
        <v>348.5</v>
      </c>
      <c r="Y85">
        <v>0.62460000000000004</v>
      </c>
      <c r="Z85">
        <v>0.15140000000000001</v>
      </c>
      <c r="AA85">
        <v>109</v>
      </c>
      <c r="AB85">
        <v>752.5</v>
      </c>
      <c r="AC85">
        <v>0.70150000000000001</v>
      </c>
      <c r="AD85">
        <v>2.5939999999999999</v>
      </c>
      <c r="AE85">
        <v>286</v>
      </c>
      <c r="AF85">
        <v>402.7</v>
      </c>
      <c r="AG85">
        <v>73.25</v>
      </c>
      <c r="AH85">
        <v>86.75</v>
      </c>
      <c r="AI85">
        <v>5.9950000000000001</v>
      </c>
      <c r="AJ85">
        <v>4485</v>
      </c>
      <c r="AK85">
        <v>2.0265</v>
      </c>
      <c r="AL85">
        <v>84.9</v>
      </c>
      <c r="AM85">
        <v>1956</v>
      </c>
      <c r="AN85">
        <v>16240</v>
      </c>
      <c r="AO85">
        <v>55.2</v>
      </c>
      <c r="AP85">
        <v>1085</v>
      </c>
      <c r="AQ85">
        <v>504</v>
      </c>
      <c r="AR85">
        <v>98.4</v>
      </c>
      <c r="AS85">
        <v>47</v>
      </c>
      <c r="AT85">
        <v>0.70700000000000007</v>
      </c>
      <c r="AU85">
        <v>62.9</v>
      </c>
      <c r="AV85">
        <v>98.85</v>
      </c>
      <c r="AW85">
        <v>0.34279999999999999</v>
      </c>
      <c r="AX85">
        <v>406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Y92"/>
  <sheetViews>
    <sheetView topLeftCell="A56" workbookViewId="0">
      <selection activeCell="D92" sqref="D92"/>
    </sheetView>
  </sheetViews>
  <sheetFormatPr baseColWidth="10" defaultColWidth="11.5" defaultRowHeight="15" x14ac:dyDescent="0.2"/>
  <cols>
    <col min="2" max="2" width="13.33203125" bestFit="1" customWidth="1"/>
    <col min="3" max="3" width="13.1640625" bestFit="1" customWidth="1"/>
    <col min="4" max="4" width="24.1640625" bestFit="1" customWidth="1"/>
  </cols>
  <sheetData>
    <row r="1" spans="1:51" x14ac:dyDescent="0.2">
      <c r="A1" s="1" t="s">
        <v>48</v>
      </c>
      <c r="B1" s="1" t="s">
        <v>52</v>
      </c>
      <c r="C1" s="1" t="s">
        <v>53</v>
      </c>
      <c r="D1" s="1" t="s">
        <v>0</v>
      </c>
      <c r="E1" s="1" t="s">
        <v>1</v>
      </c>
      <c r="F1" s="1" t="s">
        <v>2</v>
      </c>
      <c r="G1" s="1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13</v>
      </c>
      <c r="R1" s="1" t="s">
        <v>14</v>
      </c>
      <c r="S1" s="1" t="s">
        <v>15</v>
      </c>
      <c r="T1" s="1" t="s">
        <v>16</v>
      </c>
      <c r="U1" s="1" t="s">
        <v>17</v>
      </c>
      <c r="V1" s="1" t="s">
        <v>18</v>
      </c>
      <c r="W1" s="1" t="s">
        <v>19</v>
      </c>
      <c r="X1" s="1" t="s">
        <v>20</v>
      </c>
      <c r="Y1" s="1" t="s">
        <v>21</v>
      </c>
      <c r="Z1" s="1" t="s">
        <v>22</v>
      </c>
      <c r="AA1" s="1" t="s">
        <v>23</v>
      </c>
      <c r="AB1" s="1" t="s">
        <v>24</v>
      </c>
      <c r="AC1" s="1" t="s">
        <v>25</v>
      </c>
      <c r="AD1" s="1" t="s">
        <v>26</v>
      </c>
      <c r="AE1" s="1" t="s">
        <v>27</v>
      </c>
      <c r="AF1" s="1" t="s">
        <v>28</v>
      </c>
      <c r="AG1" s="1" t="s">
        <v>29</v>
      </c>
      <c r="AH1" s="1" t="s">
        <v>30</v>
      </c>
      <c r="AI1" s="1" t="s">
        <v>31</v>
      </c>
      <c r="AJ1" s="1" t="s">
        <v>32</v>
      </c>
      <c r="AK1" s="1" t="s">
        <v>33</v>
      </c>
      <c r="AL1" s="1" t="s">
        <v>34</v>
      </c>
      <c r="AM1" s="1" t="s">
        <v>35</v>
      </c>
      <c r="AN1" s="1" t="s">
        <v>36</v>
      </c>
      <c r="AO1" s="1" t="s">
        <v>37</v>
      </c>
      <c r="AP1" s="1" t="s">
        <v>38</v>
      </c>
      <c r="AQ1" s="1" t="s">
        <v>39</v>
      </c>
      <c r="AR1" s="1" t="s">
        <v>40</v>
      </c>
      <c r="AS1" s="1" t="s">
        <v>41</v>
      </c>
      <c r="AT1" s="1" t="s">
        <v>42</v>
      </c>
      <c r="AU1" s="1" t="s">
        <v>43</v>
      </c>
      <c r="AV1" s="1" t="s">
        <v>44</v>
      </c>
      <c r="AW1" s="1" t="s">
        <v>45</v>
      </c>
      <c r="AX1" s="1" t="s">
        <v>46</v>
      </c>
      <c r="AY1" s="1" t="s">
        <v>47</v>
      </c>
    </row>
    <row r="2" spans="1:51" x14ac:dyDescent="0.2">
      <c r="A2" s="1" t="s">
        <v>67</v>
      </c>
      <c r="B2" s="2"/>
      <c r="C2">
        <f>(Цены!B2-Цены!B$2)/Цены!B$2</f>
        <v>0</v>
      </c>
      <c r="D2">
        <f>(Цены!C2-Цены!C$2)/Цены!C$2</f>
        <v>0</v>
      </c>
      <c r="E2">
        <f>(Цены!D2-Цены!D$2)/Цены!D$2</f>
        <v>0</v>
      </c>
      <c r="F2">
        <f>(Цены!E2-Цены!E$2)/Цены!E$2</f>
        <v>0</v>
      </c>
      <c r="G2">
        <f>(Цены!F2-Цены!F$2)/Цены!F$2</f>
        <v>0</v>
      </c>
      <c r="H2">
        <f>(Цены!G2-Цены!G$2)/Цены!G$2</f>
        <v>0</v>
      </c>
      <c r="I2">
        <f>(Цены!H2-Цены!H$2)/Цены!H$2</f>
        <v>0</v>
      </c>
      <c r="J2">
        <f>(Цены!I2-Цены!I$2)/Цены!I$2</f>
        <v>0</v>
      </c>
      <c r="K2">
        <f>(Цены!J2-Цены!J$2)/Цены!J$2</f>
        <v>0</v>
      </c>
      <c r="L2">
        <f>(Цены!K2-Цены!K$2)/Цены!K$2</f>
        <v>0</v>
      </c>
      <c r="M2">
        <f>(Цены!L2-Цены!L$2)/Цены!L$2</f>
        <v>0</v>
      </c>
      <c r="N2">
        <f>(Цены!M2-Цены!M$2)/Цены!M$2</f>
        <v>0</v>
      </c>
      <c r="O2">
        <f>(Цены!N2-Цены!N$2)/Цены!N$2</f>
        <v>0</v>
      </c>
      <c r="P2">
        <f>(Цены!O2-Цены!O$2)/Цены!O$2</f>
        <v>0</v>
      </c>
      <c r="Q2">
        <f>(Цены!P2-Цены!P$2)/Цены!P$2</f>
        <v>0</v>
      </c>
      <c r="R2">
        <f>(Цены!Q2-Цены!Q$2)/Цены!Q$2</f>
        <v>0</v>
      </c>
      <c r="S2">
        <f>(Цены!R2-Цены!R$2)/Цены!R$2</f>
        <v>0</v>
      </c>
      <c r="T2">
        <f>(Цены!S2-Цены!S$2)/Цены!S$2</f>
        <v>0</v>
      </c>
      <c r="U2">
        <f>(Цены!T2-Цены!T$2)/Цены!T$2</f>
        <v>0</v>
      </c>
      <c r="V2">
        <f>(Цены!U2-Цены!U$2)/Цены!U$2</f>
        <v>0</v>
      </c>
      <c r="W2">
        <f>(Цены!V2-Цены!V$2)/Цены!V$2</f>
        <v>0</v>
      </c>
      <c r="X2">
        <f>(Цены!W2-Цены!W$2)/Цены!W$2</f>
        <v>0</v>
      </c>
      <c r="Y2">
        <f>(Цены!X2-Цены!X$2)/Цены!X$2</f>
        <v>0</v>
      </c>
      <c r="Z2">
        <f>(Цены!Y2-Цены!Y$2)/Цены!Y$2</f>
        <v>0</v>
      </c>
      <c r="AA2">
        <f>(Цены!Z2-Цены!Z$2)/Цены!Z$2</f>
        <v>0</v>
      </c>
      <c r="AB2">
        <f>(Цены!AA2-Цены!AA$2)/Цены!AA$2</f>
        <v>0</v>
      </c>
      <c r="AC2">
        <f>(Цены!AB2-Цены!AB$2)/Цены!AB$2</f>
        <v>0</v>
      </c>
      <c r="AD2">
        <f>(Цены!AC2-Цены!AC$2)/Цены!AC$2</f>
        <v>0</v>
      </c>
      <c r="AE2">
        <f>(Цены!AD2-Цены!AD$2)/Цены!AD$2</f>
        <v>0</v>
      </c>
      <c r="AF2">
        <f>(Цены!AE2-Цены!AE$2)/Цены!AE$2</f>
        <v>0</v>
      </c>
      <c r="AG2">
        <f>(Цены!AF2-Цены!AF$2)/Цены!AF$2</f>
        <v>0</v>
      </c>
      <c r="AH2">
        <f>(Цены!AG2-Цены!AG$2)/Цены!AG$2</f>
        <v>0</v>
      </c>
      <c r="AI2">
        <f>(Цены!AH2-Цены!AH$2)/Цены!AH$2</f>
        <v>0</v>
      </c>
      <c r="AJ2">
        <f>(Цены!AI2-Цены!AI$2)/Цены!AI$2</f>
        <v>0</v>
      </c>
      <c r="AK2">
        <f>(Цены!AJ2-Цены!AJ$2)/Цены!AJ$2</f>
        <v>0</v>
      </c>
      <c r="AL2">
        <f>(Цены!AK2-Цены!AK$2)/Цены!AK$2</f>
        <v>0</v>
      </c>
      <c r="AM2">
        <f>(Цены!AL2-Цены!AL$2)/Цены!AL$2</f>
        <v>0</v>
      </c>
      <c r="AN2">
        <f>(Цены!AM2-Цены!AM$2)/Цены!AM$2</f>
        <v>0</v>
      </c>
      <c r="AO2">
        <f>(Цены!AN2-Цены!AN$2)/Цены!AN$2</f>
        <v>0</v>
      </c>
      <c r="AP2">
        <f>(Цены!AO2-Цены!AO$2)/Цены!AO$2</f>
        <v>0</v>
      </c>
      <c r="AQ2">
        <f>(Цены!AP2-Цены!AP$2)/Цены!AP$2</f>
        <v>0</v>
      </c>
      <c r="AR2">
        <f>(Цены!AQ2-Цены!AQ$2)/Цены!AQ$2</f>
        <v>0</v>
      </c>
      <c r="AS2">
        <f>(Цены!AR2-Цены!AR$2)/Цены!AR$2</f>
        <v>0</v>
      </c>
      <c r="AT2">
        <f>(Цены!AS2-Цены!AS$2)/Цены!AS$2</f>
        <v>0</v>
      </c>
      <c r="AU2">
        <f>(Цены!AT2-Цены!AT$2)/Цены!AT$2</f>
        <v>0</v>
      </c>
      <c r="AV2">
        <f>(Цены!AU2-Цены!AU$2)/Цены!AU$2</f>
        <v>0</v>
      </c>
      <c r="AW2">
        <f>(Цены!AV2-Цены!AV$2)/Цены!AV$2</f>
        <v>0</v>
      </c>
      <c r="AX2">
        <f>(Цены!AW2-Цены!AW$2)/Цены!AW$2</f>
        <v>0</v>
      </c>
      <c r="AY2">
        <f>(Цены!AX2-Цены!AX$2)/Цены!AX$2</f>
        <v>0</v>
      </c>
    </row>
    <row r="3" spans="1:51" x14ac:dyDescent="0.2">
      <c r="A3" s="1" t="s">
        <v>68</v>
      </c>
      <c r="B3" s="2">
        <v>1</v>
      </c>
      <c r="C3">
        <f>(Цены!B3-Цены!B$2)/Цены!B$2</f>
        <v>-1.1979926966814796E-4</v>
      </c>
      <c r="D3">
        <f>(Цены!C3-Цены!C$2)/Цены!C$2</f>
        <v>-1.1434977578475388E-2</v>
      </c>
      <c r="E3">
        <f>(Цены!D3-Цены!D$2)/Цены!D$2</f>
        <v>-9.9902872207575811E-3</v>
      </c>
      <c r="F3">
        <f>(Цены!E3-Цены!E$2)/Цены!E$2</f>
        <v>7.3759219902487811E-3</v>
      </c>
      <c r="G3">
        <f>(Цены!F3-Цены!F$2)/Цены!F$2</f>
        <v>-5.2486187845303869E-3</v>
      </c>
      <c r="H3">
        <f>(Цены!G3-Цены!G$2)/Цены!G$2</f>
        <v>-4.4372730939896037E-3</v>
      </c>
      <c r="I3">
        <f>(Цены!H3-Цены!H$2)/Цены!H$2</f>
        <v>-4.6153846153846687E-3</v>
      </c>
      <c r="J3">
        <f>(Цены!I3-Цены!I$2)/Цены!I$2</f>
        <v>1.0496671786994368E-2</v>
      </c>
      <c r="K3">
        <f>(Цены!J3-Цены!J$2)/Цены!J$2</f>
        <v>7.5642965204236008E-3</v>
      </c>
      <c r="L3">
        <f>(Цены!K3-Цены!K$2)/Цены!K$2</f>
        <v>5.0390347764371894E-2</v>
      </c>
      <c r="M3">
        <f>(Цены!L3-Цены!L$2)/Цены!L$2</f>
        <v>1.2053288221611334E-2</v>
      </c>
      <c r="N3">
        <f>(Цены!M3-Цены!M$2)/Цены!M$2</f>
        <v>-8.6385625431928132E-4</v>
      </c>
      <c r="O3">
        <f>(Цены!N3-Цены!N$2)/Цены!N$2</f>
        <v>2.1013921723142381E-3</v>
      </c>
      <c r="P3">
        <f>(Цены!O3-Цены!O$2)/Цены!O$2</f>
        <v>5.4568527918781914E-3</v>
      </c>
      <c r="Q3">
        <f>(Цены!P3-Цены!P$2)/Цены!P$2</f>
        <v>2.263174911089557E-2</v>
      </c>
      <c r="R3">
        <f>(Цены!Q3-Цены!Q$2)/Цены!Q$2</f>
        <v>2.8490028490028491E-3</v>
      </c>
      <c r="S3">
        <f>(Цены!R3-Цены!R$2)/Цены!R$2</f>
        <v>1.3675922088686211E-2</v>
      </c>
      <c r="T3">
        <f>(Цены!S3-Цены!S$2)/Цены!S$2</f>
        <v>-2.4528301886790798E-3</v>
      </c>
      <c r="U3">
        <f>(Цены!T3-Цены!T$2)/Цены!T$2</f>
        <v>6.1396776669212644E-4</v>
      </c>
      <c r="V3">
        <f>(Цены!U3-Цены!U$2)/Цены!U$2</f>
        <v>8.3263946711074101E-3</v>
      </c>
      <c r="W3">
        <f>(Цены!V3-Цены!V$2)/Цены!V$2</f>
        <v>-4.608294930875478E-3</v>
      </c>
      <c r="X3">
        <f>(Цены!W3-Цены!W$2)/Цены!W$2</f>
        <v>-5.301882709370211E-3</v>
      </c>
      <c r="Y3">
        <f>(Цены!X3-Цены!X$2)/Цены!X$2</f>
        <v>0</v>
      </c>
      <c r="Z3">
        <f>(Цены!Y3-Цены!Y$2)/Цены!Y$2</f>
        <v>8.0699394754530447E-4</v>
      </c>
      <c r="AA3">
        <f>(Цены!Z3-Цены!Z$2)/Цены!Z$2</f>
        <v>-9.5100864553313257E-3</v>
      </c>
      <c r="AB3">
        <f>(Цены!AA3-Цены!AA$2)/Цены!AA$2</f>
        <v>-1.4665757162346561E-2</v>
      </c>
      <c r="AC3">
        <f>(Цены!AB3-Цены!AB$2)/Цены!AB$2</f>
        <v>-4.8048048048048046E-3</v>
      </c>
      <c r="AD3">
        <f>(Цены!AC3-Цены!AC$2)/Цены!AC$2</f>
        <v>-5.919304179753582E-3</v>
      </c>
      <c r="AE3">
        <f>(Цены!AD3-Цены!AD$2)/Цены!AD$2</f>
        <v>-1.0591672753834885E-2</v>
      </c>
      <c r="AF3">
        <f>(Цены!AE3-Цены!AE$2)/Цены!AE$2</f>
        <v>1.3293943870014771E-2</v>
      </c>
      <c r="AG3">
        <f>(Цены!AF3-Цены!AF$2)/Цены!AF$2</f>
        <v>-3.1007751937984523E-2</v>
      </c>
      <c r="AH3">
        <f>(Цены!AG3-Цены!AG$2)/Цены!AG$2</f>
        <v>8.2961072112317253E-3</v>
      </c>
      <c r="AI3">
        <f>(Цены!AH3-Цены!AH$2)/Цены!AH$2</f>
        <v>-1.5676567656765724E-2</v>
      </c>
      <c r="AJ3">
        <f>(Цены!AI3-Цены!AI$2)/Цены!AI$2</f>
        <v>-5.5058499655884427E-3</v>
      </c>
      <c r="AK3">
        <f>(Цены!AJ3-Цены!AJ$2)/Цены!AJ$2</f>
        <v>-2.5797373358348967E-3</v>
      </c>
      <c r="AL3">
        <f>(Цены!AK3-Цены!AK$2)/Цены!AK$2</f>
        <v>-1.9208605455244051E-2</v>
      </c>
      <c r="AM3">
        <f>(Цены!AL3-Цены!AL$2)/Цены!AL$2</f>
        <v>0</v>
      </c>
      <c r="AN3">
        <f>(Цены!AM3-Цены!AM$2)/Цены!AM$2</f>
        <v>-2.2831050228310501E-3</v>
      </c>
      <c r="AO3">
        <f>(Цены!AN3-Цены!AN$2)/Цены!AN$2</f>
        <v>0</v>
      </c>
      <c r="AP3">
        <f>(Цены!AO3-Цены!AO$2)/Цены!AO$2</f>
        <v>-3.663003663003715E-3</v>
      </c>
      <c r="AQ3">
        <f>(Цены!AP3-Цены!AP$2)/Цены!AP$2</f>
        <v>-9.1743119266055051E-3</v>
      </c>
      <c r="AR3">
        <f>(Цены!AQ3-Цены!AQ$2)/Цены!AQ$2</f>
        <v>1.6227180527383367E-2</v>
      </c>
      <c r="AS3">
        <f>(Цены!AR3-Цены!AR$2)/Цены!AR$2</f>
        <v>-1.0629599345870787E-2</v>
      </c>
      <c r="AT3">
        <f>(Цены!AS3-Цены!AS$2)/Цены!AS$2</f>
        <v>-1.1583011583011473E-2</v>
      </c>
      <c r="AU3">
        <f>(Цены!AT3-Цены!AT$2)/Цены!AT$2</f>
        <v>0</v>
      </c>
      <c r="AV3">
        <f>(Цены!AU3-Цены!AU$2)/Цены!AU$2</f>
        <v>-2.0060180541625161E-3</v>
      </c>
      <c r="AW3">
        <f>(Цены!AV3-Цены!AV$2)/Цены!AV$2</f>
        <v>-3.6800519536746771E-3</v>
      </c>
      <c r="AX3">
        <f>(Цены!AW3-Цены!AW$2)/Цены!AW$2</f>
        <v>-5.7777777777777584E-3</v>
      </c>
      <c r="AY3">
        <f>(Цены!AX3-Цены!AX$2)/Цены!AX$2</f>
        <v>-2.0864381520119227E-2</v>
      </c>
    </row>
    <row r="4" spans="1:51" x14ac:dyDescent="0.2">
      <c r="A4" s="1" t="s">
        <v>69</v>
      </c>
      <c r="B4" s="2">
        <v>2</v>
      </c>
      <c r="C4">
        <f>(Цены!B4-Цены!B$2)/Цены!B$2</f>
        <v>1.4309357210363081E-2</v>
      </c>
      <c r="D4">
        <f>(Цены!C4-Цены!C$2)/Цены!C$2</f>
        <v>-1.031390134529153E-2</v>
      </c>
      <c r="E4">
        <f>(Цены!D4-Цены!D$2)/Цены!D$2</f>
        <v>9.2965172748716764E-3</v>
      </c>
      <c r="F4">
        <f>(Цены!E4-Цены!E$2)/Цены!E$2</f>
        <v>3.512939117389674E-2</v>
      </c>
      <c r="G4">
        <f>(Цены!F4-Цены!F$2)/Цены!F$2</f>
        <v>1.1786372007366482E-2</v>
      </c>
      <c r="H4">
        <f>(Цены!G4-Цены!G$2)/Цены!G$2</f>
        <v>2.1917439827887526E-2</v>
      </c>
      <c r="I4">
        <f>(Цены!H4-Цены!H$2)/Цены!H$2</f>
        <v>2.0512820512820561E-2</v>
      </c>
      <c r="J4">
        <f>(Цены!I4-Цены!I$2)/Цены!I$2</f>
        <v>3.5842293906810036E-3</v>
      </c>
      <c r="K4">
        <f>(Цены!J4-Цены!J$2)/Цены!J$2</f>
        <v>2.8744326777609682E-2</v>
      </c>
      <c r="L4">
        <f>(Цены!K4-Цены!K$2)/Цены!K$2</f>
        <v>6.4584811923349889E-2</v>
      </c>
      <c r="M4">
        <f>(Цены!L4-Цены!L$2)/Цены!L$2</f>
        <v>2.1357580883907802E-2</v>
      </c>
      <c r="N4">
        <f>(Цены!M4-Цены!M$2)/Цены!M$2</f>
        <v>2.2114720110573721E-2</v>
      </c>
      <c r="O4">
        <f>(Цены!N4-Цены!N$2)/Цены!N$2</f>
        <v>1.6373347342614523E-2</v>
      </c>
      <c r="P4">
        <f>(Цены!O4-Цены!O$2)/Цены!O$2</f>
        <v>-5.0761421319797002E-3</v>
      </c>
      <c r="Q4">
        <f>(Цены!P4-Цены!P$2)/Цены!P$2</f>
        <v>3.7827352085353989E-2</v>
      </c>
      <c r="R4">
        <f>(Цены!Q4-Цены!Q$2)/Цены!Q$2</f>
        <v>3.4188034188033863E-3</v>
      </c>
      <c r="S4">
        <f>(Цены!R4-Цены!R$2)/Цены!R$2</f>
        <v>3.2324906755076599E-2</v>
      </c>
      <c r="T4">
        <f>(Цены!S4-Цены!S$2)/Цены!S$2</f>
        <v>-1.1320754716981064E-2</v>
      </c>
      <c r="U4">
        <f>(Цены!T4-Цены!T$2)/Цены!T$2</f>
        <v>-6.1396776669225732E-3</v>
      </c>
      <c r="V4">
        <f>(Цены!U4-Цены!U$2)/Цены!U$2</f>
        <v>2.4146544546211492E-2</v>
      </c>
      <c r="W4">
        <f>(Цены!V4-Цены!V$2)/Цены!V$2</f>
        <v>8.2949308755760238E-3</v>
      </c>
      <c r="X4">
        <f>(Цены!W4-Цены!W$2)/Цены!W$2</f>
        <v>4.544470893745961E-3</v>
      </c>
      <c r="Y4">
        <f>(Цены!X4-Цены!X$2)/Цены!X$2</f>
        <v>-6.5019505851770306E-4</v>
      </c>
      <c r="Z4">
        <f>(Цены!Y4-Цены!Y$2)/Цены!Y$2</f>
        <v>-4.7074646940148731E-3</v>
      </c>
      <c r="AA4">
        <f>(Цены!Z4-Цены!Z$2)/Цены!Z$2</f>
        <v>3.1700288184439351E-3</v>
      </c>
      <c r="AB4">
        <f>(Цены!AA4-Цены!AA$2)/Цены!AA$2</f>
        <v>-6.8212824010914054E-3</v>
      </c>
      <c r="AC4">
        <f>(Цены!AB4-Цены!AB$2)/Цены!AB$2</f>
        <v>0</v>
      </c>
      <c r="AD4">
        <f>(Цены!AC4-Цены!AC$2)/Цены!AC$2</f>
        <v>1.763711041314334E-2</v>
      </c>
      <c r="AE4">
        <f>(Цены!AD4-Цены!AD$2)/Цены!AD$2</f>
        <v>1.4609203798393001E-3</v>
      </c>
      <c r="AF4">
        <f>(Цены!AE4-Цены!AE$2)/Цены!AE$2</f>
        <v>2.2156573116691284E-2</v>
      </c>
      <c r="AG4">
        <f>(Цены!AF4-Цены!AF$2)/Цены!AF$2</f>
        <v>-2.6889534883720985E-2</v>
      </c>
      <c r="AH4">
        <f>(Цены!AG4-Цены!AG$2)/Цены!AG$2</f>
        <v>1.2763241863433313E-2</v>
      </c>
      <c r="AI4">
        <f>(Цены!AH4-Цены!AH$2)/Цены!AH$2</f>
        <v>-1.0726072607260703E-2</v>
      </c>
      <c r="AJ4">
        <f>(Цены!AI4-Цены!AI$2)/Цены!AI$2</f>
        <v>-5.5058499655884427E-3</v>
      </c>
      <c r="AK4">
        <f>(Цены!AJ4-Цены!AJ$2)/Цены!AJ$2</f>
        <v>3.7523452157598499E-3</v>
      </c>
      <c r="AL4">
        <f>(Цены!AK4-Цены!AK$2)/Цены!AK$2</f>
        <v>-2.4202842873607439E-2</v>
      </c>
      <c r="AM4">
        <f>(Цены!AL4-Цены!AL$2)/Цены!AL$2</f>
        <v>-2.678571428571403E-3</v>
      </c>
      <c r="AN4">
        <f>(Цены!AM4-Цены!AM$2)/Цены!AM$2</f>
        <v>4.10958904109589E-3</v>
      </c>
      <c r="AO4">
        <f>(Цены!AN4-Цены!AN$2)/Цены!AN$2</f>
        <v>2.3188405797101449E-3</v>
      </c>
      <c r="AP4">
        <f>(Цены!AO4-Цены!AO$2)/Цены!AO$2</f>
        <v>-5.4945054945055721E-3</v>
      </c>
      <c r="AQ4">
        <f>(Цены!AP4-Цены!AP$2)/Цены!AP$2</f>
        <v>-3.2110091743119268E-2</v>
      </c>
      <c r="AR4">
        <f>(Цены!AQ4-Цены!AQ$2)/Цены!AQ$2</f>
        <v>1.2170385395537525E-2</v>
      </c>
      <c r="AS4">
        <f>(Цены!AR4-Цены!AR$2)/Цены!AR$2</f>
        <v>-5.7236304170073821E-3</v>
      </c>
      <c r="AT4">
        <f>(Цены!AS4-Цены!AS$2)/Цены!AS$2</f>
        <v>-1.64092664092663E-2</v>
      </c>
      <c r="AU4">
        <f>(Цены!AT4-Цены!AT$2)/Цены!AT$2</f>
        <v>1.532033426183861E-2</v>
      </c>
      <c r="AV4">
        <f>(Цены!AU4-Цены!AU$2)/Цены!AU$2</f>
        <v>-1.0030090270813292E-3</v>
      </c>
      <c r="AW4">
        <f>(Цены!AV4-Цены!AV$2)/Цены!AV$2</f>
        <v>3.625933542591183E-2</v>
      </c>
      <c r="AX4">
        <f>(Цены!AW4-Цены!AW$2)/Цены!AW$2</f>
        <v>-1.8666666666666706E-2</v>
      </c>
      <c r="AY4">
        <f>(Цены!AX4-Цены!AX$2)/Цены!AX$2</f>
        <v>-3.8748137108792845E-2</v>
      </c>
    </row>
    <row r="5" spans="1:51" x14ac:dyDescent="0.2">
      <c r="A5" s="1" t="s">
        <v>70</v>
      </c>
      <c r="B5" s="2">
        <v>3</v>
      </c>
      <c r="C5">
        <f>(Цены!B5-Цены!B$2)/Цены!B$2</f>
        <v>2.1173411661349562E-2</v>
      </c>
      <c r="D5">
        <f>(Цены!C5-Цены!C$2)/Цены!C$2</f>
        <v>4.080717488789222E-3</v>
      </c>
      <c r="E5">
        <f>(Цены!D5-Цены!D$2)/Цены!D$2</f>
        <v>2.4975718051894942E-3</v>
      </c>
      <c r="F5">
        <f>(Цены!E5-Цены!E$2)/Цены!E$2</f>
        <v>5.3131641455181899E-2</v>
      </c>
      <c r="G5">
        <f>(Цены!F5-Цены!F$2)/Цены!F$2</f>
        <v>1.1878453038674033E-2</v>
      </c>
      <c r="H5">
        <f>(Цены!G5-Цены!G$2)/Цены!G$2</f>
        <v>3.6439424499125864E-2</v>
      </c>
      <c r="I5">
        <f>(Цены!H5-Цены!H$2)/Цены!H$2</f>
        <v>1.5213675213675223E-2</v>
      </c>
      <c r="J5">
        <f>(Цены!I5-Цены!I$2)/Цены!I$2</f>
        <v>7.9365079365079361E-3</v>
      </c>
      <c r="K5">
        <f>(Цены!J5-Цены!J$2)/Цены!J$2</f>
        <v>3.6686838124054461E-2</v>
      </c>
      <c r="L5">
        <f>(Цены!K5-Цены!K$2)/Цены!K$2</f>
        <v>7.877927608232789E-2</v>
      </c>
      <c r="M5">
        <f>(Цены!L5-Цены!L$2)/Цены!L$2</f>
        <v>3.0873334743074646E-2</v>
      </c>
      <c r="N5">
        <f>(Цены!M5-Цены!M$2)/Цены!M$2</f>
        <v>1.969592259847977E-2</v>
      </c>
      <c r="O5">
        <f>(Цены!N5-Цены!N$2)/Цены!N$2</f>
        <v>5.1133876192977878E-2</v>
      </c>
      <c r="P5">
        <f>(Цены!O5-Цены!O$2)/Цены!O$2</f>
        <v>8.883248730964504E-3</v>
      </c>
      <c r="Q5">
        <f>(Цены!P5-Цены!P$2)/Цены!P$2</f>
        <v>4.7849983834464954E-2</v>
      </c>
      <c r="R5">
        <f>(Цены!Q5-Цены!Q$2)/Цены!Q$2</f>
        <v>1.4245014245014245E-2</v>
      </c>
      <c r="S5">
        <f>(Цены!R5-Цены!R$2)/Цены!R$2</f>
        <v>2.9734769995855708E-2</v>
      </c>
      <c r="T5">
        <f>(Цены!S5-Цены!S$2)/Цены!S$2</f>
        <v>-8.1132075471695465E-3</v>
      </c>
      <c r="U5">
        <f>(Цены!T5-Цены!T$2)/Цены!T$2</f>
        <v>-2.4558710667691602E-3</v>
      </c>
      <c r="V5">
        <f>(Цены!U5-Цены!U$2)/Цены!U$2</f>
        <v>3.0807660283097418E-2</v>
      </c>
      <c r="W5">
        <f>(Цены!V5-Цены!V$2)/Цены!V$2</f>
        <v>1.3824884792626762E-2</v>
      </c>
      <c r="X5">
        <f>(Цены!W5-Цены!W$2)/Цены!W$2</f>
        <v>2.705042198658299E-2</v>
      </c>
      <c r="Y5">
        <f>(Цены!X5-Цены!X$2)/Цены!X$2</f>
        <v>9.7529258777618504E-4</v>
      </c>
      <c r="Z5">
        <f>(Цены!Y5-Цены!Y$2)/Цены!Y$2</f>
        <v>7.1284465366509365E-3</v>
      </c>
      <c r="AA5">
        <f>(Цены!Z5-Цены!Z$2)/Цены!Z$2</f>
        <v>2.1325648414985642E-2</v>
      </c>
      <c r="AB5">
        <f>(Цены!AA5-Цены!AA$2)/Цены!AA$2</f>
        <v>-1.5688949522510116E-2</v>
      </c>
      <c r="AC5">
        <f>(Цены!AB5-Цены!AB$2)/Цены!AB$2</f>
        <v>2.4024024024024023E-3</v>
      </c>
      <c r="AD5">
        <f>(Цены!AC5-Цены!AC$2)/Цены!AC$2</f>
        <v>4.1193525006040128E-2</v>
      </c>
      <c r="AE5">
        <f>(Цены!AD5-Цены!AD$2)/Цены!AD$2</f>
        <v>7.3046018991973114E-4</v>
      </c>
      <c r="AF5">
        <f>(Цены!AE5-Цены!AE$2)/Цены!AE$2</f>
        <v>1.9202363367799114E-2</v>
      </c>
      <c r="AG5">
        <f>(Цены!AF5-Цены!AF$2)/Цены!AF$2</f>
        <v>-2.3982558139534964E-2</v>
      </c>
      <c r="AH5">
        <f>(Цены!AG5-Цены!AG$2)/Цены!AG$2</f>
        <v>1.0210593490746796E-2</v>
      </c>
      <c r="AI5">
        <f>(Цены!AH5-Цены!AH$2)/Цены!AH$2</f>
        <v>-8.2508250825082501E-3</v>
      </c>
      <c r="AJ5">
        <f>(Цены!AI5-Цены!AI$2)/Цены!AI$2</f>
        <v>-1.9958706125258029E-2</v>
      </c>
      <c r="AK5">
        <f>(Цены!AJ5-Цены!AJ$2)/Цены!AJ$2</f>
        <v>8.2082551594746724E-3</v>
      </c>
      <c r="AL5">
        <f>(Цены!AK5-Цены!AK$2)/Цены!AK$2</f>
        <v>-1.1525163273146805E-3</v>
      </c>
      <c r="AM5">
        <f>(Цены!AL5-Цены!AL$2)/Цены!AL$2</f>
        <v>-8.035714285714337E-3</v>
      </c>
      <c r="AN5">
        <f>(Цены!AM5-Цены!AM$2)/Цены!AM$2</f>
        <v>1.2785388127853882E-2</v>
      </c>
      <c r="AO5">
        <f>(Цены!AN5-Цены!AN$2)/Цены!AN$2</f>
        <v>5.7971014492753624E-3</v>
      </c>
      <c r="AP5">
        <f>(Цены!AO5-Цены!AO$2)/Цены!AO$2</f>
        <v>3.6630036630035849E-3</v>
      </c>
      <c r="AQ5">
        <f>(Цены!AP5-Цены!AP$2)/Цены!AP$2</f>
        <v>-9.1743119266055051E-3</v>
      </c>
      <c r="AR5">
        <f>(Цены!AQ5-Цены!AQ$2)/Цены!AQ$2</f>
        <v>3.6511156186612576E-2</v>
      </c>
      <c r="AS5">
        <f>(Цены!AR5-Цены!AR$2)/Цены!AR$2</f>
        <v>4.6606704824202802E-2</v>
      </c>
      <c r="AT5">
        <f>(Цены!AS5-Цены!AS$2)/Цены!AS$2</f>
        <v>-1.7374517374517347E-2</v>
      </c>
      <c r="AU5">
        <f>(Цены!AT5-Цены!AT$2)/Цены!AT$2</f>
        <v>3.4818941504178302E-2</v>
      </c>
      <c r="AV5">
        <f>(Цены!AU5-Цены!AU$2)/Цены!AU$2</f>
        <v>-1.0030090270812437E-2</v>
      </c>
      <c r="AW5">
        <f>(Цены!AV5-Цены!AV$2)/Цены!AV$2</f>
        <v>5.585020023812097E-2</v>
      </c>
      <c r="AX5">
        <f>(Цены!AW5-Цены!AW$2)/Цены!AW$2</f>
        <v>8.8888888888888958E-3</v>
      </c>
      <c r="AY5">
        <f>(Цены!AX5-Цены!AX$2)/Цены!AX$2</f>
        <v>-2.6825633383010434E-2</v>
      </c>
    </row>
    <row r="6" spans="1:51" x14ac:dyDescent="0.2">
      <c r="A6" s="1" t="s">
        <v>71</v>
      </c>
      <c r="B6" s="2">
        <v>4</v>
      </c>
      <c r="C6">
        <f>(Цены!B6-Цены!B$2)/Цены!B$2</f>
        <v>2.3627078184552994E-2</v>
      </c>
      <c r="D6">
        <f>(Цены!C6-Цены!C$2)/Цены!C$2</f>
        <v>1.7892376681614391E-2</v>
      </c>
      <c r="E6">
        <f>(Цены!D6-Цены!D$2)/Цены!D$2</f>
        <v>1.2418482031358544E-2</v>
      </c>
      <c r="F6">
        <f>(Цены!E6-Цены!E$2)/Цены!E$2</f>
        <v>3.9254906863357919E-2</v>
      </c>
      <c r="G6">
        <f>(Цены!F6-Цены!F$2)/Цены!F$2</f>
        <v>-4.2357274401473299E-3</v>
      </c>
      <c r="H6">
        <f>(Цены!G6-Цены!G$2)/Цены!G$2</f>
        <v>3.536372193088605E-2</v>
      </c>
      <c r="I6">
        <f>(Цены!H6-Цены!H$2)/Цены!H$2</f>
        <v>6.4957264957265391E-3</v>
      </c>
      <c r="J6">
        <f>(Цены!I6-Цены!I$2)/Цены!I$2</f>
        <v>2.2785458269329237E-2</v>
      </c>
      <c r="K6">
        <f>(Цены!J6-Цены!J$2)/Цены!J$2</f>
        <v>1.5204236006051369E-2</v>
      </c>
      <c r="L6">
        <f>(Цены!K6-Цены!K$2)/Цены!K$2</f>
        <v>8.7295954577714691E-2</v>
      </c>
      <c r="M6">
        <f>(Цены!L6-Цены!L$2)/Цены!L$2</f>
        <v>3.6582787058574755E-2</v>
      </c>
      <c r="N6">
        <f>(Цены!M6-Цены!M$2)/Цены!M$2</f>
        <v>2.4187975120939877E-2</v>
      </c>
      <c r="O6">
        <f>(Цены!N6-Цены!N$2)/Цены!N$2</f>
        <v>5.7262936695560866E-2</v>
      </c>
      <c r="P6">
        <f>(Цены!O6-Цены!O$2)/Цены!O$2</f>
        <v>1.5228426395939101E-2</v>
      </c>
      <c r="Q6">
        <f>(Цены!P6-Цены!P$2)/Цены!P$2</f>
        <v>4.2095053346265704E-2</v>
      </c>
      <c r="R6">
        <f>(Цены!Q6-Цены!Q$2)/Цены!Q$2</f>
        <v>2.1196581196581191E-2</v>
      </c>
      <c r="S6">
        <f>(Цены!R6-Цены!R$2)/Цены!R$2</f>
        <v>4.8383754662246092E-2</v>
      </c>
      <c r="T6">
        <f>(Цены!S6-Цены!S$2)/Цены!S$2</f>
        <v>1.8301886792452805E-2</v>
      </c>
      <c r="U6">
        <f>(Цены!T6-Цены!T$2)/Цены!T$2</f>
        <v>8.1350729086723111E-3</v>
      </c>
      <c r="V6">
        <f>(Цены!U6-Цены!U$2)/Цены!U$2</f>
        <v>4.0799333888426312E-2</v>
      </c>
      <c r="W6">
        <f>(Цены!V6-Цены!V$2)/Цены!V$2</f>
        <v>3.5023041474654452E-2</v>
      </c>
      <c r="X6">
        <f>(Цены!W6-Цены!W$2)/Цены!W$2</f>
        <v>5.3451633845487963E-2</v>
      </c>
      <c r="Y6">
        <f>(Цены!X6-Цены!X$2)/Цены!X$2</f>
        <v>-3.9011703511054791E-3</v>
      </c>
      <c r="Z6">
        <f>(Цены!Y6-Цены!Y$2)/Цены!Y$2</f>
        <v>2.0174848688634104E-3</v>
      </c>
      <c r="AA6">
        <f>(Цены!Z6-Цены!Z$2)/Цены!Z$2</f>
        <v>1.1527377521613844E-2</v>
      </c>
      <c r="AB6">
        <f>(Цены!AA6-Цены!AA$2)/Цены!AA$2</f>
        <v>-1.7735334242837617E-2</v>
      </c>
      <c r="AC6">
        <f>(Цены!AB6-Цены!AB$2)/Цены!AB$2</f>
        <v>4.2042042042042043E-3</v>
      </c>
      <c r="AD6">
        <f>(Цены!AC6-Цены!AC$2)/Цены!AC$2</f>
        <v>8.6977530804541979E-3</v>
      </c>
      <c r="AE6">
        <f>(Цены!AD6-Цены!AD$2)/Цены!AD$2</f>
        <v>1.3878743608473269E-2</v>
      </c>
      <c r="AF6">
        <f>(Цены!AE6-Цены!AE$2)/Цены!AE$2</f>
        <v>4.5790251107828653E-2</v>
      </c>
      <c r="AG6">
        <f>(Цены!AF6-Цены!AF$2)/Цены!AF$2</f>
        <v>-1.5261627906976771E-2</v>
      </c>
      <c r="AH6">
        <f>(Цены!AG6-Цены!AG$2)/Цены!AG$2</f>
        <v>-2.2973835354179926E-2</v>
      </c>
      <c r="AI6">
        <f>(Цены!AH6-Цены!AH$2)/Цены!AH$2</f>
        <v>-8.2508250825082501E-3</v>
      </c>
      <c r="AJ6">
        <f>(Цены!AI6-Цены!AI$2)/Цены!AI$2</f>
        <v>-1.7205781142463867E-2</v>
      </c>
      <c r="AK6">
        <f>(Цены!AJ6-Цены!AJ$2)/Цены!AJ$2</f>
        <v>1.8761726078799251E-2</v>
      </c>
      <c r="AL6">
        <f>(Цены!AK6-Цены!AK$2)/Цены!AK$2</f>
        <v>-1.1333077218593961E-2</v>
      </c>
      <c r="AM6">
        <f>(Цены!AL6-Цены!AL$2)/Цены!AL$2</f>
        <v>0</v>
      </c>
      <c r="AN6">
        <f>(Цены!AM6-Цены!AM$2)/Цены!AM$2</f>
        <v>8.6757990867579911E-3</v>
      </c>
      <c r="AO6">
        <f>(Цены!AN6-Цены!AN$2)/Цены!AN$2</f>
        <v>2.8985507246376812E-3</v>
      </c>
      <c r="AP6">
        <f>(Цены!AO6-Цены!AO$2)/Цены!AO$2</f>
        <v>-1.8315018315018316E-2</v>
      </c>
      <c r="AQ6">
        <f>(Цены!AP6-Цены!AP$2)/Цены!AP$2</f>
        <v>3.2110091743119268E-2</v>
      </c>
      <c r="AR6">
        <f>(Цены!AQ6-Цены!AQ$2)/Цены!AQ$2</f>
        <v>4.0567951318458417E-2</v>
      </c>
      <c r="AS6">
        <f>(Цены!AR6-Цены!AR$2)/Цены!AR$2</f>
        <v>3.5977105478332015E-2</v>
      </c>
      <c r="AT6">
        <f>(Цены!AS6-Цены!AS$2)/Цены!AS$2</f>
        <v>-1.5444015444015391E-2</v>
      </c>
      <c r="AU6">
        <f>(Цены!AT6-Цены!AT$2)/Цены!AT$2</f>
        <v>2.7855153203342645E-2</v>
      </c>
      <c r="AV6">
        <f>(Цены!AU6-Цены!AU$2)/Цены!AU$2</f>
        <v>-4.0120361083250322E-3</v>
      </c>
      <c r="AW6">
        <f>(Цены!AV6-Цены!AV$2)/Цены!AV$2</f>
        <v>5.3252516506115399E-2</v>
      </c>
      <c r="AX6">
        <f>(Цены!AW6-Цены!AW$2)/Цены!AW$2</f>
        <v>8.6666666666666992E-3</v>
      </c>
      <c r="AY6">
        <f>(Цены!AX6-Цены!AX$2)/Цены!AX$2</f>
        <v>1.4903129657228018E-3</v>
      </c>
    </row>
    <row r="7" spans="1:51" x14ac:dyDescent="0.2">
      <c r="A7" s="1" t="s">
        <v>72</v>
      </c>
      <c r="B7" s="2">
        <v>5</v>
      </c>
      <c r="C7">
        <f>(Цены!B7-Цены!B$2)/Цены!B$2</f>
        <v>2.3627078184552994E-2</v>
      </c>
      <c r="D7">
        <f>(Цены!C7-Цены!C$2)/Цены!C$2</f>
        <v>1.7892376681614391E-2</v>
      </c>
      <c r="E7">
        <f>(Цены!D7-Цены!D$2)/Цены!D$2</f>
        <v>1.2418482031358544E-2</v>
      </c>
      <c r="F7">
        <f>(Цены!E7-Цены!E$2)/Цены!E$2</f>
        <v>3.9254906863357919E-2</v>
      </c>
      <c r="G7">
        <f>(Цены!F7-Цены!F$2)/Цены!F$2</f>
        <v>-4.2357274401473299E-3</v>
      </c>
      <c r="H7">
        <f>(Цены!G7-Цены!G$2)/Цены!G$2</f>
        <v>3.536372193088605E-2</v>
      </c>
      <c r="I7">
        <f>(Цены!H7-Цены!H$2)/Цены!H$2</f>
        <v>6.4957264957265391E-3</v>
      </c>
      <c r="J7">
        <f>(Цены!I7-Цены!I$2)/Цены!I$2</f>
        <v>2.2785458269329237E-2</v>
      </c>
      <c r="K7">
        <f>(Цены!J7-Цены!J$2)/Цены!J$2</f>
        <v>1.5204236006051369E-2</v>
      </c>
      <c r="L7">
        <f>(Цены!K7-Цены!K$2)/Цены!K$2</f>
        <v>8.7295954577714691E-2</v>
      </c>
      <c r="M7">
        <f>(Цены!L7-Цены!L$2)/Цены!L$2</f>
        <v>3.6582787058574755E-2</v>
      </c>
      <c r="N7">
        <f>(Цены!M7-Цены!M$2)/Цены!M$2</f>
        <v>2.4187975120939877E-2</v>
      </c>
      <c r="O7">
        <f>(Цены!N7-Цены!N$2)/Цены!N$2</f>
        <v>5.7262936695560866E-2</v>
      </c>
      <c r="P7">
        <f>(Цены!O7-Цены!O$2)/Цены!O$2</f>
        <v>1.5228426395939101E-2</v>
      </c>
      <c r="Q7">
        <f>(Цены!P7-Цены!P$2)/Цены!P$2</f>
        <v>4.2095053346265704E-2</v>
      </c>
      <c r="R7">
        <f>(Цены!Q7-Цены!Q$2)/Цены!Q$2</f>
        <v>2.1196581196581191E-2</v>
      </c>
      <c r="S7">
        <f>(Цены!R7-Цены!R$2)/Цены!R$2</f>
        <v>4.8383754662246092E-2</v>
      </c>
      <c r="T7">
        <f>(Цены!S7-Цены!S$2)/Цены!S$2</f>
        <v>1.8301886792452805E-2</v>
      </c>
      <c r="U7">
        <f>(Цены!T7-Цены!T$2)/Цены!T$2</f>
        <v>8.1350729086723111E-3</v>
      </c>
      <c r="V7">
        <f>(Цены!U7-Цены!U$2)/Цены!U$2</f>
        <v>4.0799333888426312E-2</v>
      </c>
      <c r="W7">
        <f>(Цены!V7-Цены!V$2)/Цены!V$2</f>
        <v>3.5023041474654452E-2</v>
      </c>
      <c r="X7">
        <f>(Цены!W7-Цены!W$2)/Цены!W$2</f>
        <v>5.3451633845487963E-2</v>
      </c>
      <c r="Y7">
        <f>(Цены!X7-Цены!X$2)/Цены!X$2</f>
        <v>-3.9011703511054791E-3</v>
      </c>
      <c r="Z7">
        <f>(Цены!Y7-Цены!Y$2)/Цены!Y$2</f>
        <v>2.0174848688634104E-3</v>
      </c>
      <c r="AA7">
        <f>(Цены!Z7-Цены!Z$2)/Цены!Z$2</f>
        <v>1.1527377521613844E-2</v>
      </c>
      <c r="AB7">
        <f>(Цены!AA7-Цены!AA$2)/Цены!AA$2</f>
        <v>-1.7735334242837617E-2</v>
      </c>
      <c r="AC7">
        <f>(Цены!AB7-Цены!AB$2)/Цены!AB$2</f>
        <v>4.2042042042042043E-3</v>
      </c>
      <c r="AD7">
        <f>(Цены!AC7-Цены!AC$2)/Цены!AC$2</f>
        <v>8.6977530804541979E-3</v>
      </c>
      <c r="AE7">
        <f>(Цены!AD7-Цены!AD$2)/Цены!AD$2</f>
        <v>1.3878743608473269E-2</v>
      </c>
      <c r="AF7">
        <f>(Цены!AE7-Цены!AE$2)/Цены!AE$2</f>
        <v>4.5790251107828653E-2</v>
      </c>
      <c r="AG7">
        <f>(Цены!AF7-Цены!AF$2)/Цены!AF$2</f>
        <v>-1.5261627906976771E-2</v>
      </c>
      <c r="AH7">
        <f>(Цены!AG7-Цены!AG$2)/Цены!AG$2</f>
        <v>-2.2973835354179926E-2</v>
      </c>
      <c r="AI7">
        <f>(Цены!AH7-Цены!AH$2)/Цены!AH$2</f>
        <v>-8.2508250825082501E-3</v>
      </c>
      <c r="AJ7">
        <f>(Цены!AI7-Цены!AI$2)/Цены!AI$2</f>
        <v>-1.7205781142463867E-2</v>
      </c>
      <c r="AK7">
        <f>(Цены!AJ7-Цены!AJ$2)/Цены!AJ$2</f>
        <v>1.8761726078799251E-2</v>
      </c>
      <c r="AL7">
        <f>(Цены!AK7-Цены!AK$2)/Цены!AK$2</f>
        <v>-1.1333077218593961E-2</v>
      </c>
      <c r="AM7">
        <f>(Цены!AL7-Цены!AL$2)/Цены!AL$2</f>
        <v>0</v>
      </c>
      <c r="AN7">
        <f>(Цены!AM7-Цены!AM$2)/Цены!AM$2</f>
        <v>8.6757990867579911E-3</v>
      </c>
      <c r="AO7">
        <f>(Цены!AN7-Цены!AN$2)/Цены!AN$2</f>
        <v>2.8985507246376812E-3</v>
      </c>
      <c r="AP7">
        <f>(Цены!AO7-Цены!AO$2)/Цены!AO$2</f>
        <v>-1.8315018315018316E-2</v>
      </c>
      <c r="AQ7">
        <f>(Цены!AP7-Цены!AP$2)/Цены!AP$2</f>
        <v>3.2110091743119268E-2</v>
      </c>
      <c r="AR7">
        <f>(Цены!AQ7-Цены!AQ$2)/Цены!AQ$2</f>
        <v>4.0567951318458417E-2</v>
      </c>
      <c r="AS7">
        <f>(Цены!AR7-Цены!AR$2)/Цены!AR$2</f>
        <v>3.5977105478332015E-2</v>
      </c>
      <c r="AT7">
        <f>(Цены!AS7-Цены!AS$2)/Цены!AS$2</f>
        <v>-1.5444015444015391E-2</v>
      </c>
      <c r="AU7">
        <f>(Цены!AT7-Цены!AT$2)/Цены!AT$2</f>
        <v>2.7855153203342645E-2</v>
      </c>
      <c r="AV7">
        <f>(Цены!AU7-Цены!AU$2)/Цены!AU$2</f>
        <v>-4.0120361083250322E-3</v>
      </c>
      <c r="AW7">
        <f>(Цены!AV7-Цены!AV$2)/Цены!AV$2</f>
        <v>5.3252516506115399E-2</v>
      </c>
      <c r="AX7">
        <f>(Цены!AW7-Цены!AW$2)/Цены!AW$2</f>
        <v>8.6666666666666992E-3</v>
      </c>
      <c r="AY7">
        <f>(Цены!AX7-Цены!AX$2)/Цены!AX$2</f>
        <v>1.4903129657228018E-3</v>
      </c>
    </row>
    <row r="8" spans="1:51" x14ac:dyDescent="0.2">
      <c r="A8" s="1" t="s">
        <v>73</v>
      </c>
      <c r="B8" s="2">
        <v>6</v>
      </c>
      <c r="C8">
        <f>(Цены!B8-Цены!B$2)/Цены!B$2</f>
        <v>2.3360857585290464E-2</v>
      </c>
      <c r="D8">
        <f>(Цены!C8-Цены!C$2)/Цены!C$2</f>
        <v>2.699551569506731E-2</v>
      </c>
      <c r="E8">
        <f>(Цены!D8-Цены!D$2)/Цены!D$2</f>
        <v>5.5501595670876328E-3</v>
      </c>
      <c r="F8">
        <f>(Цены!E8-Цены!E$2)/Цены!E$2</f>
        <v>3.5379422427803474E-2</v>
      </c>
      <c r="G8">
        <f>(Цены!F8-Цены!F$2)/Цены!F$2</f>
        <v>1.6574585635359115E-2</v>
      </c>
      <c r="H8">
        <f>(Цены!G8-Цены!G$2)/Цены!G$2</f>
        <v>1.9497109049347854E-2</v>
      </c>
      <c r="I8">
        <f>(Цены!H8-Цены!H$2)/Цены!H$2</f>
        <v>2.3931623931624027E-3</v>
      </c>
      <c r="J8">
        <f>(Цены!I8-Цены!I$2)/Цены!I$2</f>
        <v>-1.4336917562724014E-2</v>
      </c>
      <c r="K8">
        <f>(Цены!J8-Цены!J$2)/Цены!J$2</f>
        <v>1.5128593040847202E-2</v>
      </c>
      <c r="L8">
        <f>(Цены!K8-Цены!K$2)/Цены!K$2</f>
        <v>0.13853797019162531</v>
      </c>
      <c r="M8">
        <f>(Цены!L8-Цены!L$2)/Цены!L$2</f>
        <v>3.467963628674138E-2</v>
      </c>
      <c r="N8">
        <f>(Цены!M8-Цены!M$2)/Цены!M$2</f>
        <v>1.0020732550103781E-2</v>
      </c>
      <c r="O8">
        <f>(Цены!N8-Цены!N$2)/Цены!N$2</f>
        <v>4.7981787934506651E-2</v>
      </c>
      <c r="P8">
        <f>(Цены!O8-Цены!O$2)/Цены!O$2</f>
        <v>1.9162436548223437E-2</v>
      </c>
      <c r="Q8">
        <f>(Цены!P8-Цены!P$2)/Цены!P$2</f>
        <v>1.9980601357904967E-2</v>
      </c>
      <c r="R8">
        <f>(Цены!Q8-Цены!Q$2)/Цены!Q$2</f>
        <v>-2.6210826210826665E-3</v>
      </c>
      <c r="S8">
        <f>(Цены!R8-Цены!R$2)/Цены!R$2</f>
        <v>3.6054703688354693E-2</v>
      </c>
      <c r="T8">
        <f>(Цены!S8-Цены!S$2)/Цены!S$2</f>
        <v>7.5471698113208398E-3</v>
      </c>
      <c r="U8">
        <f>(Цены!T8-Цены!T$2)/Цены!T$2</f>
        <v>7.6745970836526712E-4</v>
      </c>
      <c r="V8">
        <f>(Цены!U8-Цены!U$2)/Цены!U$2</f>
        <v>4.7876769358867609E-2</v>
      </c>
      <c r="W8">
        <f>(Цены!V8-Цены!V$2)/Цены!V$2</f>
        <v>1.4746543778801857E-2</v>
      </c>
      <c r="X8">
        <f>(Цены!W8-Цены!W$2)/Цены!W$2</f>
        <v>1.7528673447305826E-2</v>
      </c>
      <c r="Y8">
        <f>(Цены!X8-Цены!X$2)/Цены!X$2</f>
        <v>-9.7529258777636978E-4</v>
      </c>
      <c r="Z8">
        <f>(Цены!Y8-Цены!Y$2)/Цены!Y$2</f>
        <v>1.3449899125756567E-3</v>
      </c>
      <c r="AA8">
        <f>(Цены!Z8-Цены!Z$2)/Цены!Z$2</f>
        <v>7.2046109510086522E-3</v>
      </c>
      <c r="AB8">
        <f>(Цены!AA8-Цены!AA$2)/Цены!AA$2</f>
        <v>4.7748976807640998E-3</v>
      </c>
      <c r="AC8">
        <f>(Цены!AB8-Цены!AB$2)/Цены!AB$2</f>
        <v>-1.2012012012012011E-3</v>
      </c>
      <c r="AD8">
        <f>(Цены!AC8-Цены!AC$2)/Цены!AC$2</f>
        <v>2.7784489007006146E-3</v>
      </c>
      <c r="AE8">
        <f>(Цены!AD8-Цены!AD$2)/Цены!AD$2</f>
        <v>8.0350620891160695E-3</v>
      </c>
      <c r="AF8">
        <f>(Цены!AE8-Цены!AE$2)/Цены!AE$2</f>
        <v>6.6469719350073855E-2</v>
      </c>
      <c r="AG8">
        <f>(Цены!AF8-Цены!AF$2)/Цены!AF$2</f>
        <v>-1.1385658914728654E-2</v>
      </c>
      <c r="AH8">
        <f>(Цены!AG8-Цены!AG$2)/Цены!AG$2</f>
        <v>-6.3816209317162933E-4</v>
      </c>
      <c r="AI8">
        <f>(Цены!AH8-Цены!AH$2)/Цены!AH$2</f>
        <v>-2.3514851485148584E-2</v>
      </c>
      <c r="AJ8">
        <f>(Цены!AI8-Цены!AI$2)/Цены!AI$2</f>
        <v>-2.3399862353750852E-2</v>
      </c>
      <c r="AK8">
        <f>(Цены!AJ8-Цены!AJ$2)/Цены!AJ$2</f>
        <v>2.7439024390243903E-2</v>
      </c>
      <c r="AL8">
        <f>(Цены!AK8-Цены!AK$2)/Цены!AK$2</f>
        <v>-1.5366884364195171E-3</v>
      </c>
      <c r="AM8">
        <f>(Цены!AL8-Цены!AL$2)/Цены!AL$2</f>
        <v>-8.4821428571428825E-3</v>
      </c>
      <c r="AN8">
        <f>(Цены!AM8-Цены!AM$2)/Цены!AM$2</f>
        <v>1.7351598173515982E-2</v>
      </c>
      <c r="AO8">
        <f>(Цены!AN8-Цены!AN$2)/Цены!AN$2</f>
        <v>2.8985507246376812E-3</v>
      </c>
      <c r="AP8">
        <f>(Цены!AO8-Цены!AO$2)/Цены!AO$2</f>
        <v>-1.8315018315018316E-2</v>
      </c>
      <c r="AQ8">
        <f>(Цены!AP8-Цены!AP$2)/Цены!AP$2</f>
        <v>2.2935779816513763E-2</v>
      </c>
      <c r="AR8">
        <f>(Цены!AQ8-Цены!AQ$2)/Цены!AQ$2</f>
        <v>3.8539553752535496E-2</v>
      </c>
      <c r="AS8">
        <f>(Цены!AR8-Цены!AR$2)/Цены!AR$2</f>
        <v>2.9435813573180775E-2</v>
      </c>
      <c r="AT8">
        <f>(Цены!AS8-Цены!AS$2)/Цены!AS$2</f>
        <v>-2.1235521235521127E-2</v>
      </c>
      <c r="AU8">
        <f>(Цены!AT8-Цены!AT$2)/Цены!AT$2</f>
        <v>3.7604456824512571E-2</v>
      </c>
      <c r="AV8">
        <f>(Цены!AU8-Цены!AU$2)/Цены!AU$2</f>
        <v>-5.0150451354062184E-3</v>
      </c>
      <c r="AW8">
        <f>(Цены!AV8-Цены!AV$2)/Цены!AV$2</f>
        <v>4.632535988743372E-2</v>
      </c>
      <c r="AX8">
        <f>(Цены!AW8-Цены!AW$2)/Цены!AW$2</f>
        <v>-6.6666666666666723E-3</v>
      </c>
      <c r="AY8">
        <f>(Цены!AX8-Цены!AX$2)/Цены!AX$2</f>
        <v>-2.2354694485842028E-2</v>
      </c>
    </row>
    <row r="9" spans="1:51" x14ac:dyDescent="0.2">
      <c r="A9" s="1" t="s">
        <v>74</v>
      </c>
      <c r="B9" s="2">
        <v>7</v>
      </c>
      <c r="C9">
        <f>(Цены!B9-Цены!B$2)/Цены!B$2</f>
        <v>9.0071302750503301E-3</v>
      </c>
      <c r="D9">
        <f>(Цены!C9-Цены!C$2)/Цены!C$2</f>
        <v>2.2556053811659198E-2</v>
      </c>
      <c r="E9">
        <f>(Цены!D9-Цены!D$2)/Цены!D$2</f>
        <v>-9.9902872207575811E-3</v>
      </c>
      <c r="F9">
        <f>(Цены!E9-Цены!E$2)/Цены!E$2</f>
        <v>1.7127140892611577E-2</v>
      </c>
      <c r="G9">
        <f>(Цены!F9-Цены!F$2)/Цены!F$2</f>
        <v>-3.6832412523020257E-4</v>
      </c>
      <c r="H9">
        <f>(Цены!G9-Цены!G$2)/Цены!G$2</f>
        <v>6.3197525884092125E-3</v>
      </c>
      <c r="I9">
        <f>(Цены!H9-Цены!H$2)/Цены!H$2</f>
        <v>-5.1282051282053223E-4</v>
      </c>
      <c r="J9">
        <f>(Цены!I9-Цены!I$2)/Цены!I$2</f>
        <v>-1.1008704557091653E-2</v>
      </c>
      <c r="K9">
        <f>(Цены!J9-Цены!J$2)/Цены!J$2</f>
        <v>-1.6641452344931921E-2</v>
      </c>
      <c r="L9">
        <f>(Цены!K9-Цены!K$2)/Цены!K$2</f>
        <v>9.9077359829666367E-2</v>
      </c>
      <c r="M9">
        <f>(Цены!L9-Цены!L$2)/Цены!L$2</f>
        <v>2.0723197293296681E-2</v>
      </c>
      <c r="N9">
        <f>(Цены!M9-Цены!M$2)/Цены!M$2</f>
        <v>3.973738769868812E-3</v>
      </c>
      <c r="O9">
        <f>(Цены!N9-Цены!N$2)/Цены!N$2</f>
        <v>5.9276770860695306E-2</v>
      </c>
      <c r="P9">
        <f>(Цены!O9-Цены!O$2)/Цены!O$2</f>
        <v>-3.0456852791878201E-2</v>
      </c>
      <c r="Q9">
        <f>(Цены!P9-Цены!P$2)/Цены!P$2</f>
        <v>-8.4707403815066414E-3</v>
      </c>
      <c r="R9">
        <f>(Цены!Q9-Цены!Q$2)/Цены!Q$2</f>
        <v>1.0826210826210859E-2</v>
      </c>
      <c r="S9">
        <f>(Цены!R9-Цены!R$2)/Цены!R$2</f>
        <v>1.750932449233317E-2</v>
      </c>
      <c r="T9">
        <f>(Цены!S9-Цены!S$2)/Цены!S$2</f>
        <v>-7.3584905660377632E-3</v>
      </c>
      <c r="U9">
        <f>(Цены!T9-Цены!T$2)/Цены!T$2</f>
        <v>6.907137375287622E-3</v>
      </c>
      <c r="V9">
        <f>(Цены!U9-Цены!U$2)/Цены!U$2</f>
        <v>3.0807660283097418E-2</v>
      </c>
      <c r="W9">
        <f>(Цены!V9-Цены!V$2)/Цены!V$2</f>
        <v>-4.1474654377880119E-3</v>
      </c>
      <c r="X9">
        <f>(Цены!W9-Цены!W$2)/Цены!W$2</f>
        <v>-1.5256438000432769E-2</v>
      </c>
      <c r="Y9">
        <f>(Цены!X9-Цены!X$2)/Цены!X$2</f>
        <v>3.5760728218464429E-3</v>
      </c>
      <c r="Z9">
        <f>(Цены!Y9-Цены!Y$2)/Цены!Y$2</f>
        <v>-2.01748486886356E-3</v>
      </c>
      <c r="AA9">
        <f>(Цены!Z9-Цены!Z$2)/Цены!Z$2</f>
        <v>7.7809798270894407E-3</v>
      </c>
      <c r="AB9">
        <f>(Цены!AA9-Цены!AA$2)/Цены!AA$2</f>
        <v>-1.6371077762619413E-2</v>
      </c>
      <c r="AC9">
        <f>(Цены!AB9-Цены!AB$2)/Цены!AB$2</f>
        <v>9.0090090090090089E-3</v>
      </c>
      <c r="AD9">
        <f>(Цены!AC9-Цены!AC$2)/Цены!AC$2</f>
        <v>-2.1381976322783207E-2</v>
      </c>
      <c r="AE9">
        <f>(Цены!AD9-Цены!AD$2)/Цены!AD$2</f>
        <v>-8.0350620891160695E-3</v>
      </c>
      <c r="AF9">
        <f>(Цены!AE9-Цены!AE$2)/Цены!AE$2</f>
        <v>5.3175775480059084E-2</v>
      </c>
      <c r="AG9">
        <f>(Цены!AF9-Цены!AF$2)/Цены!AF$2</f>
        <v>-6.7829457364341362E-3</v>
      </c>
      <c r="AH9">
        <f>(Цены!AG9-Цены!AG$2)/Цены!AG$2</f>
        <v>-7.0197830248882858E-3</v>
      </c>
      <c r="AI9">
        <f>(Цены!AH9-Цены!AH$2)/Цены!AH$2</f>
        <v>-2.1039603960396017E-2</v>
      </c>
      <c r="AJ9">
        <f>(Цены!AI9-Цены!AI$2)/Цены!AI$2</f>
        <v>-2.4776324845147933E-2</v>
      </c>
      <c r="AK9">
        <f>(Цены!AJ9-Цены!AJ$2)/Цены!AJ$2</f>
        <v>1.9934333958724203E-2</v>
      </c>
      <c r="AL9">
        <f>(Цены!AK9-Цены!AK$2)/Цены!AK$2</f>
        <v>-2.2281982328083084E-2</v>
      </c>
      <c r="AM9">
        <f>(Цены!AL9-Цены!AL$2)/Цены!AL$2</f>
        <v>-1.3392857142857142E-2</v>
      </c>
      <c r="AN9">
        <f>(Цены!AM9-Цены!AM$2)/Цены!AM$2</f>
        <v>3.0136986301369864E-2</v>
      </c>
      <c r="AO9">
        <f>(Цены!AN9-Цены!AN$2)/Цены!AN$2</f>
        <v>-1.7391304347826088E-3</v>
      </c>
      <c r="AP9">
        <f>(Цены!AO9-Цены!AO$2)/Цены!AO$2</f>
        <v>-2.0146520146520172E-2</v>
      </c>
      <c r="AQ9">
        <f>(Цены!AP9-Цены!AP$2)/Цены!AP$2</f>
        <v>1.3761467889908258E-2</v>
      </c>
      <c r="AR9">
        <f>(Цены!AQ9-Цены!AQ$2)/Цены!AQ$2</f>
        <v>3.4482758620689655E-2</v>
      </c>
      <c r="AS9">
        <f>(Цены!AR9-Цены!AR$2)/Цены!AR$2</f>
        <v>1.7988552739166008E-2</v>
      </c>
      <c r="AT9">
        <f>(Цены!AS9-Цены!AS$2)/Цены!AS$2</f>
        <v>-1.4478764478764479E-2</v>
      </c>
      <c r="AU9">
        <f>(Цены!AT9-Цены!AT$2)/Цены!AT$2</f>
        <v>3.064066852367691E-2</v>
      </c>
      <c r="AV9">
        <f>(Цены!AU9-Цены!AU$2)/Цены!AU$2</f>
        <v>1.4042126379137326E-2</v>
      </c>
      <c r="AW9">
        <f>(Цены!AV9-Цены!AV$2)/Цены!AV$2</f>
        <v>4.7732438575603386E-2</v>
      </c>
      <c r="AX9">
        <f>(Цены!AW9-Цены!AW$2)/Цены!AW$2</f>
        <v>-1.7777777777777792E-2</v>
      </c>
      <c r="AY9">
        <f>(Цены!AX9-Цены!AX$2)/Цены!AX$2</f>
        <v>-2.533532041728763E-2</v>
      </c>
    </row>
    <row r="10" spans="1:51" x14ac:dyDescent="0.2">
      <c r="A10" s="1" t="s">
        <v>75</v>
      </c>
      <c r="B10" s="2">
        <v>8</v>
      </c>
      <c r="C10">
        <f>(Цены!B10-Цены!B$2)/Цены!B$2</f>
        <v>1.5840125656122771E-2</v>
      </c>
      <c r="D10">
        <f>(Цены!C10-Цены!C$2)/Цены!C$2</f>
        <v>2.4887892376681667E-2</v>
      </c>
      <c r="E10">
        <f>(Цены!D10-Цены!D$2)/Цены!D$2</f>
        <v>-2.844456778132348E-3</v>
      </c>
      <c r="F10">
        <f>(Цены!E10-Цены!E$2)/Цены!E$2</f>
        <v>2.7128391048881109E-2</v>
      </c>
      <c r="G10">
        <f>(Цены!F10-Цены!F$2)/Цены!F$2</f>
        <v>1.2523020257826888E-2</v>
      </c>
      <c r="H10">
        <f>(Цены!G10-Цены!G$2)/Цены!G$2</f>
        <v>2.9581820626596745E-2</v>
      </c>
      <c r="I10">
        <f>(Цены!H10-Цены!H$2)/Цены!H$2</f>
        <v>5.2991452991453377E-3</v>
      </c>
      <c r="J10">
        <f>(Цены!I10-Цены!I$2)/Цены!I$2</f>
        <v>1.2544802867383513E-2</v>
      </c>
      <c r="K10">
        <f>(Цены!J10-Цены!J$2)/Цены!J$2</f>
        <v>-2.4962178517397536E-3</v>
      </c>
      <c r="L10">
        <f>(Цены!K10-Цены!K$2)/Цены!K$2</f>
        <v>9.7941802696948188E-2</v>
      </c>
      <c r="M10">
        <f>(Цены!L10-Цены!L$2)/Цены!L$2</f>
        <v>3.446817508987101E-2</v>
      </c>
      <c r="N10">
        <f>(Цены!M10-Цены!M$2)/Цены!M$2</f>
        <v>2.0732550103663536E-3</v>
      </c>
      <c r="O10">
        <f>(Цены!N10-Цены!N$2)/Цены!N$2</f>
        <v>5.5336660537606233E-2</v>
      </c>
      <c r="P10">
        <f>(Цены!O10-Цены!O$2)/Цены!O$2</f>
        <v>-2.741116751269038E-2</v>
      </c>
      <c r="Q10">
        <f>(Цены!P10-Цены!P$2)/Цены!P$2</f>
        <v>-5.4962819269317445E-3</v>
      </c>
      <c r="R10">
        <f>(Цены!Q10-Цены!Q$2)/Цены!Q$2</f>
        <v>3.9886039886039238E-3</v>
      </c>
      <c r="S10">
        <f>(Цены!R10-Цены!R$2)/Цены!R$2</f>
        <v>1.0671363447990006E-2</v>
      </c>
      <c r="T10">
        <f>(Цены!S10-Цены!S$2)/Цены!S$2</f>
        <v>-4.7169811320754759E-3</v>
      </c>
      <c r="U10">
        <f>(Цены!T10-Цены!T$2)/Цены!T$2</f>
        <v>8.4420567920183744E-3</v>
      </c>
      <c r="V10">
        <f>(Цены!U10-Цены!U$2)/Цены!U$2</f>
        <v>3.6636136552872609E-2</v>
      </c>
      <c r="W10">
        <f>(Цены!V10-Цены!V$2)/Цены!V$2</f>
        <v>-4.6082949308746593E-4</v>
      </c>
      <c r="X10">
        <f>(Цены!W10-Цены!W$2)/Цены!W$2</f>
        <v>-1.9043497078554482E-2</v>
      </c>
      <c r="Y10">
        <f>(Цены!X10-Цены!X$2)/Цены!X$2</f>
        <v>2.9258777633289986E-2</v>
      </c>
      <c r="Z10">
        <f>(Цены!Y10-Цены!Y$2)/Цены!Y$2</f>
        <v>6.7249495628790307E-4</v>
      </c>
      <c r="AA10">
        <f>(Цены!Z10-Цены!Z$2)/Цены!Z$2</f>
        <v>1.3832853025936677E-2</v>
      </c>
      <c r="AB10">
        <f>(Цены!AA10-Цены!AA$2)/Цены!AA$2</f>
        <v>-3.3765347885402378E-2</v>
      </c>
      <c r="AC10">
        <f>(Цены!AB10-Цены!AB$2)/Цены!AB$2</f>
        <v>6.6066066066066062E-3</v>
      </c>
      <c r="AD10">
        <f>(Цены!AC10-Цены!AC$2)/Цены!AC$2</f>
        <v>-7.4897318192799992E-3</v>
      </c>
      <c r="AE10">
        <f>(Цены!AD10-Цены!AD$2)/Цены!AD$2</f>
        <v>7.3046018991973114E-4</v>
      </c>
      <c r="AF10">
        <f>(Цены!AE10-Цены!AE$2)/Цены!AE$2</f>
        <v>6.6469719350073855E-2</v>
      </c>
      <c r="AG10">
        <f>(Цены!AF10-Цены!AF$2)/Цены!AF$2</f>
        <v>-6.7829457364341362E-3</v>
      </c>
      <c r="AH10">
        <f>(Цены!AG10-Цены!AG$2)/Цены!AG$2</f>
        <v>-6.3816209317162933E-4</v>
      </c>
      <c r="AI10">
        <f>(Цены!AH10-Цены!AH$2)/Цены!AH$2</f>
        <v>-2.1452145214521521E-2</v>
      </c>
      <c r="AJ10">
        <f>(Цены!AI10-Цены!AI$2)/Цены!AI$2</f>
        <v>-1.7205781142463867E-2</v>
      </c>
      <c r="AK10">
        <f>(Цены!AJ10-Цены!AJ$2)/Цены!AJ$2</f>
        <v>2.4859287054409006E-2</v>
      </c>
      <c r="AL10">
        <f>(Цены!AK10-Цены!AK$2)/Цены!AK$2</f>
        <v>-1.8440261237034208E-2</v>
      </c>
      <c r="AM10">
        <f>(Цены!AL10-Цены!AL$2)/Цены!AL$2</f>
        <v>-1.2053571428571377E-2</v>
      </c>
      <c r="AN10">
        <f>(Цены!AM10-Цены!AM$2)/Цены!AM$2</f>
        <v>3.515981735159817E-2</v>
      </c>
      <c r="AO10">
        <f>(Цены!AN10-Цены!AN$2)/Цены!AN$2</f>
        <v>-7.5362318840579709E-3</v>
      </c>
      <c r="AP10">
        <f>(Цены!AO10-Цены!AO$2)/Цены!AO$2</f>
        <v>-2.0146520146520172E-2</v>
      </c>
      <c r="AQ10">
        <f>(Цены!AP10-Цены!AP$2)/Цены!AP$2</f>
        <v>4.5871559633027525E-3</v>
      </c>
      <c r="AR10">
        <f>(Цены!AQ10-Цены!AQ$2)/Цены!AQ$2</f>
        <v>3.8539553752535496E-2</v>
      </c>
      <c r="AS10">
        <f>(Цены!AR10-Цены!AR$2)/Цены!AR$2</f>
        <v>2.2894521668029414E-2</v>
      </c>
      <c r="AT10">
        <f>(Цены!AS10-Цены!AS$2)/Цены!AS$2</f>
        <v>-1.7374517374517347E-2</v>
      </c>
      <c r="AU10">
        <f>(Цены!AT10-Цены!AT$2)/Цены!AT$2</f>
        <v>3.3426183844011172E-2</v>
      </c>
      <c r="AV10">
        <f>(Цены!AU10-Цены!AU$2)/Цены!AU$2</f>
        <v>6.3189568706118318E-2</v>
      </c>
      <c r="AW10">
        <f>(Цены!AV10-Цены!AV$2)/Цены!AV$2</f>
        <v>4.4485333910596378E-2</v>
      </c>
      <c r="AX10">
        <f>(Цены!AW10-Цены!AW$2)/Цены!AW$2</f>
        <v>-1.4444444444444458E-2</v>
      </c>
      <c r="AY10">
        <f>(Цены!AX10-Цены!AX$2)/Цены!AX$2</f>
        <v>-2.2354694485842028E-2</v>
      </c>
    </row>
    <row r="11" spans="1:51" x14ac:dyDescent="0.2">
      <c r="A11" s="1" t="s">
        <v>76</v>
      </c>
      <c r="B11" s="2">
        <v>9</v>
      </c>
      <c r="C11">
        <f>(Цены!B11-Цены!B$2)/Цены!B$2</f>
        <v>1.9234438296720564E-2</v>
      </c>
      <c r="D11">
        <f>(Цены!C11-Цены!C$2)/Цены!C$2</f>
        <v>3.0762331838565082E-2</v>
      </c>
      <c r="E11">
        <f>(Цены!D11-Цены!D$2)/Цены!D$2</f>
        <v>-6.2439295129717632E-4</v>
      </c>
      <c r="F11">
        <f>(Цены!E11-Цены!E$2)/Цены!E$2</f>
        <v>3.037879734966871E-2</v>
      </c>
      <c r="G11">
        <f>(Цены!F11-Цены!F$2)/Цены!F$2</f>
        <v>2.6703499079189688E-2</v>
      </c>
      <c r="H11">
        <f>(Цены!G11-Цены!G$2)/Цены!G$2</f>
        <v>1.3849670566088414E-2</v>
      </c>
      <c r="I11">
        <f>(Цены!H11-Цены!H$2)/Цены!H$2</f>
        <v>1.8803418803418706E-3</v>
      </c>
      <c r="J11">
        <f>(Цены!I11-Цены!I$2)/Цены!I$2</f>
        <v>1.7921146953405017E-2</v>
      </c>
      <c r="K11">
        <f>(Цены!J11-Цены!J$2)/Цены!J$2</f>
        <v>-1.0363086232980366E-2</v>
      </c>
      <c r="L11">
        <f>(Цены!K11-Цены!K$2)/Цены!K$2</f>
        <v>0.1022001419446416</v>
      </c>
      <c r="M11">
        <f>(Цены!L11-Цены!L$2)/Цены!L$2</f>
        <v>2.9816028758722773E-2</v>
      </c>
      <c r="N11">
        <f>(Цены!M11-Цены!M$2)/Цены!M$2</f>
        <v>7.0836212854181466E-3</v>
      </c>
      <c r="O11">
        <f>(Цены!N11-Цены!N$2)/Цены!N$2</f>
        <v>5.0608528149899322E-2</v>
      </c>
      <c r="P11">
        <f>(Цены!O11-Цены!O$2)/Цены!O$2</f>
        <v>-6.3451776649745967E-3</v>
      </c>
      <c r="Q11">
        <f>(Цены!P11-Цены!P$2)/Цены!P$2</f>
        <v>1.7782088587132233E-2</v>
      </c>
      <c r="R11">
        <f>(Цены!Q11-Цены!Q$2)/Цены!Q$2</f>
        <v>2.5185185185185113E-2</v>
      </c>
      <c r="S11">
        <f>(Цены!R11-Цены!R$2)/Цены!R$2</f>
        <v>1.3572316618317353E-2</v>
      </c>
      <c r="T11">
        <f>(Цены!S11-Цены!S$2)/Цены!S$2</f>
        <v>-4.3396226415094536E-3</v>
      </c>
      <c r="U11">
        <f>(Цены!T11-Цены!T$2)/Цены!T$2</f>
        <v>1.1511895625479661E-2</v>
      </c>
      <c r="V11">
        <f>(Цены!U11-Цены!U$2)/Цены!U$2</f>
        <v>3.0391340549542047E-2</v>
      </c>
      <c r="W11">
        <f>(Цены!V11-Цены!V$2)/Цены!V$2</f>
        <v>6.4516129032258325E-3</v>
      </c>
      <c r="X11">
        <f>(Цены!W11-Цены!W$2)/Цены!W$2</f>
        <v>7.5741181562432678E-3</v>
      </c>
      <c r="Y11">
        <f>(Цены!X11-Цены!X$2)/Цены!X$2</f>
        <v>4.8439531859557787E-2</v>
      </c>
      <c r="Z11">
        <f>(Цены!Y11-Цены!Y$2)/Цены!Y$2</f>
        <v>5.9179556153328297E-3</v>
      </c>
      <c r="AA11">
        <f>(Цены!Z11-Цены!Z$2)/Цены!Z$2</f>
        <v>1.8155619596541869E-2</v>
      </c>
      <c r="AB11">
        <f>(Цены!AA11-Цены!AA$2)/Цены!AA$2</f>
        <v>-3.2060027285129529E-2</v>
      </c>
      <c r="AC11">
        <f>(Цены!AB11-Цены!AB$2)/Цены!AB$2</f>
        <v>1.1411411411411412E-2</v>
      </c>
      <c r="AD11">
        <f>(Цены!AC11-Цены!AC$2)/Цены!AC$2</f>
        <v>-8.8185552065716041E-3</v>
      </c>
      <c r="AE11">
        <f>(Цены!AD11-Цены!AD$2)/Цены!AD$2</f>
        <v>8.0350620891160695E-3</v>
      </c>
      <c r="AF11">
        <f>(Цены!AE11-Цены!AE$2)/Цены!AE$2</f>
        <v>7.0901033973412117E-2</v>
      </c>
      <c r="AG11">
        <f>(Цены!AF11-Цены!AF$2)/Цены!AF$2</f>
        <v>5.0872093023254985E-3</v>
      </c>
      <c r="AH11">
        <f>(Цены!AG11-Цены!AG$2)/Цены!AG$2</f>
        <v>-6.3816209317162933E-4</v>
      </c>
      <c r="AI11">
        <f>(Цены!AH11-Цены!AH$2)/Цены!AH$2</f>
        <v>-1.9801980198019847E-2</v>
      </c>
      <c r="AJ11">
        <f>(Цены!AI11-Цены!AI$2)/Цены!AI$2</f>
        <v>-1.1011699931176885E-2</v>
      </c>
      <c r="AK11">
        <f>(Цены!AJ11-Цены!AJ$2)/Цены!AJ$2</f>
        <v>2.4859287054409006E-2</v>
      </c>
      <c r="AL11">
        <f>(Цены!AK11-Цены!AK$2)/Цены!AK$2</f>
        <v>-1.7095658855167194E-2</v>
      </c>
      <c r="AM11">
        <f>(Цены!AL11-Цены!AL$2)/Цены!AL$2</f>
        <v>-1.6964285714285765E-2</v>
      </c>
      <c r="AN11">
        <f>(Цены!AM11-Цены!AM$2)/Цены!AM$2</f>
        <v>3.9726027397260277E-2</v>
      </c>
      <c r="AO11">
        <f>(Цены!AN11-Цены!AN$2)/Цены!AN$2</f>
        <v>-6.956521739130435E-3</v>
      </c>
      <c r="AP11">
        <f>(Цены!AO11-Цены!AO$2)/Цены!AO$2</f>
        <v>-2.5641025641025616E-2</v>
      </c>
      <c r="AQ11">
        <f>(Цены!AP11-Цены!AP$2)/Цены!AP$2</f>
        <v>-4.5871559633027525E-3</v>
      </c>
      <c r="AR11">
        <f>(Цены!AQ11-Цены!AQ$2)/Цены!AQ$2</f>
        <v>3.2454361054766734E-2</v>
      </c>
      <c r="AS11">
        <f>(Цены!AR11-Цены!AR$2)/Цены!AR$2</f>
        <v>2.2894521668029414E-2</v>
      </c>
      <c r="AT11">
        <f>(Цены!AS11-Цены!AS$2)/Цены!AS$2</f>
        <v>-1.2548262548262521E-2</v>
      </c>
      <c r="AU11">
        <f>(Цены!AT11-Цены!AT$2)/Цены!AT$2</f>
        <v>5.0139275766016761E-2</v>
      </c>
      <c r="AV11">
        <f>(Цены!AU11-Цены!AU$2)/Цены!AU$2</f>
        <v>7.0210631895687062E-2</v>
      </c>
      <c r="AW11">
        <f>(Цены!AV11-Цены!AV$2)/Цены!AV$2</f>
        <v>5.7473752570624551E-2</v>
      </c>
      <c r="AX11">
        <f>(Цены!AW11-Цены!AW$2)/Цены!AW$2</f>
        <v>-5.7777777777777584E-3</v>
      </c>
      <c r="AY11">
        <f>(Цены!AX11-Цены!AX$2)/Цены!AX$2</f>
        <v>7.4515648286140089E-3</v>
      </c>
    </row>
    <row r="12" spans="1:51" x14ac:dyDescent="0.2">
      <c r="A12" s="1" t="s">
        <v>77</v>
      </c>
      <c r="B12" s="2">
        <v>10</v>
      </c>
      <c r="C12">
        <f>(Цены!B12-Цены!B$2)/Цены!B$2</f>
        <v>2.1395262160735035E-2</v>
      </c>
      <c r="D12">
        <f>(Цены!C12-Цены!C$2)/Цены!C$2</f>
        <v>1.6591928251121026E-2</v>
      </c>
      <c r="E12">
        <f>(Цены!D12-Цены!D$2)/Цены!D$2</f>
        <v>9.2965172748716764E-3</v>
      </c>
      <c r="F12">
        <f>(Цены!E12-Цены!E$2)/Цены!E$2</f>
        <v>4.5130641330166268E-2</v>
      </c>
      <c r="G12">
        <f>(Цены!F12-Цены!F$2)/Цены!F$2</f>
        <v>2.1546961325966851E-2</v>
      </c>
      <c r="H12">
        <f>(Цены!G12-Цены!G$2)/Цены!G$2</f>
        <v>1.3849670566088414E-2</v>
      </c>
      <c r="I12">
        <f>(Цены!H12-Цены!H$2)/Цены!H$2</f>
        <v>1.1282051282051224E-2</v>
      </c>
      <c r="J12">
        <f>(Цены!I12-Цены!I$2)/Цены!I$2</f>
        <v>8.7045570916538667E-3</v>
      </c>
      <c r="K12">
        <f>(Цены!J12-Цены!J$2)/Цены!J$2</f>
        <v>9.0015128593041536E-3</v>
      </c>
      <c r="L12">
        <f>(Цены!K12-Цены!K$2)/Цены!K$2</f>
        <v>0.11582682753726051</v>
      </c>
      <c r="M12">
        <f>(Цены!L12-Цены!L$2)/Цены!L$2</f>
        <v>2.3472192852611547E-2</v>
      </c>
      <c r="N12">
        <f>(Цены!M12-Цены!M$2)/Цены!M$2</f>
        <v>2.0732550103663536E-3</v>
      </c>
      <c r="O12">
        <f>(Цены!N12-Цены!N$2)/Цены!N$2</f>
        <v>3.7737501094475115E-2</v>
      </c>
      <c r="P12">
        <f>(Цены!O12-Цены!O$2)/Цены!O$2</f>
        <v>-4.06091370558376E-3</v>
      </c>
      <c r="Q12">
        <f>(Цены!P12-Цены!P$2)/Цены!P$2</f>
        <v>2.0885871322340703E-2</v>
      </c>
      <c r="R12">
        <f>(Цены!Q12-Цены!Q$2)/Цены!Q$2</f>
        <v>2.1196581196581191E-2</v>
      </c>
      <c r="S12">
        <f>(Цены!R12-Цены!R$2)/Цены!R$2</f>
        <v>2.6730211355159503E-2</v>
      </c>
      <c r="T12">
        <f>(Цены!S12-Цены!S$2)/Цены!S$2</f>
        <v>-5.6603773584905977E-3</v>
      </c>
      <c r="U12">
        <f>(Цены!T12-Цены!T$2)/Цены!T$2</f>
        <v>-1.9953952417499565E-3</v>
      </c>
      <c r="V12">
        <f>(Цены!U12-Цены!U$2)/Цены!U$2</f>
        <v>3.5387177352206492E-2</v>
      </c>
      <c r="W12">
        <f>(Цены!V12-Цены!V$2)/Цены!V$2</f>
        <v>9.2165898617511191E-3</v>
      </c>
      <c r="X12">
        <f>(Цены!W12-Цены!W$2)/Цены!W$2</f>
        <v>-3.0296472624973072E-3</v>
      </c>
      <c r="Y12">
        <f>(Цены!X12-Цены!X$2)/Цены!X$2</f>
        <v>4.3888166449934977E-2</v>
      </c>
      <c r="Z12">
        <f>(Цены!Y12-Цены!Y$2)/Цены!Y$2</f>
        <v>8.7424344317416948E-3</v>
      </c>
      <c r="AA12">
        <f>(Цены!Z12-Цены!Z$2)/Цены!Z$2</f>
        <v>1.1527377521613844E-2</v>
      </c>
      <c r="AB12">
        <f>(Цены!AA12-Цены!AA$2)/Цены!AA$2</f>
        <v>-4.2291950886766634E-2</v>
      </c>
      <c r="AC12">
        <f>(Цены!AB12-Цены!AB$2)/Цены!AB$2</f>
        <v>9.6096096096096092E-3</v>
      </c>
      <c r="AD12">
        <f>(Цены!AC12-Цены!AC$2)/Цены!AC$2</f>
        <v>-9.1809615849238226E-3</v>
      </c>
      <c r="AE12">
        <f>(Цены!AD12-Цены!AD$2)/Цены!AD$2</f>
        <v>3.2870708546383844E-3</v>
      </c>
      <c r="AF12">
        <f>(Цены!AE12-Цены!AE$2)/Цены!AE$2</f>
        <v>7.8286558345642535E-2</v>
      </c>
      <c r="AG12">
        <f>(Цены!AF12-Цены!AF$2)/Цены!AF$2</f>
        <v>7.7519379844960962E-3</v>
      </c>
      <c r="AH12">
        <f>(Цены!AG12-Цены!AG$2)/Цены!AG$2</f>
        <v>2.552648372686699E-3</v>
      </c>
      <c r="AI12">
        <f>(Цены!AH12-Цены!AH$2)/Цены!AH$2</f>
        <v>-3.5891089108910958E-2</v>
      </c>
      <c r="AJ12">
        <f>(Цены!AI12-Цены!AI$2)/Цены!AI$2</f>
        <v>-2.133516861665511E-2</v>
      </c>
      <c r="AK12">
        <f>(Цены!AJ12-Цены!AJ$2)/Цены!AJ$2</f>
        <v>2.5328330206378986E-2</v>
      </c>
      <c r="AL12">
        <f>(Цены!AK12-Цены!AK$2)/Цены!AK$2</f>
        <v>-9.4122166730696063E-3</v>
      </c>
      <c r="AM12">
        <f>(Цены!AL12-Цены!AL$2)/Цены!AL$2</f>
        <v>-3.0803571428571454E-2</v>
      </c>
      <c r="AN12">
        <f>(Цены!AM12-Цены!AM$2)/Цены!AM$2</f>
        <v>3.744292237442922E-2</v>
      </c>
      <c r="AO12">
        <f>(Цены!AN12-Цены!AN$2)/Цены!AN$2</f>
        <v>-8.6956521739130436E-3</v>
      </c>
      <c r="AP12">
        <f>(Цены!AO12-Цены!AO$2)/Цены!AO$2</f>
        <v>-2.1978021978022028E-2</v>
      </c>
      <c r="AQ12">
        <f>(Цены!AP12-Цены!AP$2)/Цены!AP$2</f>
        <v>-9.1743119266055051E-3</v>
      </c>
      <c r="AR12">
        <f>(Цены!AQ12-Цены!AQ$2)/Цены!AQ$2</f>
        <v>2.434077079107505E-2</v>
      </c>
      <c r="AS12">
        <f>(Цены!AR12-Цены!AR$2)/Цены!AR$2</f>
        <v>2.7800490596892935E-2</v>
      </c>
      <c r="AT12">
        <f>(Цены!AS12-Цены!AS$2)/Цены!AS$2</f>
        <v>-1.2548262548262521E-2</v>
      </c>
      <c r="AU12">
        <f>(Цены!AT12-Цены!AT$2)/Цены!AT$2</f>
        <v>4.178272980501397E-2</v>
      </c>
      <c r="AV12">
        <f>(Цены!AU12-Цены!AU$2)/Цены!AU$2</f>
        <v>6.3189568706118318E-2</v>
      </c>
      <c r="AW12">
        <f>(Цены!AV12-Цены!AV$2)/Цены!AV$2</f>
        <v>6.5050330122307667E-2</v>
      </c>
      <c r="AX12">
        <f>(Цены!AW12-Цены!AW$2)/Цены!AW$2</f>
        <v>-1.0222222222222207E-2</v>
      </c>
      <c r="AY12">
        <f>(Цены!AX12-Цены!AX$2)/Цены!AX$2</f>
        <v>-4.4709388971684054E-3</v>
      </c>
    </row>
    <row r="13" spans="1:51" x14ac:dyDescent="0.2">
      <c r="A13" s="1" t="s">
        <v>78</v>
      </c>
      <c r="B13" s="2">
        <v>11</v>
      </c>
      <c r="C13">
        <f>(Цены!B13-Цены!B$2)/Цены!B$2</f>
        <v>2.1395262160735035E-2</v>
      </c>
      <c r="D13">
        <f>(Цены!C13-Цены!C$2)/Цены!C$2</f>
        <v>1.6591928251121026E-2</v>
      </c>
      <c r="E13">
        <f>(Цены!D13-Цены!D$2)/Цены!D$2</f>
        <v>9.2965172748716764E-3</v>
      </c>
      <c r="F13">
        <f>(Цены!E13-Цены!E$2)/Цены!E$2</f>
        <v>4.5130641330166268E-2</v>
      </c>
      <c r="G13">
        <f>(Цены!F13-Цены!F$2)/Цены!F$2</f>
        <v>2.1546961325966851E-2</v>
      </c>
      <c r="H13">
        <f>(Цены!G13-Цены!G$2)/Цены!G$2</f>
        <v>1.3849670566088414E-2</v>
      </c>
      <c r="I13">
        <f>(Цены!H13-Цены!H$2)/Цены!H$2</f>
        <v>1.1282051282051224E-2</v>
      </c>
      <c r="J13">
        <f>(Цены!I13-Цены!I$2)/Цены!I$2</f>
        <v>8.7045570916538667E-3</v>
      </c>
      <c r="K13">
        <f>(Цены!J13-Цены!J$2)/Цены!J$2</f>
        <v>9.0015128593041536E-3</v>
      </c>
      <c r="L13">
        <f>(Цены!K13-Цены!K$2)/Цены!K$2</f>
        <v>0.11582682753726051</v>
      </c>
      <c r="M13">
        <f>(Цены!L13-Цены!L$2)/Цены!L$2</f>
        <v>2.3472192852611547E-2</v>
      </c>
      <c r="N13">
        <f>(Цены!M13-Цены!M$2)/Цены!M$2</f>
        <v>2.0732550103663536E-3</v>
      </c>
      <c r="O13">
        <f>(Цены!N13-Цены!N$2)/Цены!N$2</f>
        <v>3.7737501094475115E-2</v>
      </c>
      <c r="P13">
        <f>(Цены!O13-Цены!O$2)/Цены!O$2</f>
        <v>-4.06091370558376E-3</v>
      </c>
      <c r="Q13">
        <f>(Цены!P13-Цены!P$2)/Цены!P$2</f>
        <v>2.0885871322340703E-2</v>
      </c>
      <c r="R13">
        <f>(Цены!Q13-Цены!Q$2)/Цены!Q$2</f>
        <v>2.1196581196581191E-2</v>
      </c>
      <c r="S13">
        <f>(Цены!R13-Цены!R$2)/Цены!R$2</f>
        <v>2.6730211355159503E-2</v>
      </c>
      <c r="T13">
        <f>(Цены!S13-Цены!S$2)/Цены!S$2</f>
        <v>-5.6603773584905977E-3</v>
      </c>
      <c r="U13">
        <f>(Цены!T13-Цены!T$2)/Цены!T$2</f>
        <v>-1.9953952417499565E-3</v>
      </c>
      <c r="V13">
        <f>(Цены!U13-Цены!U$2)/Цены!U$2</f>
        <v>3.5387177352206492E-2</v>
      </c>
      <c r="W13">
        <f>(Цены!V13-Цены!V$2)/Цены!V$2</f>
        <v>9.2165898617511191E-3</v>
      </c>
      <c r="X13">
        <f>(Цены!W13-Цены!W$2)/Цены!W$2</f>
        <v>-3.0296472624973072E-3</v>
      </c>
      <c r="Y13">
        <f>(Цены!X13-Цены!X$2)/Цены!X$2</f>
        <v>4.3888166449934977E-2</v>
      </c>
      <c r="Z13">
        <f>(Цены!Y13-Цены!Y$2)/Цены!Y$2</f>
        <v>8.7424344317416948E-3</v>
      </c>
      <c r="AA13">
        <f>(Цены!Z13-Цены!Z$2)/Цены!Z$2</f>
        <v>1.1527377521613844E-2</v>
      </c>
      <c r="AB13">
        <f>(Цены!AA13-Цены!AA$2)/Цены!AA$2</f>
        <v>-4.2291950886766634E-2</v>
      </c>
      <c r="AC13">
        <f>(Цены!AB13-Цены!AB$2)/Цены!AB$2</f>
        <v>9.6096096096096092E-3</v>
      </c>
      <c r="AD13">
        <f>(Цены!AC13-Цены!AC$2)/Цены!AC$2</f>
        <v>-9.1809615849238226E-3</v>
      </c>
      <c r="AE13">
        <f>(Цены!AD13-Цены!AD$2)/Цены!AD$2</f>
        <v>3.2870708546383844E-3</v>
      </c>
      <c r="AF13">
        <f>(Цены!AE13-Цены!AE$2)/Цены!AE$2</f>
        <v>7.8286558345642535E-2</v>
      </c>
      <c r="AG13">
        <f>(Цены!AF13-Цены!AF$2)/Цены!AF$2</f>
        <v>7.7519379844960962E-3</v>
      </c>
      <c r="AH13">
        <f>(Цены!AG13-Цены!AG$2)/Цены!AG$2</f>
        <v>2.552648372686699E-3</v>
      </c>
      <c r="AI13">
        <f>(Цены!AH13-Цены!AH$2)/Цены!AH$2</f>
        <v>-3.5891089108910958E-2</v>
      </c>
      <c r="AJ13">
        <f>(Цены!AI13-Цены!AI$2)/Цены!AI$2</f>
        <v>-2.133516861665511E-2</v>
      </c>
      <c r="AK13">
        <f>(Цены!AJ13-Цены!AJ$2)/Цены!AJ$2</f>
        <v>2.5328330206378986E-2</v>
      </c>
      <c r="AL13">
        <f>(Цены!AK13-Цены!AK$2)/Цены!AK$2</f>
        <v>-9.4122166730696063E-3</v>
      </c>
      <c r="AM13">
        <f>(Цены!AL13-Цены!AL$2)/Цены!AL$2</f>
        <v>-3.0803571428571454E-2</v>
      </c>
      <c r="AN13">
        <f>(Цены!AM13-Цены!AM$2)/Цены!AM$2</f>
        <v>3.744292237442922E-2</v>
      </c>
      <c r="AO13">
        <f>(Цены!AN13-Цены!AN$2)/Цены!AN$2</f>
        <v>-8.6956521739130436E-3</v>
      </c>
      <c r="AP13">
        <f>(Цены!AO13-Цены!AO$2)/Цены!AO$2</f>
        <v>-2.1978021978022028E-2</v>
      </c>
      <c r="AQ13">
        <f>(Цены!AP13-Цены!AP$2)/Цены!AP$2</f>
        <v>-9.1743119266055051E-3</v>
      </c>
      <c r="AR13">
        <f>(Цены!AQ13-Цены!AQ$2)/Цены!AQ$2</f>
        <v>2.434077079107505E-2</v>
      </c>
      <c r="AS13">
        <f>(Цены!AR13-Цены!AR$2)/Цены!AR$2</f>
        <v>2.7800490596892935E-2</v>
      </c>
      <c r="AT13">
        <f>(Цены!AS13-Цены!AS$2)/Цены!AS$2</f>
        <v>-1.2548262548262521E-2</v>
      </c>
      <c r="AU13">
        <f>(Цены!AT13-Цены!AT$2)/Цены!AT$2</f>
        <v>4.178272980501397E-2</v>
      </c>
      <c r="AV13">
        <f>(Цены!AU13-Цены!AU$2)/Цены!AU$2</f>
        <v>6.3189568706118318E-2</v>
      </c>
      <c r="AW13">
        <f>(Цены!AV13-Цены!AV$2)/Цены!AV$2</f>
        <v>6.5050330122307667E-2</v>
      </c>
      <c r="AX13">
        <f>(Цены!AW13-Цены!AW$2)/Цены!AW$2</f>
        <v>-1.0222222222222207E-2</v>
      </c>
      <c r="AY13">
        <f>(Цены!AX13-Цены!AX$2)/Цены!AX$2</f>
        <v>-4.4709388971684054E-3</v>
      </c>
    </row>
    <row r="14" spans="1:51" x14ac:dyDescent="0.2">
      <c r="A14" s="1" t="s">
        <v>79</v>
      </c>
      <c r="B14" s="2">
        <v>12</v>
      </c>
      <c r="C14">
        <f>(Цены!B14-Цены!B$2)/Цены!B$2</f>
        <v>2.6244914077301628E-2</v>
      </c>
      <c r="D14">
        <f>(Цены!C14-Цены!C$2)/Цены!C$2</f>
        <v>4.7982062780269008E-2</v>
      </c>
      <c r="E14">
        <f>(Цены!D14-Цены!D$2)/Цены!D$2</f>
        <v>1.5540446787845216E-2</v>
      </c>
      <c r="F14">
        <f>(Цены!E14-Цены!E$2)/Цены!E$2</f>
        <v>5.8882360295036879E-2</v>
      </c>
      <c r="G14">
        <f>(Цены!F14-Цены!F$2)/Цены!F$2</f>
        <v>-1.1970534069981584E-2</v>
      </c>
      <c r="H14">
        <f>(Цены!G14-Цены!G$2)/Цены!G$2</f>
        <v>2.8640580879386788E-2</v>
      </c>
      <c r="I14">
        <f>(Цены!H14-Цены!H$2)/Цены!H$2</f>
        <v>4.7863247863248054E-3</v>
      </c>
      <c r="J14">
        <f>(Цены!I14-Цены!I$2)/Цены!I$2</f>
        <v>3.5842293906810036E-3</v>
      </c>
      <c r="K14">
        <f>(Цены!J14-Цены!J$2)/Цены!J$2</f>
        <v>1.6338880484114908E-2</v>
      </c>
      <c r="L14">
        <f>(Цены!K14-Цены!K$2)/Цены!K$2</f>
        <v>0.12334989354151878</v>
      </c>
      <c r="M14">
        <f>(Цены!L14-Цены!L$2)/Цены!L$2</f>
        <v>2.7701416790019032E-2</v>
      </c>
      <c r="N14">
        <f>(Цены!M14-Цены!M$2)/Цены!M$2</f>
        <v>1.5549412577748635E-3</v>
      </c>
      <c r="O14">
        <f>(Цены!N14-Цены!N$2)/Цены!N$2</f>
        <v>5.0696086157079122E-2</v>
      </c>
      <c r="P14">
        <f>(Цены!O14-Цены!O$2)/Цены!O$2</f>
        <v>5.0761421319802638E-4</v>
      </c>
      <c r="Q14">
        <f>(Цены!P14-Цены!P$2)/Цены!P$2</f>
        <v>3.2331070158411214E-4</v>
      </c>
      <c r="R14">
        <f>(Цены!Q14-Цены!Q$2)/Цены!Q$2</f>
        <v>5.6980056980053745E-4</v>
      </c>
      <c r="S14">
        <f>(Цены!R14-Цены!R$2)/Цены!R$2</f>
        <v>8.8064649813510143E-3</v>
      </c>
      <c r="T14">
        <f>(Цены!S14-Цены!S$2)/Цены!S$2</f>
        <v>-1.4150943396226428E-2</v>
      </c>
      <c r="U14">
        <f>(Цены!T14-Цены!T$2)/Цены!T$2</f>
        <v>1.0744435917113303E-3</v>
      </c>
      <c r="V14">
        <f>(Цены!U14-Цены!U$2)/Цены!U$2</f>
        <v>1.8318068276436304E-2</v>
      </c>
      <c r="W14">
        <f>(Цены!V14-Цены!V$2)/Цены!V$2</f>
        <v>1.3824884792626762E-2</v>
      </c>
      <c r="X14">
        <f>(Цены!W14-Цены!W$2)/Цены!W$2</f>
        <v>-1.1252975546418591E-2</v>
      </c>
      <c r="Y14">
        <f>(Цены!X14-Цены!X$2)/Цены!X$2</f>
        <v>5.3641092327698307E-2</v>
      </c>
      <c r="Z14">
        <f>(Цены!Y14-Цены!Y$2)/Цены!Y$2</f>
        <v>1.2777404169468666E-2</v>
      </c>
      <c r="AA14">
        <f>(Цены!Z14-Цены!Z$2)/Цены!Z$2</f>
        <v>2.0172910662824228E-2</v>
      </c>
      <c r="AB14">
        <f>(Цены!AA14-Цены!AA$2)/Цены!AA$2</f>
        <v>-4.6384720327421441E-2</v>
      </c>
      <c r="AC14">
        <f>(Цены!AB14-Цены!AB$2)/Цены!AB$2</f>
        <v>-3.003003003003003E-3</v>
      </c>
      <c r="AD14">
        <f>(Цены!AC14-Цены!AC$2)/Цены!AC$2</f>
        <v>-2.4160425223483956E-3</v>
      </c>
      <c r="AE14">
        <f>(Цены!AD14-Цены!AD$2)/Цены!AD$2</f>
        <v>4.7479912344776847E-3</v>
      </c>
      <c r="AF14">
        <f>(Цены!AE14-Цены!AE$2)/Цены!AE$2</f>
        <v>5.1698670605612999E-2</v>
      </c>
      <c r="AG14">
        <f>(Цены!AF14-Цены!AF$2)/Цены!AF$2</f>
        <v>-6.7829457364341362E-3</v>
      </c>
      <c r="AH14">
        <f>(Цены!AG14-Цены!AG$2)/Цены!AG$2</f>
        <v>-1.7230376515634901E-2</v>
      </c>
      <c r="AI14">
        <f>(Цены!AH14-Цены!AH$2)/Цены!AH$2</f>
        <v>-4.95049504950495E-2</v>
      </c>
      <c r="AJ14">
        <f>(Цены!AI14-Цены!AI$2)/Цены!AI$2</f>
        <v>-2.7529249827942092E-2</v>
      </c>
      <c r="AK14">
        <f>(Цены!AJ14-Цены!AJ$2)/Цены!AJ$2</f>
        <v>8.4427767354596627E-3</v>
      </c>
      <c r="AL14">
        <f>(Цены!AK14-Цены!AK$2)/Цены!AK$2</f>
        <v>-1.9592777564348886E-2</v>
      </c>
      <c r="AM14">
        <f>(Цены!AL14-Цены!AL$2)/Цены!AL$2</f>
        <v>-4.8214285714285765E-2</v>
      </c>
      <c r="AN14">
        <f>(Цены!AM14-Цены!AM$2)/Цены!AM$2</f>
        <v>7.3059360730593603E-2</v>
      </c>
      <c r="AO14">
        <f>(Цены!AN14-Цены!AN$2)/Цены!AN$2</f>
        <v>-8.6956521739130436E-3</v>
      </c>
      <c r="AP14">
        <f>(Цены!AO14-Цены!AO$2)/Цены!AO$2</f>
        <v>-2.5641025641025616E-2</v>
      </c>
      <c r="AQ14">
        <f>(Цены!AP14-Цены!AP$2)/Цены!AP$2</f>
        <v>-4.5871559633027525E-3</v>
      </c>
      <c r="AR14">
        <f>(Цены!AQ14-Цены!AQ$2)/Цены!AQ$2</f>
        <v>1.8255578093306288E-2</v>
      </c>
      <c r="AS14">
        <f>(Цены!AR14-Цены!AR$2)/Цены!AR$2</f>
        <v>1.7170891251022148E-2</v>
      </c>
      <c r="AT14">
        <f>(Цены!AS14-Цены!AS$2)/Цены!AS$2</f>
        <v>-9.6525096525096523E-3</v>
      </c>
      <c r="AU14">
        <f>(Цены!AT14-Цены!AT$2)/Цены!AT$2</f>
        <v>3.3426183844011172E-2</v>
      </c>
      <c r="AV14">
        <f>(Цены!AU14-Цены!AU$2)/Цены!AU$2</f>
        <v>5.8174523570712108E-2</v>
      </c>
      <c r="AW14">
        <f>(Цены!AV14-Цены!AV$2)/Цены!AV$2</f>
        <v>3.4635783093408409E-2</v>
      </c>
      <c r="AX14">
        <f>(Цены!AW14-Цены!AW$2)/Цены!AW$2</f>
        <v>-1.3777777777777864E-2</v>
      </c>
      <c r="AY14">
        <f>(Цены!AX14-Цены!AX$2)/Цены!AX$2</f>
        <v>-1.4903129657228018E-3</v>
      </c>
    </row>
    <row r="15" spans="1:51" x14ac:dyDescent="0.2">
      <c r="A15" s="1" t="s">
        <v>80</v>
      </c>
      <c r="B15" s="2">
        <v>13</v>
      </c>
      <c r="C15">
        <f>(Цены!B15-Цены!B$2)/Цены!B$2</f>
        <v>4.0594204377554156E-2</v>
      </c>
      <c r="D15">
        <f>(Цены!C15-Цены!C$2)/Цены!C$2</f>
        <v>5.7040358744394615E-2</v>
      </c>
      <c r="E15">
        <f>(Цены!D15-Цены!D$2)/Цены!D$2</f>
        <v>4.5511308450117964E-2</v>
      </c>
      <c r="F15">
        <f>(Цены!E15-Цены!E$2)/Цены!E$2</f>
        <v>9.588698587323416E-2</v>
      </c>
      <c r="G15">
        <f>(Цены!F15-Цены!F$2)/Цены!F$2</f>
        <v>-1.2062615101289134E-2</v>
      </c>
      <c r="H15">
        <f>(Цены!G15-Цены!G$2)/Цены!G$2</f>
        <v>3.4691407825736119E-2</v>
      </c>
      <c r="I15">
        <f>(Цены!H15-Цены!H$2)/Цены!H$2</f>
        <v>1.4871794871794828E-2</v>
      </c>
      <c r="J15">
        <f>(Цены!I15-Цены!I$2)/Цены!I$2</f>
        <v>-9.7286226318484392E-3</v>
      </c>
      <c r="K15">
        <f>(Цены!J15-Цены!J$2)/Цены!J$2</f>
        <v>2.503782148260205E-2</v>
      </c>
      <c r="L15">
        <f>(Цены!K15-Цены!K$2)/Цены!K$2</f>
        <v>0.13967352732434346</v>
      </c>
      <c r="M15">
        <f>(Цены!L15-Цены!L$2)/Цены!L$2</f>
        <v>3.6371325861704377E-2</v>
      </c>
      <c r="N15">
        <f>(Цены!M15-Цены!M$2)/Цены!M$2</f>
        <v>-8.6385625431928132E-4</v>
      </c>
      <c r="O15">
        <f>(Цены!N15-Цены!N$2)/Цены!N$2</f>
        <v>7.7488836354084656E-2</v>
      </c>
      <c r="P15">
        <f>(Цены!O15-Цены!O$2)/Цены!O$2</f>
        <v>1.1294416243654876E-2</v>
      </c>
      <c r="Q15">
        <f>(Цены!P15-Цены!P$2)/Цены!P$2</f>
        <v>2.0885871322340703E-2</v>
      </c>
      <c r="R15">
        <f>(Цены!Q15-Цены!Q$2)/Цены!Q$2</f>
        <v>2.0512820512821289E-3</v>
      </c>
      <c r="S15">
        <f>(Цены!R15-Цены!R$2)/Цены!R$2</f>
        <v>2.1757148777455448E-2</v>
      </c>
      <c r="T15">
        <f>(Цены!S15-Цены!S$2)/Цены!S$2</f>
        <v>-1.1698113207547087E-2</v>
      </c>
      <c r="U15">
        <f>(Цены!T15-Цены!T$2)/Цены!T$2</f>
        <v>-2.3023791250960197E-3</v>
      </c>
      <c r="V15">
        <f>(Цены!U15-Цены!U$2)/Цены!U$2</f>
        <v>1.1656952539550375E-2</v>
      </c>
      <c r="W15">
        <f>(Цены!V15-Цены!V$2)/Цены!V$2</f>
        <v>1.0138248847926379E-2</v>
      </c>
      <c r="X15">
        <f>(Цены!W15-Цены!W$2)/Цены!W$2</f>
        <v>-1.42826228089159E-2</v>
      </c>
      <c r="Y15">
        <f>(Цены!X15-Цены!X$2)/Цены!X$2</f>
        <v>5.0390117035110531E-2</v>
      </c>
      <c r="Z15">
        <f>(Цены!Y15-Цены!Y$2)/Цены!Y$2</f>
        <v>2.0174848688634104E-3</v>
      </c>
      <c r="AA15">
        <f>(Цены!Z15-Цены!Z$2)/Цены!Z$2</f>
        <v>1.7002881844380452E-2</v>
      </c>
      <c r="AB15">
        <f>(Цены!AA15-Цены!AA$2)/Цены!AA$2</f>
        <v>-6.2073669849931748E-2</v>
      </c>
      <c r="AC15">
        <f>(Цены!AB15-Цены!AB$2)/Цены!AB$2</f>
        <v>1.8018018018018018E-3</v>
      </c>
      <c r="AD15">
        <f>(Цены!AC15-Цены!AC$2)/Цены!AC$2</f>
        <v>6.5233148103407482E-3</v>
      </c>
      <c r="AE15">
        <f>(Цены!AD15-Цены!AD$2)/Цены!AD$2</f>
        <v>4.3827611395179005E-3</v>
      </c>
      <c r="AF15">
        <f>(Цены!AE15-Цены!AE$2)/Цены!AE$2</f>
        <v>4.4313146233382568E-2</v>
      </c>
      <c r="AG15">
        <f>(Цены!AF15-Цены!AF$2)/Цены!AF$2</f>
        <v>-6.7829457364341362E-3</v>
      </c>
      <c r="AH15">
        <f>(Цены!AG15-Цены!AG$2)/Цены!AG$2</f>
        <v>-7.0197830248882858E-3</v>
      </c>
      <c r="AI15">
        <f>(Цены!AH15-Цены!AH$2)/Цены!AH$2</f>
        <v>-4.2904290429042924E-2</v>
      </c>
      <c r="AJ15">
        <f>(Цены!AI15-Цены!AI$2)/Цены!AI$2</f>
        <v>-1.5829318651066668E-2</v>
      </c>
      <c r="AK15">
        <f>(Цены!AJ15-Цены!AJ$2)/Цены!AJ$2</f>
        <v>8.4427767354596627E-3</v>
      </c>
      <c r="AL15">
        <f>(Цены!AK15-Цены!AK$2)/Цены!AK$2</f>
        <v>-1.2869765655013478E-2</v>
      </c>
      <c r="AM15">
        <f>(Цены!AL15-Цены!AL$2)/Цены!AL$2</f>
        <v>-5.3125000000000026E-2</v>
      </c>
      <c r="AN15">
        <f>(Цены!AM15-Цены!AM$2)/Цены!AM$2</f>
        <v>6.2557077625570778E-2</v>
      </c>
      <c r="AO15">
        <f>(Цены!AN15-Цены!AN$2)/Цены!AN$2</f>
        <v>-4.0579710144927538E-3</v>
      </c>
      <c r="AP15">
        <f>(Цены!AO15-Цены!AO$2)/Цены!AO$2</f>
        <v>-2.5641025641025616E-2</v>
      </c>
      <c r="AQ15">
        <f>(Цены!AP15-Цены!AP$2)/Цены!AP$2</f>
        <v>4.5871559633027525E-3</v>
      </c>
      <c r="AR15">
        <f>(Цены!AQ15-Цены!AQ$2)/Цены!AQ$2</f>
        <v>1.6227180527383367E-2</v>
      </c>
      <c r="AS15">
        <f>(Цены!AR15-Цены!AR$2)/Цены!AR$2</f>
        <v>1.5535568274734306E-2</v>
      </c>
      <c r="AT15">
        <f>(Цены!AS15-Цены!AS$2)/Цены!AS$2</f>
        <v>-1.3513513513513433E-2</v>
      </c>
      <c r="AU15">
        <f>(Цены!AT15-Цены!AT$2)/Цены!AT$2</f>
        <v>3.8997214484679701E-2</v>
      </c>
      <c r="AV15">
        <f>(Цены!AU15-Цены!AU$2)/Цены!AU$2</f>
        <v>8.5255767301905719E-2</v>
      </c>
      <c r="AW15">
        <f>(Цены!AV15-Цены!AV$2)/Цены!AV$2</f>
        <v>6.9163329364649861E-2</v>
      </c>
      <c r="AX15">
        <f>(Цены!AW15-Цены!AW$2)/Цены!AW$2</f>
        <v>-1.8666666666666706E-2</v>
      </c>
      <c r="AY15">
        <f>(Цены!AX15-Цены!AX$2)/Цены!AX$2</f>
        <v>-4.4709388971684054E-3</v>
      </c>
    </row>
    <row r="16" spans="1:51" x14ac:dyDescent="0.2">
      <c r="A16" s="1" t="s">
        <v>81</v>
      </c>
      <c r="B16" s="2">
        <v>14</v>
      </c>
      <c r="C16">
        <f>(Цены!B16-Цены!B$2)/Цены!B$2</f>
        <v>4.6078348722362931E-2</v>
      </c>
      <c r="D16">
        <f>(Цены!C16-Цены!C$2)/Цены!C$2</f>
        <v>6.6367713004484352E-2</v>
      </c>
      <c r="E16">
        <f>(Цены!D16-Цены!D$2)/Цены!D$2</f>
        <v>4.7453864298598609E-2</v>
      </c>
      <c r="F16">
        <f>(Цены!E16-Цены!E$2)/Цены!E$2</f>
        <v>0.10201275159394925</v>
      </c>
      <c r="G16">
        <f>(Цены!F16-Цены!F$2)/Цены!F$2</f>
        <v>-7.5506445672191532E-3</v>
      </c>
      <c r="H16">
        <f>(Цены!G16-Цены!G$2)/Цены!G$2</f>
        <v>4.1145623235175351E-2</v>
      </c>
      <c r="I16">
        <f>(Цены!H16-Цены!H$2)/Цены!H$2</f>
        <v>2.564102564102564E-2</v>
      </c>
      <c r="J16">
        <f>(Цены!I16-Цены!I$2)/Цены!I$2</f>
        <v>-5.3763440860215058E-3</v>
      </c>
      <c r="K16">
        <f>(Цены!J16-Цены!J$2)/Цены!J$2</f>
        <v>3.6686838124054461E-2</v>
      </c>
      <c r="L16">
        <f>(Цены!K16-Цены!K$2)/Цены!K$2</f>
        <v>0.14563520227111429</v>
      </c>
      <c r="M16">
        <f>(Цены!L16-Цены!L$2)/Цены!L$2</f>
        <v>5.4134066398815815E-2</v>
      </c>
      <c r="N16">
        <f>(Цены!M16-Цены!M$2)/Цены!M$2</f>
        <v>2.0732550103663536E-3</v>
      </c>
      <c r="O16">
        <f>(Цены!N16-Цены!N$2)/Цены!N$2</f>
        <v>4.3253655546799864E-2</v>
      </c>
      <c r="P16">
        <f>(Цены!O16-Цены!O$2)/Цены!O$2</f>
        <v>7.6142131979696067E-3</v>
      </c>
      <c r="Q16">
        <f>(Цены!P16-Цены!P$2)/Цены!P$2</f>
        <v>5.5738764953119975E-2</v>
      </c>
      <c r="R16">
        <f>(Цены!Q16-Цены!Q$2)/Цены!Q$2</f>
        <v>-3.190883190883204E-3</v>
      </c>
      <c r="S16">
        <f>(Цены!R16-Цены!R$2)/Цены!R$2</f>
        <v>3.4189805221715705E-2</v>
      </c>
      <c r="T16">
        <f>(Цены!S16-Цены!S$2)/Цены!S$2</f>
        <v>-9.4339622641509517E-3</v>
      </c>
      <c r="U16">
        <f>(Цены!T16-Цены!T$2)/Цены!T$2</f>
        <v>-4.7582501918649617E-3</v>
      </c>
      <c r="V16">
        <f>(Цены!U16-Цены!U$2)/Цены!U$2</f>
        <v>2.0399666944213156E-2</v>
      </c>
      <c r="W16">
        <f>(Цены!V16-Цены!V$2)/Цены!V$2</f>
        <v>2.165898617511532E-2</v>
      </c>
      <c r="X16">
        <f>(Цены!W16-Цены!W$2)/Цены!W$2</f>
        <v>-4.544470893745961E-3</v>
      </c>
      <c r="Y16">
        <f>(Цены!X16-Цены!X$2)/Цены!X$2</f>
        <v>5.624187256176838E-2</v>
      </c>
      <c r="Z16">
        <f>(Цены!Y16-Цены!Y$2)/Цены!Y$2</f>
        <v>9.4149293880294478E-3</v>
      </c>
      <c r="AA16">
        <f>(Цены!Z16-Цены!Z$2)/Цены!Z$2</f>
        <v>1.2103746397694633E-2</v>
      </c>
      <c r="AB16">
        <f>(Цены!AA16-Цены!AA$2)/Цены!AA$2</f>
        <v>-7.1282401091405115E-2</v>
      </c>
      <c r="AC16">
        <f>(Цены!AB16-Цены!AB$2)/Цены!AB$2</f>
        <v>-5.4054054054054057E-3</v>
      </c>
      <c r="AD16">
        <f>(Цены!AC16-Цены!AC$2)/Цены!AC$2</f>
        <v>1.2925827494563957E-2</v>
      </c>
      <c r="AE16">
        <f>(Цены!AD16-Цены!AD$2)/Цены!AD$2</f>
        <v>-1.0226442658875101E-2</v>
      </c>
      <c r="AF16">
        <f>(Цены!AE16-Цены!AE$2)/Цены!AE$2</f>
        <v>4.2836041358936483E-2</v>
      </c>
      <c r="AG16">
        <f>(Цены!AF16-Цены!AF$2)/Цены!AF$2</f>
        <v>-2.1802325581396173E-3</v>
      </c>
      <c r="AH16">
        <f>(Цены!AG16-Цены!AG$2)/Цены!AG$2</f>
        <v>-5.1052967453732168E-3</v>
      </c>
      <c r="AI16">
        <f>(Цены!AH16-Цены!AH$2)/Цены!AH$2</f>
        <v>-4.7029702970297051E-2</v>
      </c>
      <c r="AJ16">
        <f>(Цены!AI16-Цены!AI$2)/Цены!AI$2</f>
        <v>-1.7894012388162409E-2</v>
      </c>
      <c r="AK16">
        <f>(Цены!AJ16-Цены!AJ$2)/Цены!AJ$2</f>
        <v>1.547842401500938E-2</v>
      </c>
      <c r="AL16">
        <f>(Цены!AK16-Цены!AK$2)/Цены!AK$2</f>
        <v>-3.8417210910488783E-3</v>
      </c>
      <c r="AM16">
        <f>(Цены!AL16-Цены!AL$2)/Цены!AL$2</f>
        <v>-4.5535714285714235E-2</v>
      </c>
      <c r="AN16">
        <f>(Цены!AM16-Цены!AM$2)/Цены!AM$2</f>
        <v>7.2146118721461192E-2</v>
      </c>
      <c r="AO16">
        <f>(Цены!AN16-Цены!AN$2)/Цены!AN$2</f>
        <v>-2.8985507246376812E-3</v>
      </c>
      <c r="AP16">
        <f>(Цены!AO16-Цены!AO$2)/Цены!AO$2</f>
        <v>-2.7472527472527472E-2</v>
      </c>
      <c r="AQ16">
        <f>(Цены!AP16-Цены!AP$2)/Цены!AP$2</f>
        <v>9.1743119266055051E-3</v>
      </c>
      <c r="AR16">
        <f>(Цены!AQ16-Цены!AQ$2)/Цены!AQ$2</f>
        <v>1.4198782961460446E-2</v>
      </c>
      <c r="AS16">
        <f>(Цены!AR16-Цены!AR$2)/Цены!AR$2</f>
        <v>2.3712183156173391E-2</v>
      </c>
      <c r="AT16">
        <f>(Цены!AS16-Цены!AS$2)/Цены!AS$2</f>
        <v>3.1853281853281963E-2</v>
      </c>
      <c r="AU16">
        <f>(Цены!AT16-Цены!AT$2)/Цены!AT$2</f>
        <v>3.2033426183844041E-2</v>
      </c>
      <c r="AV16">
        <f>(Цены!AU16-Цены!AU$2)/Цены!AU$2</f>
        <v>8.1243731193580679E-2</v>
      </c>
      <c r="AW16">
        <f>(Цены!AV16-Цены!AV$2)/Цены!AV$2</f>
        <v>6.2127935923801218E-2</v>
      </c>
      <c r="AX16">
        <f>(Цены!AW16-Цены!AW$2)/Цены!AW$2</f>
        <v>-1.6444444444444484E-2</v>
      </c>
      <c r="AY16">
        <f>(Цены!AX16-Цены!AX$2)/Цены!AX$2</f>
        <v>1.4903129657228018E-3</v>
      </c>
    </row>
    <row r="17" spans="1:51" x14ac:dyDescent="0.2">
      <c r="A17" s="1" t="s">
        <v>82</v>
      </c>
      <c r="B17" s="2">
        <v>15</v>
      </c>
      <c r="C17">
        <f>(Цены!B17-Цены!B$2)/Цены!B$2</f>
        <v>3.6942545157669246E-2</v>
      </c>
      <c r="D17">
        <f>(Цены!C17-Цены!C$2)/Цены!C$2</f>
        <v>3.762331838565016E-2</v>
      </c>
      <c r="E17">
        <f>(Цены!D17-Цены!D$2)/Цены!D$2</f>
        <v>3.5104759261828794E-2</v>
      </c>
      <c r="F17">
        <f>(Цены!E17-Цены!E$2)/Цены!E$2</f>
        <v>9.8137267158394798E-2</v>
      </c>
      <c r="G17">
        <f>(Цены!F17-Цены!F$2)/Цены!F$2</f>
        <v>5.0644567219152855E-3</v>
      </c>
      <c r="H17">
        <f>(Цены!G17-Цены!G$2)/Цены!G$2</f>
        <v>3.8321903993545785E-2</v>
      </c>
      <c r="I17">
        <f>(Цены!H17-Цены!H$2)/Цены!H$2</f>
        <v>1.7435897435897491E-2</v>
      </c>
      <c r="J17">
        <f>(Цены!I17-Цены!I$2)/Цены!I$2</f>
        <v>-4.3266769073220683E-2</v>
      </c>
      <c r="K17">
        <f>(Цены!J17-Цены!J$2)/Цены!J$2</f>
        <v>2.8063540090771489E-2</v>
      </c>
      <c r="L17">
        <f>(Цены!K17-Цены!K$2)/Цены!K$2</f>
        <v>0.12093683463449262</v>
      </c>
      <c r="M17">
        <f>(Цены!L17-Цены!L$2)/Цены!L$2</f>
        <v>6.6821738211038276E-2</v>
      </c>
      <c r="N17">
        <f>(Цены!M17-Цены!M$2)/Цены!M$2</f>
        <v>-1.3821700069107715E-3</v>
      </c>
      <c r="O17">
        <f>(Цены!N17-Цены!N$2)/Цены!N$2</f>
        <v>1.0419402854391139E-2</v>
      </c>
      <c r="P17">
        <f>(Цены!O17-Цены!O$2)/Цены!O$2</f>
        <v>-1.3832487309644668E-2</v>
      </c>
      <c r="Q17">
        <f>(Цены!P17-Цены!P$2)/Цены!P$2</f>
        <v>2.6899450371807285E-2</v>
      </c>
      <c r="R17">
        <f>(Цены!Q17-Цены!Q$2)/Цены!Q$2</f>
        <v>1.1396011396011397E-2</v>
      </c>
      <c r="S17">
        <f>(Цены!R17-Цены!R$2)/Цены!R$2</f>
        <v>2.1549937836717731E-2</v>
      </c>
      <c r="T17">
        <f>(Цены!S17-Цены!S$2)/Цены!S$2</f>
        <v>-2.8301886792452855E-2</v>
      </c>
      <c r="U17">
        <f>(Цены!T17-Цены!T$2)/Цены!T$2</f>
        <v>6.7536454336146997E-3</v>
      </c>
      <c r="V17">
        <f>(Цены!U17-Цены!U$2)/Цены!U$2</f>
        <v>1.0407993338884263E-2</v>
      </c>
      <c r="W17">
        <f>(Цены!V17-Цены!V$2)/Цены!V$2</f>
        <v>4.608294930875642E-3</v>
      </c>
      <c r="X17">
        <f>(Цены!W17-Цены!W$2)/Цены!W$2</f>
        <v>-3.0512876000865694E-2</v>
      </c>
      <c r="Y17">
        <f>(Цены!X17-Цены!X$2)/Цены!X$2</f>
        <v>5.9817945383615005E-2</v>
      </c>
      <c r="Z17">
        <f>(Цены!Y17-Цены!Y$2)/Цены!Y$2</f>
        <v>-2.01748486886356E-3</v>
      </c>
      <c r="AA17">
        <f>(Цены!Z17-Цены!Z$2)/Цены!Z$2</f>
        <v>5.1873198847262941E-3</v>
      </c>
      <c r="AB17">
        <f>(Цены!AA17-Цены!AA$2)/Цены!AA$2</f>
        <v>-5.8663028649386051E-2</v>
      </c>
      <c r="AC17">
        <f>(Цены!AB17-Цены!AB$2)/Цены!AB$2</f>
        <v>-4.2042042042042043E-3</v>
      </c>
      <c r="AD17">
        <f>(Цены!AC17-Цены!AC$2)/Цены!AC$2</f>
        <v>3.8656680357574062E-3</v>
      </c>
      <c r="AE17">
        <f>(Цены!AD17-Цены!AD$2)/Цены!AD$2</f>
        <v>-2.9218407596786002E-3</v>
      </c>
      <c r="AF17">
        <f>(Цены!AE17-Цены!AE$2)/Цены!AE$2</f>
        <v>2.8064992614475627E-2</v>
      </c>
      <c r="AG17">
        <f>(Цены!AF17-Цены!AF$2)/Цены!AF$2</f>
        <v>-6.5406976744185772E-3</v>
      </c>
      <c r="AH17">
        <f>(Цены!AG17-Цены!AG$2)/Цены!AG$2</f>
        <v>-7.6579451180599153E-3</v>
      </c>
      <c r="AI17">
        <f>(Цены!AH17-Цены!AH$2)/Цены!AH$2</f>
        <v>-6.4768976897689831E-2</v>
      </c>
      <c r="AJ17">
        <f>(Цены!AI17-Цены!AI$2)/Цены!AI$2</f>
        <v>-2.2711631108052313E-2</v>
      </c>
      <c r="AK17">
        <f>(Цены!AJ17-Цены!AJ$2)/Цены!AJ$2</f>
        <v>1.5947467166979361E-2</v>
      </c>
      <c r="AL17">
        <f>(Цены!AK17-Цены!AK$2)/Цены!AK$2</f>
        <v>-3.8417210910488783E-3</v>
      </c>
      <c r="AM17">
        <f>(Цены!AL17-Цены!AL$2)/Цены!AL$2</f>
        <v>-4.6875E-2</v>
      </c>
      <c r="AN17">
        <f>(Цены!AM17-Цены!AM$2)/Цены!AM$2</f>
        <v>6.4840182648401828E-2</v>
      </c>
      <c r="AO17">
        <f>(Цены!AN17-Цены!AN$2)/Цены!AN$2</f>
        <v>-2.8985507246376812E-3</v>
      </c>
      <c r="AP17">
        <f>(Цены!AO17-Цены!AO$2)/Цены!AO$2</f>
        <v>-2.9304029304029328E-2</v>
      </c>
      <c r="AQ17">
        <f>(Цены!AP17-Цены!AP$2)/Цены!AP$2</f>
        <v>9.1743119266055051E-3</v>
      </c>
      <c r="AR17">
        <f>(Цены!AQ17-Цены!AQ$2)/Цены!AQ$2</f>
        <v>1.0141987829614604E-2</v>
      </c>
      <c r="AS17">
        <f>(Цены!AR17-Цены!AR$2)/Цены!AR$2</f>
        <v>-9.811937857726924E-3</v>
      </c>
      <c r="AT17">
        <f>(Цены!AS17-Цены!AS$2)/Цены!AS$2</f>
        <v>4.0540540540540571E-2</v>
      </c>
      <c r="AU17">
        <f>(Цены!AT17-Цены!AT$2)/Цены!AT$2</f>
        <v>2.6462395543175511E-2</v>
      </c>
      <c r="AV17">
        <f>(Цены!AU17-Цены!AU$2)/Цены!AU$2</f>
        <v>7.2216649949849582E-2</v>
      </c>
      <c r="AW17">
        <f>(Цены!AV17-Цены!AV$2)/Цены!AV$2</f>
        <v>6.8189197965147719E-2</v>
      </c>
      <c r="AX17">
        <f>(Цены!AW17-Цены!AW$2)/Цены!AW$2</f>
        <v>-2.5111111111111181E-2</v>
      </c>
      <c r="AY17">
        <f>(Цены!AX17-Цены!AX$2)/Цены!AX$2</f>
        <v>-1.3412816691505217E-2</v>
      </c>
    </row>
    <row r="18" spans="1:51" x14ac:dyDescent="0.2">
      <c r="A18" s="1" t="s">
        <v>83</v>
      </c>
      <c r="B18" s="2">
        <v>16</v>
      </c>
      <c r="C18">
        <f>(Цены!B18-Цены!B$2)/Цены!B$2</f>
        <v>3.7545978515997593E-2</v>
      </c>
      <c r="D18">
        <f>(Цены!C18-Цены!C$2)/Цены!C$2</f>
        <v>3.0493273542600948E-2</v>
      </c>
      <c r="E18">
        <f>(Цены!D18-Цены!D$2)/Цены!D$2</f>
        <v>3.0872762591924639E-2</v>
      </c>
      <c r="F18">
        <f>(Цены!E18-Цены!E$2)/Цены!E$2</f>
        <v>0.10263782972871609</v>
      </c>
      <c r="G18">
        <f>(Цены!F18-Цены!F$2)/Цены!F$2</f>
        <v>-5.5248618784530384E-3</v>
      </c>
      <c r="H18">
        <f>(Цены!G18-Цены!G$2)/Цены!G$2</f>
        <v>3.3077853973376238E-2</v>
      </c>
      <c r="I18">
        <f>(Цены!H18-Цены!H$2)/Цены!H$2</f>
        <v>1.91452991452991E-2</v>
      </c>
      <c r="J18">
        <f>(Цены!I18-Цены!I$2)/Цены!I$2</f>
        <v>-5.0179211469534052E-2</v>
      </c>
      <c r="K18">
        <f>(Цены!J18-Цены!J$2)/Цены!J$2</f>
        <v>2.2692889561270801E-2</v>
      </c>
      <c r="L18">
        <f>(Цены!K18-Цены!K$2)/Цены!K$2</f>
        <v>0.1066004258339248</v>
      </c>
      <c r="M18">
        <f>(Цены!L18-Цены!L$2)/Цены!L$2</f>
        <v>9.3254387819835055E-2</v>
      </c>
      <c r="N18">
        <f>(Цены!M18-Цены!M$2)/Цены!M$2</f>
        <v>-1.2093987560468761E-3</v>
      </c>
      <c r="O18">
        <f>(Цены!N18-Цены!N$2)/Цены!N$2</f>
        <v>3.082041852727441E-2</v>
      </c>
      <c r="P18">
        <f>(Цены!O18-Цены!O$2)/Цены!O$2</f>
        <v>1.01522842639594E-2</v>
      </c>
      <c r="Q18">
        <f>(Цены!P18-Цены!P$2)/Цены!P$2</f>
        <v>4.3711606854186812E-2</v>
      </c>
      <c r="R18">
        <f>(Цены!Q18-Цены!Q$2)/Цены!Q$2</f>
        <v>4.2735042735042736E-2</v>
      </c>
      <c r="S18">
        <f>(Цены!R18-Цены!R$2)/Цены!R$2</f>
        <v>3.0874430169912922E-2</v>
      </c>
      <c r="T18">
        <f>(Цены!S18-Цены!S$2)/Цены!S$2</f>
        <v>-3.1698113207547188E-2</v>
      </c>
      <c r="U18">
        <f>(Цены!T18-Цены!T$2)/Цены!T$2</f>
        <v>7.8280890253260293E-3</v>
      </c>
      <c r="V18">
        <f>(Цены!U18-Цены!U$2)/Цены!U$2</f>
        <v>7.4937552039966698E-3</v>
      </c>
      <c r="W18">
        <f>(Цены!V18-Цены!V$2)/Цены!V$2</f>
        <v>-2.7649769585252866E-3</v>
      </c>
      <c r="X18">
        <f>(Цены!W18-Цены!W$2)/Цены!W$2</f>
        <v>-4.3605280242371793E-2</v>
      </c>
      <c r="Y18">
        <f>(Цены!X18-Цены!X$2)/Цены!X$2</f>
        <v>6.6970091027308082E-2</v>
      </c>
      <c r="Z18">
        <f>(Цены!Y18-Цены!Y$2)/Цены!Y$2</f>
        <v>-2.6899798251525084E-4</v>
      </c>
      <c r="AA18">
        <f>(Цены!Z18-Цены!Z$2)/Цены!Z$2</f>
        <v>3.1700288184438069E-2</v>
      </c>
      <c r="AB18">
        <f>(Цены!AA18-Цены!AA$2)/Цены!AA$2</f>
        <v>-5.9004092769440693E-2</v>
      </c>
      <c r="AC18">
        <f>(Цены!AB18-Цены!AB$2)/Цены!AB$2</f>
        <v>-7.2072072072072073E-3</v>
      </c>
      <c r="AD18">
        <f>(Цены!AC18-Цены!AC$2)/Цены!AC$2</f>
        <v>-3.9864701618748128E-3</v>
      </c>
      <c r="AE18">
        <f>(Цены!AD18-Цены!AD$2)/Цены!AD$2</f>
        <v>-4.7479912344776847E-3</v>
      </c>
      <c r="AF18">
        <f>(Цены!AE18-Цены!AE$2)/Цены!AE$2</f>
        <v>3.9881831610044313E-2</v>
      </c>
      <c r="AG18">
        <f>(Цены!AF18-Цены!AF$2)/Цены!AF$2</f>
        <v>-1.9379844961240585E-3</v>
      </c>
      <c r="AH18">
        <f>(Цены!AG18-Цены!AG$2)/Цены!AG$2</f>
        <v>-1.9144862795148882E-3</v>
      </c>
      <c r="AI18">
        <f>(Цены!AH18-Цены!AH$2)/Цены!AH$2</f>
        <v>-6.3943894389438941E-2</v>
      </c>
      <c r="AJ18">
        <f>(Цены!AI18-Цены!AI$2)/Цены!AI$2</f>
        <v>-2.133516861665511E-2</v>
      </c>
      <c r="AK18">
        <f>(Цены!AJ18-Цены!AJ$2)/Цены!AJ$2</f>
        <v>1.5947467166979361E-2</v>
      </c>
      <c r="AL18">
        <f>(Цены!AK18-Цены!AK$2)/Цены!AK$2</f>
        <v>8.2597003457547565E-3</v>
      </c>
      <c r="AM18">
        <f>(Цены!AL18-Цены!AL$2)/Цены!AL$2</f>
        <v>-5.0446428571428621E-2</v>
      </c>
      <c r="AN18">
        <f>(Цены!AM18-Цены!AM$2)/Цены!AM$2</f>
        <v>6.3926940639269403E-2</v>
      </c>
      <c r="AO18">
        <f>(Цены!AN18-Цены!AN$2)/Цены!AN$2</f>
        <v>-4.0579710144927538E-3</v>
      </c>
      <c r="AP18">
        <f>(Цены!AO18-Цены!AO$2)/Цены!AO$2</f>
        <v>-1.465201465201473E-2</v>
      </c>
      <c r="AQ18">
        <f>(Цены!AP18-Цены!AP$2)/Цены!AP$2</f>
        <v>-4.5871559633027525E-3</v>
      </c>
      <c r="AR18">
        <f>(Цены!AQ18-Цены!AQ$2)/Цены!AQ$2</f>
        <v>1.4198782961460446E-2</v>
      </c>
      <c r="AS18">
        <f>(Цены!AR18-Цены!AR$2)/Цены!AR$2</f>
        <v>-1.880621422730987E-2</v>
      </c>
      <c r="AT18">
        <f>(Цены!AS18-Цены!AS$2)/Цены!AS$2</f>
        <v>3.7644787644787701E-2</v>
      </c>
      <c r="AU18">
        <f>(Цены!AT18-Цены!AT$2)/Цены!AT$2</f>
        <v>2.506963788300838E-2</v>
      </c>
      <c r="AV18">
        <f>(Цены!AU18-Цены!AU$2)/Цены!AU$2</f>
        <v>8.2246740220662015E-2</v>
      </c>
      <c r="AW18">
        <f>(Цены!AV18-Цены!AV$2)/Цены!AV$2</f>
        <v>8.1285853447342835E-2</v>
      </c>
      <c r="AX18">
        <f>(Цены!AW18-Цены!AW$2)/Цены!AW$2</f>
        <v>-3.1333333333333338E-2</v>
      </c>
      <c r="AY18">
        <f>(Цены!AX18-Цены!AX$2)/Цены!AX$2</f>
        <v>-4.6199701937406856E-2</v>
      </c>
    </row>
    <row r="19" spans="1:51" x14ac:dyDescent="0.2">
      <c r="A19" s="1" t="s">
        <v>84</v>
      </c>
      <c r="B19" s="2">
        <v>17</v>
      </c>
      <c r="C19">
        <f>(Цены!B19-Цены!B$2)/Цены!B$2</f>
        <v>3.0943707654286036E-2</v>
      </c>
      <c r="D19">
        <f>(Цены!C19-Цены!C$2)/Цены!C$2</f>
        <v>1.3677130044843101E-2</v>
      </c>
      <c r="E19">
        <f>(Цены!D19-Цены!D$2)/Цены!D$2</f>
        <v>2.0882475371167056E-2</v>
      </c>
      <c r="F19">
        <f>(Цены!E19-Цены!E$2)/Цены!E$2</f>
        <v>8.8636079509938737E-2</v>
      </c>
      <c r="G19">
        <f>(Цены!F19-Цены!F$2)/Цены!F$2</f>
        <v>-6.4456721915285451E-3</v>
      </c>
      <c r="H19">
        <f>(Цены!G19-Цены!G$2)/Цены!G$2</f>
        <v>3.617049885706599E-2</v>
      </c>
      <c r="I19">
        <f>(Цены!H19-Цены!H$2)/Цены!H$2</f>
        <v>1.5555555555555498E-2</v>
      </c>
      <c r="J19">
        <f>(Цены!I19-Цены!I$2)/Цены!I$2</f>
        <v>-5.5811571940604196E-2</v>
      </c>
      <c r="K19">
        <f>(Цены!J19-Цены!J$2)/Цены!J$2</f>
        <v>1.6792738275340429E-2</v>
      </c>
      <c r="L19">
        <f>(Цены!K19-Цены!K$2)/Цены!K$2</f>
        <v>8.4031227821149815E-2</v>
      </c>
      <c r="M19">
        <f>(Цены!L19-Цены!L$2)/Цены!L$2</f>
        <v>9.1985620638612819E-2</v>
      </c>
      <c r="N19">
        <f>(Цены!M19-Цены!M$2)/Цены!M$2</f>
        <v>1.3994471319972397E-2</v>
      </c>
      <c r="O19">
        <f>(Цены!N19-Цены!N$2)/Цены!N$2</f>
        <v>1.5672883285176485E-2</v>
      </c>
      <c r="P19">
        <f>(Цены!O19-Цены!O$2)/Цены!O$2</f>
        <v>1.5228426395939101E-2</v>
      </c>
      <c r="Q19">
        <f>(Цены!P19-Цены!P$2)/Цены!P$2</f>
        <v>3.0197219527966293E-2</v>
      </c>
      <c r="R19">
        <f>(Цены!Q19-Цены!Q$2)/Цены!Q$2</f>
        <v>6.2678062678062682E-2</v>
      </c>
      <c r="S19">
        <f>(Цены!R19-Цены!R$2)/Цены!R$2</f>
        <v>2.2793203481143803E-2</v>
      </c>
      <c r="T19">
        <f>(Цены!S19-Цены!S$2)/Цены!S$2</f>
        <v>-3.35849056603773E-2</v>
      </c>
      <c r="U19">
        <f>(Цены!T19-Цены!T$2)/Цены!T$2</f>
        <v>3.2233307751342094E-3</v>
      </c>
      <c r="V19">
        <f>(Цены!U19-Цены!U$2)/Цены!U$2</f>
        <v>8.7427144046627811E-3</v>
      </c>
      <c r="W19">
        <f>(Цены!V19-Цены!V$2)/Цены!V$2</f>
        <v>-1.4285714285714228E-2</v>
      </c>
      <c r="X19">
        <f>(Цены!W19-Цены!W$2)/Цены!W$2</f>
        <v>-3.484094351871888E-2</v>
      </c>
      <c r="Y19">
        <f>(Цены!X19-Цены!X$2)/Цены!X$2</f>
        <v>5.9817945383615005E-2</v>
      </c>
      <c r="Z19">
        <f>(Цены!Y19-Цены!Y$2)/Цены!Y$2</f>
        <v>-8.742434431741844E-3</v>
      </c>
      <c r="AA19">
        <f>(Цены!Z19-Цены!Z$2)/Цены!Z$2</f>
        <v>5.4755043227665758E-2</v>
      </c>
      <c r="AB19">
        <f>(Цены!AA19-Цены!AA$2)/Цены!AA$2</f>
        <v>-5.9004092769440693E-2</v>
      </c>
      <c r="AC19">
        <f>(Цены!AB19-Цены!AB$2)/Цены!AB$2</f>
        <v>-8.4084084084084087E-3</v>
      </c>
      <c r="AD19">
        <f>(Цены!AC19-Цены!AC$2)/Цены!AC$2</f>
        <v>-1.570427639526417E-3</v>
      </c>
      <c r="AE19">
        <f>(Цены!AD19-Цены!AD$2)/Цены!AD$2</f>
        <v>4.3827611395179005E-3</v>
      </c>
      <c r="AF19">
        <f>(Цены!AE19-Цены!AE$2)/Цены!AE$2</f>
        <v>4.2836041358936483E-2</v>
      </c>
      <c r="AG19">
        <f>(Цены!AF19-Цены!AF$2)/Цены!AF$2</f>
        <v>-1.1385658914728654E-2</v>
      </c>
      <c r="AH19">
        <f>(Цены!AG19-Цены!AG$2)/Цены!AG$2</f>
        <v>-4.4671346522015872E-3</v>
      </c>
      <c r="AI19">
        <f>(Цены!AH19-Цены!AH$2)/Цены!AH$2</f>
        <v>-5.4455445544554525E-2</v>
      </c>
      <c r="AJ19">
        <f>(Цены!AI19-Цены!AI$2)/Цены!AI$2</f>
        <v>-2.9593943565037834E-2</v>
      </c>
      <c r="AK19">
        <f>(Цены!AJ19-Цены!AJ$2)/Цены!AJ$2</f>
        <v>1.1960600375234522E-2</v>
      </c>
      <c r="AL19">
        <f>(Цены!AK19-Цены!AK$2)/Цены!AK$2</f>
        <v>1.4022281982327987E-2</v>
      </c>
      <c r="AM19">
        <f>(Цены!AL19-Цены!AL$2)/Цены!AL$2</f>
        <v>-5.3571428571428568E-2</v>
      </c>
      <c r="AN19">
        <f>(Цены!AM19-Цены!AM$2)/Цены!AM$2</f>
        <v>6.6210045662100453E-2</v>
      </c>
      <c r="AO19">
        <f>(Цены!AN19-Цены!AN$2)/Цены!AN$2</f>
        <v>-2.3188405797101449E-3</v>
      </c>
      <c r="AP19">
        <f>(Цены!AO19-Цены!AO$2)/Цены!AO$2</f>
        <v>-4.3956043956043932E-2</v>
      </c>
      <c r="AQ19">
        <f>(Цены!AP19-Цены!AP$2)/Цены!AP$2</f>
        <v>2.7522935779816515E-2</v>
      </c>
      <c r="AR19">
        <f>(Цены!AQ19-Цены!AQ$2)/Цены!AQ$2</f>
        <v>1.2170385395537525E-2</v>
      </c>
      <c r="AS19">
        <f>(Цены!AR19-Цены!AR$2)/Цены!AR$2</f>
        <v>-1.1447260834014648E-2</v>
      </c>
      <c r="AT19">
        <f>(Цены!AS19-Цены!AS$2)/Цены!AS$2</f>
        <v>5.2123552123552179E-2</v>
      </c>
      <c r="AU19">
        <f>(Цены!AT19-Цены!AT$2)/Цены!AT$2</f>
        <v>2.506963788300838E-2</v>
      </c>
      <c r="AV19">
        <f>(Цены!AU19-Цены!AU$2)/Цены!AU$2</f>
        <v>5.5165496489468405E-2</v>
      </c>
      <c r="AW19">
        <f>(Цены!AV19-Цены!AV$2)/Цены!AV$2</f>
        <v>8.2043511202511077E-2</v>
      </c>
      <c r="AX19">
        <f>(Цены!AW19-Цены!AW$2)/Цены!AW$2</f>
        <v>-3.3111111111111168E-2</v>
      </c>
      <c r="AY19">
        <f>(Цены!AX19-Цены!AX$2)/Цены!AX$2</f>
        <v>-2.533532041728763E-2</v>
      </c>
    </row>
    <row r="20" spans="1:51" x14ac:dyDescent="0.2">
      <c r="A20" s="1" t="s">
        <v>85</v>
      </c>
      <c r="B20" s="2">
        <v>18</v>
      </c>
      <c r="C20">
        <f>(Цены!B20-Цены!B$2)/Цены!B$2</f>
        <v>3.2465602080070315E-2</v>
      </c>
      <c r="D20">
        <f>(Цены!C20-Цены!C$2)/Цены!C$2</f>
        <v>-3.5874439461883916E-3</v>
      </c>
      <c r="E20">
        <f>(Цены!D20-Цены!D$2)/Цены!D$2</f>
        <v>1.0475926182877893E-2</v>
      </c>
      <c r="F20">
        <f>(Цены!E20-Цены!E$2)/Цены!E$2</f>
        <v>0.11263907988498563</v>
      </c>
      <c r="G20">
        <f>(Цены!F20-Цены!F$2)/Цены!F$2</f>
        <v>-1.1786372007366482E-2</v>
      </c>
      <c r="H20">
        <f>(Цены!G20-Цены!G$2)/Цены!G$2</f>
        <v>3.9128680919725572E-2</v>
      </c>
      <c r="I20">
        <f>(Цены!H20-Цены!H$2)/Цены!H$2</f>
        <v>1.5384615384615361E-2</v>
      </c>
      <c r="J20">
        <f>(Цены!I20-Цены!I$2)/Цены!I$2</f>
        <v>-4.5058883768561188E-2</v>
      </c>
      <c r="K20">
        <f>(Цены!J20-Цены!J$2)/Цены!J$2</f>
        <v>3.1013615733736764E-2</v>
      </c>
      <c r="L20">
        <f>(Цены!K20-Цены!K$2)/Цены!K$2</f>
        <v>9.8651525904897092E-2</v>
      </c>
      <c r="M20">
        <f>(Цены!L20-Цены!L$2)/Цены!L$2</f>
        <v>8.0143793613871861E-2</v>
      </c>
      <c r="N20">
        <f>(Цены!M20-Цены!M$2)/Цены!M$2</f>
        <v>1.3821700069108501E-2</v>
      </c>
      <c r="O20">
        <f>(Цены!N20-Цены!N$2)/Цены!N$2</f>
        <v>2.5829612118028221E-2</v>
      </c>
      <c r="P20">
        <f>(Цены!O20-Цены!O$2)/Цены!O$2</f>
        <v>5.2030456852791784E-2</v>
      </c>
      <c r="Q20">
        <f>(Цены!P20-Цены!P$2)/Цены!P$2</f>
        <v>5.0759780148722886E-2</v>
      </c>
      <c r="R20">
        <f>(Цены!Q20-Цены!Q$2)/Цены!Q$2</f>
        <v>5.1396011396011451E-2</v>
      </c>
      <c r="S20">
        <f>(Цены!R20-Цены!R$2)/Цены!R$2</f>
        <v>3.0149191877331026E-2</v>
      </c>
      <c r="T20">
        <f>(Цены!S20-Цены!S$2)/Цены!S$2</f>
        <v>-3.3962264150943319E-2</v>
      </c>
      <c r="U20">
        <f>(Цены!T20-Цены!T$2)/Цены!T$2</f>
        <v>7.6745970836526712E-4</v>
      </c>
      <c r="V20">
        <f>(Цены!U20-Цены!U$2)/Цены!U$2</f>
        <v>3.3305578684429643E-3</v>
      </c>
      <c r="W20">
        <f>(Цены!V20-Цены!V$2)/Цены!V$2</f>
        <v>-1.2442396313364036E-2</v>
      </c>
      <c r="X20">
        <f>(Цены!W20-Цены!W$2)/Цены!W$2</f>
        <v>-3.1162086128543556E-2</v>
      </c>
      <c r="Y20">
        <f>(Цены!X20-Цены!X$2)/Цены!X$2</f>
        <v>4.0312093628088352E-2</v>
      </c>
      <c r="Z20">
        <f>(Цены!Y20-Цены!Y$2)/Цены!Y$2</f>
        <v>-1.3449899125770007E-4</v>
      </c>
      <c r="AA20">
        <f>(Цены!Z20-Цены!Z$2)/Цены!Z$2</f>
        <v>6.6570605187319914E-2</v>
      </c>
      <c r="AB20">
        <f>(Цены!AA20-Цены!AA$2)/Цены!AA$2</f>
        <v>-6.7189631650750301E-2</v>
      </c>
      <c r="AC20">
        <f>(Цены!AB20-Цены!AB$2)/Цены!AB$2</f>
        <v>-1.0210210210210209E-2</v>
      </c>
      <c r="AD20">
        <f>(Цены!AC20-Цены!AC$2)/Цены!AC$2</f>
        <v>4.8320850446975958E-4</v>
      </c>
      <c r="AE20">
        <f>(Цены!AD20-Цены!AD$2)/Цены!AD$2</f>
        <v>4.7479912344776847E-3</v>
      </c>
      <c r="AF20">
        <f>(Цены!AE20-Цены!AE$2)/Цены!AE$2</f>
        <v>4.7267355982274745E-2</v>
      </c>
      <c r="AG20">
        <f>(Цены!AF20-Цены!AF$2)/Цены!AF$2</f>
        <v>-1.1870155038759772E-2</v>
      </c>
      <c r="AH20">
        <f>(Цены!AG20-Цены!AG$2)/Цены!AG$2</f>
        <v>-7.6579451180599153E-3</v>
      </c>
      <c r="AI20">
        <f>(Цены!AH20-Цены!AH$2)/Цены!AH$2</f>
        <v>-5.6518151815181585E-2</v>
      </c>
      <c r="AJ20">
        <f>(Цены!AI20-Цены!AI$2)/Цены!AI$2</f>
        <v>-2.6152787336545011E-2</v>
      </c>
      <c r="AK20">
        <f>(Цены!AJ20-Цены!AJ$2)/Цены!AJ$2</f>
        <v>8.4427767354596627E-3</v>
      </c>
      <c r="AL20">
        <f>(Цены!AK20-Цены!AK$2)/Цены!AK$2</f>
        <v>2.1513638109873071E-2</v>
      </c>
      <c r="AM20">
        <f>(Цены!AL20-Цены!AL$2)/Цены!AL$2</f>
        <v>-7.053571428571434E-2</v>
      </c>
      <c r="AN20">
        <f>(Цены!AM20-Цены!AM$2)/Цены!AM$2</f>
        <v>8.995433789954338E-2</v>
      </c>
      <c r="AO20">
        <f>(Цены!AN20-Цены!AN$2)/Цены!AN$2</f>
        <v>-1.7391304347826088E-3</v>
      </c>
      <c r="AP20">
        <f>(Цены!AO20-Цены!AO$2)/Цены!AO$2</f>
        <v>-4.5787545787545784E-2</v>
      </c>
      <c r="AQ20">
        <f>(Цены!AP20-Цены!AP$2)/Цены!AP$2</f>
        <v>9.1743119266055051E-3</v>
      </c>
      <c r="AR20">
        <f>(Цены!AQ20-Цены!AQ$2)/Цены!AQ$2</f>
        <v>-2.0283975659229209E-3</v>
      </c>
      <c r="AS20">
        <f>(Цены!AR20-Цены!AR$2)/Цены!AR$2</f>
        <v>-1.880621422730987E-2</v>
      </c>
      <c r="AT20">
        <f>(Цены!AS20-Цены!AS$2)/Цены!AS$2</f>
        <v>3.6679536679536794E-2</v>
      </c>
      <c r="AU20">
        <f>(Цены!AT20-Цены!AT$2)/Цены!AT$2</f>
        <v>2.3676880222841246E-2</v>
      </c>
      <c r="AV20">
        <f>(Цены!AU20-Цены!AU$2)/Цены!AU$2</f>
        <v>6.4192577733199516E-2</v>
      </c>
      <c r="AW20">
        <f>(Цены!AV20-Цены!AV$2)/Цены!AV$2</f>
        <v>8.3234116246346981E-2</v>
      </c>
      <c r="AX20">
        <f>(Цены!AW20-Цены!AW$2)/Цены!AW$2</f>
        <v>-3.4888888888888872E-2</v>
      </c>
      <c r="AY20">
        <f>(Цены!AX20-Цены!AX$2)/Цены!AX$2</f>
        <v>-3.7257824143070044E-2</v>
      </c>
    </row>
    <row r="21" spans="1:51" x14ac:dyDescent="0.2">
      <c r="A21" s="1" t="s">
        <v>86</v>
      </c>
      <c r="B21" s="2">
        <v>19</v>
      </c>
      <c r="C21">
        <f>(Цены!B21-Цены!B$2)/Цены!B$2</f>
        <v>3.4990260763077034E-2</v>
      </c>
      <c r="D21">
        <f>(Цены!C21-Цены!C$2)/Цены!C$2</f>
        <v>1.4394618834080754E-2</v>
      </c>
      <c r="E21">
        <f>(Цены!D21-Цены!D$2)/Цены!D$2</f>
        <v>1.8176772582211773E-2</v>
      </c>
      <c r="F21">
        <f>(Цены!E21-Цены!E$2)/Цены!E$2</f>
        <v>9.9762470308788598E-2</v>
      </c>
      <c r="G21">
        <f>(Цены!F21-Цены!F$2)/Цены!F$2</f>
        <v>5.7090239410681398E-3</v>
      </c>
      <c r="H21">
        <f>(Цены!G21-Цены!G$2)/Цены!G$2</f>
        <v>4.2221325803415324E-2</v>
      </c>
      <c r="I21">
        <f>(Цены!H21-Цены!H$2)/Цены!H$2</f>
        <v>9.7435897435897492E-3</v>
      </c>
      <c r="J21">
        <f>(Цены!I21-Цены!I$2)/Цены!I$2</f>
        <v>-4.2754736303123403E-2</v>
      </c>
      <c r="K21">
        <f>(Цены!J21-Цены!J$2)/Цены!J$2</f>
        <v>3.6308623298033284E-2</v>
      </c>
      <c r="L21">
        <f>(Цены!K21-Цены!K$2)/Цены!K$2</f>
        <v>9.8367636621717464E-2</v>
      </c>
      <c r="M21">
        <f>(Цены!L21-Цены!L$2)/Цены!L$2</f>
        <v>9.6426305772890672E-2</v>
      </c>
      <c r="N21">
        <f>(Цены!M21-Цены!M$2)/Цены!M$2</f>
        <v>1.6758811333794137E-2</v>
      </c>
      <c r="O21">
        <f>(Цены!N21-Цены!N$2)/Цены!N$2</f>
        <v>1.5235093249277727E-2</v>
      </c>
      <c r="P21">
        <f>(Цены!O21-Цены!O$2)/Цены!O$2</f>
        <v>1.3578680203045711E-2</v>
      </c>
      <c r="Q21">
        <f>(Цены!P21-Цены!P$2)/Цены!P$2</f>
        <v>4.4681538958939518E-2</v>
      </c>
      <c r="R21">
        <f>(Цены!Q21-Цены!Q$2)/Цены!Q$2</f>
        <v>4.2849002849002907E-2</v>
      </c>
      <c r="S21">
        <f>(Цены!R21-Цены!R$2)/Цены!R$2</f>
        <v>2.2482387070037226E-2</v>
      </c>
      <c r="T21">
        <f>(Цены!S21-Цены!S$2)/Цены!S$2</f>
        <v>-2.7169811320754658E-2</v>
      </c>
      <c r="U21">
        <f>(Цены!T21-Цены!T$2)/Цены!T$2</f>
        <v>6.1396776669212644E-4</v>
      </c>
      <c r="V21">
        <f>(Цены!U21-Цены!U$2)/Цены!U$2</f>
        <v>1.6652789342214821E-3</v>
      </c>
      <c r="W21">
        <f>(Цены!V21-Цены!V$2)/Цены!V$2</f>
        <v>-3.1797235023041368E-2</v>
      </c>
      <c r="X21">
        <f>(Цены!W21-Цены!W$2)/Цены!W$2</f>
        <v>-9.846353603116172E-3</v>
      </c>
      <c r="Y21">
        <f>(Цены!X21-Цены!X$2)/Цены!X$2</f>
        <v>3.8686605981794464E-2</v>
      </c>
      <c r="Z21">
        <f>(Цены!Y21-Цены!Y$2)/Цены!Y$2</f>
        <v>-1.0490921318090153E-2</v>
      </c>
      <c r="AA21">
        <f>(Цены!Z21-Цены!Z$2)/Цены!Z$2</f>
        <v>4.0634005763688766E-2</v>
      </c>
      <c r="AB21">
        <f>(Цены!AA21-Цены!AA$2)/Цены!AA$2</f>
        <v>-7.094133697135066E-2</v>
      </c>
      <c r="AC21">
        <f>(Цены!AB21-Цены!AB$2)/Цены!AB$2</f>
        <v>-1.0210210210210209E-2</v>
      </c>
      <c r="AD21">
        <f>(Цены!AC21-Цены!AC$2)/Цены!AC$2</f>
        <v>-4.2280744141096251E-3</v>
      </c>
      <c r="AE21">
        <f>(Цены!AD21-Цены!AD$2)/Цены!AD$2</f>
        <v>1.6070124178232302E-2</v>
      </c>
      <c r="AF21">
        <f>(Цены!AE21-Цены!AE$2)/Цены!AE$2</f>
        <v>7.6809453471196457E-2</v>
      </c>
      <c r="AG21">
        <f>(Цены!AF21-Цены!AF$2)/Цены!AF$2</f>
        <v>-2.1560077519379928E-2</v>
      </c>
      <c r="AH21">
        <f>(Цены!AG21-Цены!AG$2)/Цены!AG$2</f>
        <v>5.9349074664964981E-2</v>
      </c>
      <c r="AI21">
        <f>(Цены!AH21-Цены!AH$2)/Цены!AH$2</f>
        <v>-6.2706270627062771E-2</v>
      </c>
      <c r="AJ21">
        <f>(Цены!AI21-Цены!AI$2)/Цены!AI$2</f>
        <v>-3.5099793530626276E-2</v>
      </c>
      <c r="AK21">
        <f>(Цены!AJ21-Цены!AJ$2)/Цены!AJ$2</f>
        <v>8.4427767354596627E-3</v>
      </c>
      <c r="AL21">
        <f>(Цены!AK21-Цены!AK$2)/Цены!AK$2</f>
        <v>1.2869765655013308E-2</v>
      </c>
      <c r="AM21">
        <f>(Цены!AL21-Цены!AL$2)/Цены!AL$2</f>
        <v>-4.6428571428571451E-2</v>
      </c>
      <c r="AN21">
        <f>(Цены!AM21-Цены!AM$2)/Цены!AM$2</f>
        <v>7.9908675799086754E-2</v>
      </c>
      <c r="AO21">
        <f>(Цены!AN21-Цены!AN$2)/Цены!AN$2</f>
        <v>-1.1594202898550724E-3</v>
      </c>
      <c r="AP21">
        <f>(Цены!AO21-Цены!AO$2)/Цены!AO$2</f>
        <v>-4.9450549450549504E-2</v>
      </c>
      <c r="AQ21">
        <f>(Цены!AP21-Цены!AP$2)/Цены!AP$2</f>
        <v>-4.5871559633027525E-3</v>
      </c>
      <c r="AR21">
        <f>(Цены!AQ21-Цены!AQ$2)/Цены!AQ$2</f>
        <v>6.0851926977687626E-3</v>
      </c>
      <c r="AS21">
        <f>(Цены!AR21-Цены!AR$2)/Цены!AR$2</f>
        <v>-1.6353229762878167E-2</v>
      </c>
      <c r="AT21">
        <f>(Цены!AS21-Цены!AS$2)/Цены!AS$2</f>
        <v>4.2471042471042525E-2</v>
      </c>
      <c r="AU21">
        <f>(Цены!AT21-Цены!AT$2)/Цены!AT$2</f>
        <v>1.9498607242339851E-2</v>
      </c>
      <c r="AV21">
        <f>(Цены!AU21-Цены!AU$2)/Цены!AU$2</f>
        <v>6.9207622868605725E-2</v>
      </c>
      <c r="AW21">
        <f>(Цены!AV21-Цены!AV$2)/Цены!AV$2</f>
        <v>6.6132698343976615E-2</v>
      </c>
      <c r="AX21">
        <f>(Цены!AW21-Цены!AW$2)/Цены!AW$2</f>
        <v>-5.0888888888888956E-2</v>
      </c>
      <c r="AY21">
        <f>(Цены!AX21-Цены!AX$2)/Цены!AX$2</f>
        <v>-1.9374068554396422E-2</v>
      </c>
    </row>
    <row r="22" spans="1:51" x14ac:dyDescent="0.2">
      <c r="A22" s="1" t="s">
        <v>87</v>
      </c>
      <c r="B22" s="2">
        <v>20</v>
      </c>
      <c r="C22">
        <f>(Цены!B22-Цены!B$2)/Цены!B$2</f>
        <v>3.2434543010156275E-2</v>
      </c>
      <c r="D22">
        <f>(Цены!C22-Цены!C$2)/Цены!C$2</f>
        <v>1.1659192825112082E-2</v>
      </c>
      <c r="E22">
        <f>(Цены!D22-Цены!D$2)/Цены!D$2</f>
        <v>1.637297072290838E-2</v>
      </c>
      <c r="F22">
        <f>(Цены!E22-Цены!E$2)/Цены!E$2</f>
        <v>9.0136267033379167E-2</v>
      </c>
      <c r="G22">
        <f>(Цены!F22-Цены!F$2)/Цены!F$2</f>
        <v>1.270718232044199E-2</v>
      </c>
      <c r="H22">
        <f>(Цены!G22-Цены!G$2)/Цены!G$2</f>
        <v>3.536372193088605E-2</v>
      </c>
      <c r="I22">
        <f>(Цены!H22-Цены!H$2)/Цены!H$2</f>
        <v>1.6923076923076957E-2</v>
      </c>
      <c r="J22">
        <f>(Цены!I22-Цены!I$2)/Цены!I$2</f>
        <v>-4.3010752688172046E-2</v>
      </c>
      <c r="K22">
        <f>(Цены!J22-Цены!J$2)/Цены!J$2</f>
        <v>2.2768532526474969E-2</v>
      </c>
      <c r="L22">
        <f>(Цены!K22-Цены!K$2)/Цены!K$2</f>
        <v>9.4535131298793498E-2</v>
      </c>
      <c r="M22">
        <f>(Цены!L22-Цены!L$2)/Цены!L$2</f>
        <v>0.11228589553816874</v>
      </c>
      <c r="N22">
        <f>(Цены!M22-Цены!M$2)/Цены!M$2</f>
        <v>2.7297857636489408E-2</v>
      </c>
      <c r="O22">
        <f>(Цены!N22-Цены!N$2)/Цены!N$2</f>
        <v>7.3548726030995834E-3</v>
      </c>
      <c r="P22">
        <f>(Цены!O22-Цены!O$2)/Цены!O$2</f>
        <v>2.8045685279187941E-2</v>
      </c>
      <c r="Q22">
        <f>(Цены!P22-Цены!P$2)/Цены!P$2</f>
        <v>3.4206272227610683E-2</v>
      </c>
      <c r="R22">
        <f>(Цены!Q22-Цены!Q$2)/Цены!Q$2</f>
        <v>3.8176638176638113E-2</v>
      </c>
      <c r="S22">
        <f>(Цены!R22-Цены!R$2)/Цены!R$2</f>
        <v>2.2171570658930766E-2</v>
      </c>
      <c r="T22">
        <f>(Цены!S22-Цены!S$2)/Цены!S$2</f>
        <v>-3.0377358490566046E-2</v>
      </c>
      <c r="U22">
        <f>(Цены!T22-Цены!T$2)/Цены!T$2</f>
        <v>-1.3814274750576117E-3</v>
      </c>
      <c r="V22">
        <f>(Цены!U22-Цены!U$2)/Цены!U$2</f>
        <v>-3.7052456286427976E-2</v>
      </c>
      <c r="W22">
        <f>(Цены!V22-Цены!V$2)/Цены!V$2</f>
        <v>-4.4239631336405572E-2</v>
      </c>
      <c r="X22">
        <f>(Цены!W22-Цены!W$2)/Цены!W$2</f>
        <v>-9.7381519151699385E-3</v>
      </c>
      <c r="Y22">
        <f>(Цены!X22-Цены!X$2)/Цены!X$2</f>
        <v>5.494148244473334E-2</v>
      </c>
      <c r="Z22">
        <f>(Цены!Y22-Цены!Y$2)/Цены!Y$2</f>
        <v>-1.0221923335575051E-2</v>
      </c>
      <c r="AA22">
        <f>(Цены!Z22-Цены!Z$2)/Цены!Z$2</f>
        <v>4.5533141210374745E-2</v>
      </c>
      <c r="AB22">
        <f>(Цены!AA22-Цены!AA$2)/Цены!AA$2</f>
        <v>-7.9126875852660261E-2</v>
      </c>
      <c r="AC22">
        <f>(Цены!AB22-Цены!AB$2)/Цены!AB$2</f>
        <v>-1.0810810810810811E-2</v>
      </c>
      <c r="AD22">
        <f>(Цены!AC22-Цены!AC$2)/Цены!AC$2</f>
        <v>-4.5904807924618445E-3</v>
      </c>
      <c r="AE22">
        <f>(Цены!AD22-Цены!AD$2)/Цены!AD$2</f>
        <v>1.8991964937910902E-2</v>
      </c>
      <c r="AF22">
        <f>(Цены!AE22-Цены!AE$2)/Цены!AE$2</f>
        <v>6.6469719350073855E-2</v>
      </c>
      <c r="AG22">
        <f>(Цены!AF22-Цены!AF$2)/Цены!AF$2</f>
        <v>-2.3013565891472867E-2</v>
      </c>
      <c r="AH22">
        <f>(Цены!AG22-Цены!AG$2)/Цены!AG$2</f>
        <v>8.2322910019144907E-2</v>
      </c>
      <c r="AI22">
        <f>(Цены!AH22-Цены!AH$2)/Цены!AH$2</f>
        <v>-5.0742574257425788E-2</v>
      </c>
      <c r="AJ22">
        <f>(Цены!AI22-Цены!AI$2)/Цены!AI$2</f>
        <v>-5.0240880935994402E-2</v>
      </c>
      <c r="AK22">
        <f>(Цены!AJ22-Цены!AJ$2)/Цены!AJ$2</f>
        <v>9.6153846153846159E-3</v>
      </c>
      <c r="AL22">
        <f>(Цены!AK22-Цены!AK$2)/Цены!AK$2</f>
        <v>2.9389166346523159E-2</v>
      </c>
      <c r="AM22">
        <f>(Цены!AL22-Цены!AL$2)/Цены!AL$2</f>
        <v>-5.3125000000000026E-2</v>
      </c>
      <c r="AN22">
        <f>(Цены!AM22-Цены!AM$2)/Цены!AM$2</f>
        <v>6.8493150684931503E-2</v>
      </c>
      <c r="AO22">
        <f>(Цены!AN22-Цены!AN$2)/Цены!AN$2</f>
        <v>-4.0579710144927538E-3</v>
      </c>
      <c r="AP22">
        <f>(Цены!AO22-Цены!AO$2)/Цены!AO$2</f>
        <v>-5.6776556776556804E-2</v>
      </c>
      <c r="AQ22">
        <f>(Цены!AP22-Цены!AP$2)/Цены!AP$2</f>
        <v>-4.5871559633027525E-3</v>
      </c>
      <c r="AR22">
        <f>(Цены!AQ22-Цены!AQ$2)/Цены!AQ$2</f>
        <v>6.0851926977687626E-3</v>
      </c>
      <c r="AS22">
        <f>(Цены!AR22-Цены!AR$2)/Цены!AR$2</f>
        <v>-2.7800490596892817E-2</v>
      </c>
      <c r="AT22">
        <f>(Цены!AS22-Цены!AS$2)/Цены!AS$2</f>
        <v>3.5714285714285747E-2</v>
      </c>
      <c r="AU22">
        <f>(Цены!AT22-Цены!AT$2)/Цены!AT$2</f>
        <v>1.9498607242339851E-2</v>
      </c>
      <c r="AV22">
        <f>(Цены!AU22-Цены!AU$2)/Цены!AU$2</f>
        <v>6.3189568706118318E-2</v>
      </c>
      <c r="AW22">
        <f>(Цены!AV22-Цены!AV$2)/Цены!AV$2</f>
        <v>5.3360753328282204E-2</v>
      </c>
      <c r="AX22">
        <f>(Цены!AW22-Цены!AW$2)/Цены!AW$2</f>
        <v>-4.2222222222222258E-2</v>
      </c>
      <c r="AY22">
        <f>(Цены!AX22-Цены!AX$2)/Цены!AX$2</f>
        <v>-1.6393442622950821E-2</v>
      </c>
    </row>
    <row r="23" spans="1:51" x14ac:dyDescent="0.2">
      <c r="A23" s="1" t="s">
        <v>88</v>
      </c>
      <c r="B23" s="2">
        <v>21</v>
      </c>
      <c r="C23">
        <f>(Цены!B23-Цены!B$2)/Цены!B$2</f>
        <v>1.8546701748625716E-2</v>
      </c>
      <c r="D23">
        <f>(Цены!C23-Цены!C$2)/Цены!C$2</f>
        <v>-8.9686098654708519E-3</v>
      </c>
      <c r="E23">
        <f>(Цены!D23-Цены!D$2)/Цены!D$2</f>
        <v>1.3320382961010241E-2</v>
      </c>
      <c r="F23">
        <f>(Цены!E23-Цены!E$2)/Цены!E$2</f>
        <v>6.5883235404425547E-2</v>
      </c>
      <c r="G23">
        <f>(Цены!F23-Цены!F$2)/Цены!F$2</f>
        <v>-9.2081031307550648E-4</v>
      </c>
      <c r="H23">
        <f>(Цены!G23-Цены!G$2)/Цены!G$2</f>
        <v>2.3665456501277275E-2</v>
      </c>
      <c r="I23">
        <f>(Цены!H23-Цены!H$2)/Цены!H$2</f>
        <v>5.8119658119658701E-3</v>
      </c>
      <c r="J23">
        <f>(Цены!I23-Цены!I$2)/Цены!I$2</f>
        <v>-4.9667178699436765E-2</v>
      </c>
      <c r="K23">
        <f>(Цены!J23-Цены!J$2)/Цены!J$2</f>
        <v>4.9924357034795072E-3</v>
      </c>
      <c r="L23">
        <f>(Цены!K23-Цены!K$2)/Цены!K$2</f>
        <v>7.2249822569197986E-2</v>
      </c>
      <c r="M23">
        <f>(Цены!L23-Цены!L$2)/Цены!L$2</f>
        <v>9.6426305772890672E-2</v>
      </c>
      <c r="N23">
        <f>(Цены!M23-Цены!M$2)/Цены!M$2</f>
        <v>5.87422252937127E-3</v>
      </c>
      <c r="O23">
        <f>(Цены!N23-Цены!N$2)/Цены!N$2</f>
        <v>-5.4285964451448246E-3</v>
      </c>
      <c r="P23">
        <f>(Цены!O23-Цены!O$2)/Цены!O$2</f>
        <v>1.2690355329949306E-2</v>
      </c>
      <c r="Q23">
        <f>(Цены!P23-Цены!P$2)/Цены!P$2</f>
        <v>3.1361138053669538E-2</v>
      </c>
      <c r="R23">
        <f>(Цены!Q23-Цены!Q$2)/Цены!Q$2</f>
        <v>3.5555555555555604E-2</v>
      </c>
      <c r="S23">
        <f>(Цены!R23-Цены!R$2)/Цены!R$2</f>
        <v>1.3572316618317353E-2</v>
      </c>
      <c r="T23">
        <f>(Цены!S23-Цены!S$2)/Цены!S$2</f>
        <v>-3.4905660377358441E-2</v>
      </c>
      <c r="U23">
        <f>(Цены!T23-Цены!T$2)/Цены!T$2</f>
        <v>1.3814274750573936E-3</v>
      </c>
      <c r="V23">
        <f>(Цены!U23-Цены!U$2)/Цены!U$2</f>
        <v>-4.2048293089092421E-2</v>
      </c>
      <c r="W23">
        <f>(Цены!V23-Цены!V$2)/Цены!V$2</f>
        <v>-5.7142857142857072E-2</v>
      </c>
      <c r="X23">
        <f>(Цены!W23-Цены!W$2)/Цены!W$2</f>
        <v>-1.5364639688379157E-2</v>
      </c>
      <c r="Y23">
        <f>(Цены!X23-Цены!X$2)/Цены!X$2</f>
        <v>5.8192457737321117E-2</v>
      </c>
      <c r="Z23">
        <f>(Цены!Y23-Цены!Y$2)/Цены!Y$2</f>
        <v>-1.8157363819771441E-2</v>
      </c>
      <c r="AA23">
        <f>(Цены!Z23-Цены!Z$2)/Цены!Z$2</f>
        <v>4.3227665706051917E-2</v>
      </c>
      <c r="AB23">
        <f>(Цены!AA23-Цены!AA$2)/Цены!AA$2</f>
        <v>-9.5839017735334125E-2</v>
      </c>
      <c r="AC23">
        <f>(Цены!AB23-Цены!AB$2)/Цены!AB$2</f>
        <v>-2.2222222222222223E-2</v>
      </c>
      <c r="AD23">
        <f>(Цены!AC23-Цены!AC$2)/Цены!AC$2</f>
        <v>-3.3582991060642588E-2</v>
      </c>
      <c r="AE23">
        <f>(Цены!AD23-Цены!AD$2)/Цены!AD$2</f>
        <v>-4.7479912344776847E-3</v>
      </c>
      <c r="AF23">
        <f>(Цены!AE23-Цены!AE$2)/Цены!AE$2</f>
        <v>2.8064992614475627E-2</v>
      </c>
      <c r="AG23">
        <f>(Цены!AF23-Цены!AF$2)/Цены!AF$2</f>
        <v>-2.3255813953488427E-2</v>
      </c>
      <c r="AH23">
        <f>(Цены!AG23-Цены!AG$2)/Цены!AG$2</f>
        <v>9.2533503509891521E-2</v>
      </c>
      <c r="AI23">
        <f>(Цены!AH23-Цены!AH$2)/Цены!AH$2</f>
        <v>-6.1056105610561101E-2</v>
      </c>
      <c r="AJ23">
        <f>(Цены!AI23-Цены!AI$2)/Цены!AI$2</f>
        <v>-4.5423262216104626E-2</v>
      </c>
      <c r="AK23">
        <f>(Цены!AJ23-Цены!AJ$2)/Цены!AJ$2</f>
        <v>3.5178236397748592E-3</v>
      </c>
      <c r="AL23">
        <f>(Цены!AK23-Цены!AK$2)/Цены!AK$2</f>
        <v>2.2474068382635416E-2</v>
      </c>
      <c r="AM23">
        <f>(Цены!AL23-Цены!AL$2)/Цены!AL$2</f>
        <v>-4.6428571428571451E-2</v>
      </c>
      <c r="AN23">
        <f>(Цены!AM23-Цены!AM$2)/Цены!AM$2</f>
        <v>6.3926940639269403E-2</v>
      </c>
      <c r="AO23">
        <f>(Цены!AN23-Цены!AN$2)/Цены!AN$2</f>
        <v>-3.4782608695652175E-3</v>
      </c>
      <c r="AP23">
        <f>(Цены!AO23-Цены!AO$2)/Цены!AO$2</f>
        <v>-7.6923076923076969E-2</v>
      </c>
      <c r="AQ23">
        <f>(Цены!AP23-Цены!AP$2)/Цены!AP$2</f>
        <v>-9.1743119266055051E-3</v>
      </c>
      <c r="AR23">
        <f>(Цены!AQ23-Цены!AQ$2)/Цены!AQ$2</f>
        <v>-3.0425963488843813E-2</v>
      </c>
      <c r="AS23">
        <f>(Цены!AR23-Цены!AR$2)/Цены!AR$2</f>
        <v>-3.5977105478331904E-2</v>
      </c>
      <c r="AT23">
        <f>(Цены!AS23-Цены!AS$2)/Цены!AS$2</f>
        <v>2.4131274131274132E-2</v>
      </c>
      <c r="AU23">
        <f>(Цены!AT23-Цены!AT$2)/Цены!AT$2</f>
        <v>1.1142061281337058E-2</v>
      </c>
      <c r="AV23">
        <f>(Цены!AU23-Цены!AU$2)/Цены!AU$2</f>
        <v>5.6168505516549588E-2</v>
      </c>
      <c r="AW23">
        <f>(Цены!AV23-Цены!AV$2)/Цены!AV$2</f>
        <v>4.8165385864271056E-2</v>
      </c>
      <c r="AX23">
        <f>(Цены!AW23-Цены!AW$2)/Цены!AW$2</f>
        <v>-6.0666666666666647E-2</v>
      </c>
      <c r="AY23">
        <f>(Цены!AX23-Цены!AX$2)/Цены!AX$2</f>
        <v>4.6199701937406856E-2</v>
      </c>
    </row>
    <row r="24" spans="1:51" x14ac:dyDescent="0.2">
      <c r="A24" s="1" t="s">
        <v>89</v>
      </c>
      <c r="B24" s="2">
        <v>22</v>
      </c>
      <c r="C24">
        <f>(Цены!B24-Цены!B$2)/Цены!B$2</f>
        <v>1.7854528190543062E-2</v>
      </c>
      <c r="D24">
        <f>(Цены!C24-Цены!C$2)/Цены!C$2</f>
        <v>-4.4394618834081127E-3</v>
      </c>
      <c r="E24">
        <f>(Цены!D24-Цены!D$2)/Цены!D$2</f>
        <v>7.8396003885113363E-3</v>
      </c>
      <c r="F24">
        <f>(Цены!E24-Цены!E$2)/Цены!E$2</f>
        <v>5.7632204025503189E-2</v>
      </c>
      <c r="G24">
        <f>(Цены!F24-Цены!F$2)/Цены!F$2</f>
        <v>1.841620626151013E-3</v>
      </c>
      <c r="H24">
        <f>(Цены!G24-Цены!G$2)/Цены!G$2</f>
        <v>1.8152480839048003E-2</v>
      </c>
      <c r="I24">
        <f>(Цены!H24-Цены!H$2)/Цены!H$2</f>
        <v>-2.905982905982935E-3</v>
      </c>
      <c r="J24">
        <f>(Цены!I24-Цены!I$2)/Цены!I$2</f>
        <v>-4.3266769073220683E-2</v>
      </c>
      <c r="K24">
        <f>(Цены!J24-Цены!J$2)/Цены!J$2</f>
        <v>4.5385779122541605E-3</v>
      </c>
      <c r="L24">
        <f>(Цены!K24-Цены!K$2)/Цены!K$2</f>
        <v>7.3101490418736689E-2</v>
      </c>
      <c r="M24">
        <f>(Цены!L24-Цены!L$2)/Цены!L$2</f>
        <v>0.11334320152252061</v>
      </c>
      <c r="N24">
        <f>(Цены!M24-Цены!M$2)/Цены!M$2</f>
        <v>-1.0020732550103585E-2</v>
      </c>
      <c r="O24">
        <f>(Цены!N24-Цены!N$2)/Цены!N$2</f>
        <v>-4.9032484020662646E-3</v>
      </c>
      <c r="P24">
        <f>(Цены!O24-Цены!O$2)/Цены!O$2</f>
        <v>1.2817258883248729E-2</v>
      </c>
      <c r="Q24">
        <f>(Цены!P24-Цены!P$2)/Цены!P$2</f>
        <v>5.3992887164565108E-2</v>
      </c>
      <c r="R24">
        <f>(Цены!Q24-Цены!Q$2)/Цены!Q$2</f>
        <v>5.1168091168091109E-2</v>
      </c>
      <c r="S24">
        <f>(Цены!R24-Цены!R$2)/Цены!R$2</f>
        <v>3.1185246581019382E-2</v>
      </c>
      <c r="T24">
        <f>(Цены!S24-Цены!S$2)/Цены!S$2</f>
        <v>-3.3773584905660112E-2</v>
      </c>
      <c r="U24">
        <f>(Цены!T24-Цены!T$2)/Цены!T$2</f>
        <v>3.8372985418265539E-3</v>
      </c>
      <c r="V24">
        <f>(Цены!U24-Цены!U$2)/Цены!U$2</f>
        <v>-2.9142381348875937E-2</v>
      </c>
      <c r="W24">
        <f>(Цены!V24-Цены!V$2)/Цены!V$2</f>
        <v>-5.9907834101382521E-2</v>
      </c>
      <c r="X24">
        <f>(Цены!W24-Цены!W$2)/Цены!W$2</f>
        <v>4.1116641419605649E-3</v>
      </c>
      <c r="Y24">
        <f>(Цены!X24-Цены!X$2)/Цены!X$2</f>
        <v>6.1443433029908893E-2</v>
      </c>
      <c r="Z24">
        <f>(Цены!Y24-Цены!Y$2)/Цены!Y$2</f>
        <v>-5.7834566240754287E-3</v>
      </c>
      <c r="AA24">
        <f>(Цены!Z24-Цены!Z$2)/Цены!Z$2</f>
        <v>4.6109510086455377E-2</v>
      </c>
      <c r="AB24">
        <f>(Цены!AA24-Цены!AA$2)/Цены!AA$2</f>
        <v>-9.4815825375170568E-2</v>
      </c>
      <c r="AC24">
        <f>(Цены!AB24-Цены!AB$2)/Цены!AB$2</f>
        <v>-2.0420420420420419E-2</v>
      </c>
      <c r="AD24">
        <f>(Цены!AC24-Цены!AC$2)/Цены!AC$2</f>
        <v>-3.3945397438994947E-2</v>
      </c>
      <c r="AE24">
        <f>(Цены!AD24-Цены!AD$2)/Цены!AD$2</f>
        <v>-9.1307523739955852E-3</v>
      </c>
      <c r="AF24">
        <f>(Цены!AE24-Цены!AE$2)/Цены!AE$2</f>
        <v>2.5110782865583457E-2</v>
      </c>
      <c r="AG24">
        <f>(Цены!AF24-Цены!AF$2)/Цены!AF$2</f>
        <v>-2.5920542635658888E-2</v>
      </c>
      <c r="AH24">
        <f>(Цены!AG24-Цены!AG$2)/Цены!AG$2</f>
        <v>9.1257179323548265E-2</v>
      </c>
      <c r="AI24">
        <f>(Цены!AH24-Цены!AH$2)/Цены!AH$2</f>
        <v>-0.10396039603960402</v>
      </c>
      <c r="AJ24">
        <f>(Цены!AI24-Цены!AI$2)/Цены!AI$2</f>
        <v>-5.3682037164487224E-2</v>
      </c>
      <c r="AK24">
        <f>(Цены!AJ24-Цены!AJ$2)/Цены!AJ$2</f>
        <v>5.6285178236397749E-3</v>
      </c>
      <c r="AL24">
        <f>(Цены!AK24-Цены!AK$2)/Цены!AK$2</f>
        <v>1.9592777564348716E-2</v>
      </c>
      <c r="AM24">
        <f>(Цены!AL24-Цены!AL$2)/Цены!AL$2</f>
        <v>-4.9107142857142856E-2</v>
      </c>
      <c r="AN24">
        <f>(Цены!AM24-Цены!AM$2)/Цены!AM$2</f>
        <v>3.744292237442922E-2</v>
      </c>
      <c r="AO24">
        <f>(Цены!AN24-Цены!AN$2)/Цены!AN$2</f>
        <v>-6.956521739130435E-3</v>
      </c>
      <c r="AP24">
        <f>(Цены!AO24-Цены!AO$2)/Цены!AO$2</f>
        <v>-6.5934065934065963E-2</v>
      </c>
      <c r="AQ24">
        <f>(Цены!AP24-Цены!AP$2)/Цены!AP$2</f>
        <v>-4.5871559633027525E-3</v>
      </c>
      <c r="AR24">
        <f>(Цены!AQ24-Цены!AQ$2)/Цены!AQ$2</f>
        <v>-2.6369168356997971E-2</v>
      </c>
      <c r="AS24">
        <f>(Цены!AR24-Цены!AR$2)/Цены!AR$2</f>
        <v>-4.3336058871627121E-2</v>
      </c>
      <c r="AT24">
        <f>(Цены!AS24-Цены!AS$2)/Цены!AS$2</f>
        <v>1.5444015444015528E-2</v>
      </c>
      <c r="AU24">
        <f>(Цены!AT24-Цены!AT$2)/Цены!AT$2</f>
        <v>2.7855153203342644E-3</v>
      </c>
      <c r="AV24">
        <f>(Цены!AU24-Цены!AU$2)/Цены!AU$2</f>
        <v>3.0090270812437311E-2</v>
      </c>
      <c r="AW24">
        <f>(Цены!AV24-Цены!AV$2)/Цены!AV$2</f>
        <v>6.6673882454811095E-2</v>
      </c>
      <c r="AX24">
        <f>(Цены!AW24-Цены!AW$2)/Цены!AW$2</f>
        <v>-6.4444444444444499E-2</v>
      </c>
      <c r="AY24">
        <f>(Цены!AX24-Цены!AX$2)/Цены!AX$2</f>
        <v>0.16840536512667661</v>
      </c>
    </row>
    <row r="25" spans="1:51" x14ac:dyDescent="0.2">
      <c r="A25" s="1" t="s">
        <v>90</v>
      </c>
      <c r="B25" s="2">
        <v>23</v>
      </c>
      <c r="C25">
        <f>(Цены!B25-Цены!B$2)/Цены!B$2</f>
        <v>2.3427412735106148E-2</v>
      </c>
      <c r="D25">
        <f>(Цены!C25-Цены!C$2)/Цены!C$2</f>
        <v>-1.3452914798206279E-2</v>
      </c>
      <c r="E25">
        <f>(Цены!D25-Цены!D$2)/Цены!D$2</f>
        <v>6.5908144859165886E-3</v>
      </c>
      <c r="F25">
        <f>(Цены!E25-Цены!E$2)/Цены!E$2</f>
        <v>6.2132766595824479E-2</v>
      </c>
      <c r="G25">
        <f>(Цены!F25-Цены!F$2)/Цены!F$2</f>
        <v>2.117863720073665E-2</v>
      </c>
      <c r="H25">
        <f>(Цены!G25-Цены!G$2)/Цены!G$2</f>
        <v>8.6594056743310444E-2</v>
      </c>
      <c r="I25">
        <f>(Цены!H25-Цены!H$2)/Цены!H$2</f>
        <v>-3.9316239316238783E-3</v>
      </c>
      <c r="J25">
        <f>(Цены!I25-Цены!I$2)/Цены!I$2</f>
        <v>-4.5570916538658475E-2</v>
      </c>
      <c r="K25">
        <f>(Цены!J25-Цены!J$2)/Цены!J$2</f>
        <v>9.9848714069591879E-3</v>
      </c>
      <c r="L25">
        <f>(Цены!K25-Цены!K$2)/Цены!K$2</f>
        <v>7.3953158268275407E-2</v>
      </c>
      <c r="M25">
        <f>(Цены!L25-Цены!L$2)/Цены!L$2</f>
        <v>0.10171283569465003</v>
      </c>
      <c r="N25">
        <f>(Цены!M25-Цены!M$2)/Цены!M$2</f>
        <v>-7.6019350380096369E-3</v>
      </c>
      <c r="O25">
        <f>(Цены!N25-Цены!N$2)/Цены!N$2</f>
        <v>5.1659224236056686E-3</v>
      </c>
      <c r="P25">
        <f>(Цены!O25-Цены!O$2)/Цены!O$2</f>
        <v>2.7918781725888294E-2</v>
      </c>
      <c r="Q25">
        <f>(Цены!P25-Цены!P$2)/Цены!P$2</f>
        <v>5.3022955059812402E-2</v>
      </c>
      <c r="R25">
        <f>(Цены!Q25-Цены!Q$2)/Цены!Q$2</f>
        <v>6.7806267806267834E-2</v>
      </c>
      <c r="S25">
        <f>(Цены!R25-Цены!R$2)/Цены!R$2</f>
        <v>4.8487360132614954E-2</v>
      </c>
      <c r="T25">
        <f>(Цены!S25-Цены!S$2)/Цены!S$2</f>
        <v>-3.6603773584905609E-2</v>
      </c>
      <c r="U25">
        <f>(Цены!T25-Цены!T$2)/Цены!T$2</f>
        <v>1.3507290867229399E-2</v>
      </c>
      <c r="V25">
        <f>(Цены!U25-Цены!U$2)/Цены!U$2</f>
        <v>-3.0391340549542047E-2</v>
      </c>
      <c r="W25">
        <f>(Цены!V25-Цены!V$2)/Цены!V$2</f>
        <v>-4.4700460829493034E-2</v>
      </c>
      <c r="X25">
        <f>(Цены!W25-Цены!W$2)/Цены!W$2</f>
        <v>2.5968405107119577E-2</v>
      </c>
      <c r="Y25">
        <f>(Цены!X25-Цены!X$2)/Цены!X$2</f>
        <v>7.2821846553966105E-2</v>
      </c>
      <c r="Z25">
        <f>(Цены!Y25-Цены!Y$2)/Цены!Y$2</f>
        <v>-2.219233355749841E-2</v>
      </c>
      <c r="AA25">
        <f>(Цены!Z25-Цены!Z$2)/Цены!Z$2</f>
        <v>3.4582132564841529E-2</v>
      </c>
      <c r="AB25">
        <f>(Цены!AA25-Цены!AA$2)/Цены!AA$2</f>
        <v>-9.8226466575716279E-2</v>
      </c>
      <c r="AC25">
        <f>(Цены!AB25-Цены!AB$2)/Цены!AB$2</f>
        <v>-1.5015015015015015E-2</v>
      </c>
      <c r="AD25">
        <f>(Цены!AC25-Цены!AC$2)/Цены!AC$2</f>
        <v>-3.6482242087460745E-2</v>
      </c>
      <c r="AE25">
        <f>(Цены!AD25-Цены!AD$2)/Цены!AD$2</f>
        <v>-1.4243973703433216E-2</v>
      </c>
      <c r="AF25">
        <f>(Цены!AE25-Цены!AE$2)/Цены!AE$2</f>
        <v>1.9202363367799114E-2</v>
      </c>
      <c r="AG25">
        <f>(Цены!AF25-Цены!AF$2)/Цены!AF$2</f>
        <v>-2.0106589147286847E-2</v>
      </c>
      <c r="AH25">
        <f>(Цены!AG25-Цены!AG$2)/Цены!AG$2</f>
        <v>9.2533503509891521E-2</v>
      </c>
      <c r="AI25">
        <f>(Цены!AH25-Цены!AH$2)/Цены!AH$2</f>
        <v>-8.4983498349834957E-2</v>
      </c>
      <c r="AJ25">
        <f>(Цены!AI25-Цены!AI$2)/Цены!AI$2</f>
        <v>-6.8134893324156939E-2</v>
      </c>
      <c r="AK25">
        <f>(Цены!AJ25-Цены!AJ$2)/Цены!AJ$2</f>
        <v>-9.3808630393996248E-4</v>
      </c>
      <c r="AL25">
        <f>(Цены!AK25-Цены!AK$2)/Цены!AK$2</f>
        <v>1.8056089127929199E-2</v>
      </c>
      <c r="AM25">
        <f>(Цены!AL25-Цены!AL$2)/Цены!AL$2</f>
        <v>-5.9821428571428595E-2</v>
      </c>
      <c r="AN25">
        <f>(Цены!AM25-Цены!AM$2)/Цены!AM$2</f>
        <v>1.7808219178082191E-2</v>
      </c>
      <c r="AO25">
        <f>(Цены!AN25-Цены!AN$2)/Цены!AN$2</f>
        <v>-2.8985507246376812E-3</v>
      </c>
      <c r="AP25">
        <f>(Цены!AO25-Цены!AO$2)/Цены!AO$2</f>
        <v>-7.6923076923076969E-2</v>
      </c>
      <c r="AQ25">
        <f>(Цены!AP25-Цены!AP$2)/Цены!AP$2</f>
        <v>-1.3761467889908258E-2</v>
      </c>
      <c r="AR25">
        <f>(Цены!AQ25-Цены!AQ$2)/Цены!AQ$2</f>
        <v>-5.0709939148073022E-2</v>
      </c>
      <c r="AS25">
        <f>(Цены!AR25-Цены!AR$2)/Цены!AR$2</f>
        <v>-5.0695012264922346E-2</v>
      </c>
      <c r="AT25">
        <f>(Цены!AS25-Цены!AS$2)/Цены!AS$2</f>
        <v>-1.9305019305018208E-3</v>
      </c>
      <c r="AU25">
        <f>(Цены!AT25-Цены!AT$2)/Цены!AT$2</f>
        <v>6.9637883008356613E-3</v>
      </c>
      <c r="AV25">
        <f>(Цены!AU25-Цены!AU$2)/Цены!AU$2</f>
        <v>4.1123370110330938E-2</v>
      </c>
      <c r="AW25">
        <f>(Цены!AV25-Цены!AV$2)/Цены!AV$2</f>
        <v>6.8297434787314662E-2</v>
      </c>
      <c r="AX25">
        <f>(Цены!AW25-Цены!AW$2)/Цены!AW$2</f>
        <v>-6.8444444444444433E-2</v>
      </c>
      <c r="AY25">
        <f>(Цены!AX25-Цены!AX$2)/Цены!AX$2</f>
        <v>0.12369597615499255</v>
      </c>
    </row>
    <row r="26" spans="1:51" x14ac:dyDescent="0.2">
      <c r="A26" s="1" t="s">
        <v>91</v>
      </c>
      <c r="B26" s="2">
        <v>24</v>
      </c>
      <c r="C26">
        <f>(Цены!B26-Цены!B$2)/Цены!B$2</f>
        <v>2.551724443931733E-2</v>
      </c>
      <c r="D26">
        <f>(Цены!C26-Цены!C$2)/Цены!C$2</f>
        <v>-9.4170403587443691E-3</v>
      </c>
      <c r="E26">
        <f>(Цены!D26-Цены!D$2)/Цены!D$2</f>
        <v>6.5908144859165886E-3</v>
      </c>
      <c r="F26">
        <f>(Цены!E26-Цены!E$2)/Цены!E$2</f>
        <v>7.2634079259907489E-2</v>
      </c>
      <c r="G26">
        <f>(Цены!F26-Цены!F$2)/Цены!F$2</f>
        <v>2.85451197053407E-2</v>
      </c>
      <c r="H26">
        <f>(Цены!G26-Цены!G$2)/Цены!G$2</f>
        <v>7.9064138765631231E-2</v>
      </c>
      <c r="I26">
        <f>(Цены!H26-Цены!H$2)/Цены!H$2</f>
        <v>-1.282051282051282E-2</v>
      </c>
      <c r="J26">
        <f>(Цены!I26-Цены!I$2)/Цены!I$2</f>
        <v>-3.0977982590885817E-2</v>
      </c>
      <c r="K26">
        <f>(Цены!J26-Цены!J$2)/Цены!J$2</f>
        <v>3.5552193645991266E-3</v>
      </c>
      <c r="L26">
        <f>(Цены!K26-Цены!K$2)/Цены!K$2</f>
        <v>7.7501774308019911E-2</v>
      </c>
      <c r="M26">
        <f>(Цены!L26-Цены!L$2)/Цены!L$2</f>
        <v>9.6426305772890672E-2</v>
      </c>
      <c r="N26">
        <f>(Цены!M26-Цены!M$2)/Цены!M$2</f>
        <v>-7.774706288873532E-3</v>
      </c>
      <c r="O26">
        <f>(Цены!N26-Цены!N$2)/Цены!N$2</f>
        <v>-2.8894142369319527E-3</v>
      </c>
      <c r="P26">
        <f>(Цены!O26-Цены!O$2)/Цены!O$2</f>
        <v>2.3477157360406044E-2</v>
      </c>
      <c r="Q26">
        <f>(Цены!P26-Цены!P$2)/Цены!P$2</f>
        <v>5.2376333656643993E-2</v>
      </c>
      <c r="R26">
        <f>(Цены!Q26-Цены!Q$2)/Цены!Q$2</f>
        <v>6.0284900284900356E-2</v>
      </c>
      <c r="S26">
        <f>(Цены!R26-Цены!R$2)/Цены!R$2</f>
        <v>4.2271031910484827E-2</v>
      </c>
      <c r="T26">
        <f>(Цены!S26-Цены!S$2)/Цены!S$2</f>
        <v>-2.9245283018867845E-2</v>
      </c>
      <c r="U26">
        <f>(Цены!T26-Цены!T$2)/Цены!T$2</f>
        <v>1.0744435917114176E-2</v>
      </c>
      <c r="V26">
        <f>(Цены!U26-Цены!U$2)/Цены!U$2</f>
        <v>-1.3738551207327226E-2</v>
      </c>
      <c r="W26">
        <f>(Цены!V26-Цены!V$2)/Цены!V$2</f>
        <v>-3.3179723502304095E-2</v>
      </c>
      <c r="X26">
        <f>(Цены!W26-Цены!W$2)/Цены!W$2</f>
        <v>2.8348842241939023E-2</v>
      </c>
      <c r="Y26">
        <f>(Цены!X26-Цены!X$2)/Цены!X$2</f>
        <v>7.9323797139141658E-2</v>
      </c>
      <c r="Z26">
        <f>(Цены!Y26-Цены!Y$2)/Цены!Y$2</f>
        <v>-3.3759246805648971E-2</v>
      </c>
      <c r="AA26">
        <f>(Цены!Z26-Цены!Z$2)/Цены!Z$2</f>
        <v>4.1210374639769558E-2</v>
      </c>
      <c r="AB26">
        <f>(Цены!AA26-Цены!AA$2)/Цены!AA$2</f>
        <v>-0.10266030013642553</v>
      </c>
      <c r="AC26">
        <f>(Цены!AB26-Цены!AB$2)/Цены!AB$2</f>
        <v>-8.4084084084084087E-3</v>
      </c>
      <c r="AD26">
        <f>(Цены!AC26-Цены!AC$2)/Цены!AC$2</f>
        <v>-3.5636627204638768E-2</v>
      </c>
      <c r="AE26">
        <f>(Цены!AD26-Цены!AD$2)/Цены!AD$2</f>
        <v>1.7165814463111818E-2</v>
      </c>
      <c r="AF26">
        <f>(Цены!AE26-Цены!AE$2)/Цены!AE$2</f>
        <v>2.3633677991137372E-2</v>
      </c>
      <c r="AG26">
        <f>(Цены!AF26-Цены!AF$2)/Цены!AF$2</f>
        <v>-2.7858527131782947E-2</v>
      </c>
      <c r="AH26">
        <f>(Цены!AG26-Цены!AG$2)/Цены!AG$2</f>
        <v>7.9770261646458201E-2</v>
      </c>
      <c r="AI26">
        <f>(Цены!AH26-Цены!AH$2)/Цены!AH$2</f>
        <v>-9.5709570957095771E-2</v>
      </c>
      <c r="AJ26">
        <f>(Цены!AI26-Цены!AI$2)/Цены!AI$2</f>
        <v>-7.2264280798348179E-2</v>
      </c>
      <c r="AK26">
        <f>(Цены!AJ26-Цены!AJ$2)/Цены!AJ$2</f>
        <v>9.6153846153846159E-3</v>
      </c>
      <c r="AL26">
        <f>(Цены!AK26-Цены!AK$2)/Цены!AK$2</f>
        <v>3.9377641183249934E-2</v>
      </c>
      <c r="AM26">
        <f>(Цены!AL26-Цены!AL$2)/Цены!AL$2</f>
        <v>-6.25E-2</v>
      </c>
      <c r="AN26">
        <f>(Цены!AM26-Цены!AM$2)/Цены!AM$2</f>
        <v>2.7853881278538814E-2</v>
      </c>
      <c r="AO26">
        <f>(Цены!AN26-Цены!AN$2)/Цены!AN$2</f>
        <v>5.7971014492753624E-3</v>
      </c>
      <c r="AP26">
        <f>(Цены!AO26-Цены!AO$2)/Цены!AO$2</f>
        <v>-5.4945054945054944E-2</v>
      </c>
      <c r="AQ26">
        <f>(Цены!AP26-Цены!AP$2)/Цены!AP$2</f>
        <v>-9.1743119266055051E-3</v>
      </c>
      <c r="AR26">
        <f>(Цены!AQ26-Цены!AQ$2)/Цены!AQ$2</f>
        <v>-4.665314401622718E-2</v>
      </c>
      <c r="AS26">
        <f>(Цены!AR26-Цены!AR$2)/Цены!AR$2</f>
        <v>-5.3965658217497908E-2</v>
      </c>
      <c r="AT26">
        <f>(Цены!AS26-Цены!AS$2)/Цены!AS$2</f>
        <v>-4.8262548262548262E-3</v>
      </c>
      <c r="AU26">
        <f>(Цены!AT26-Цены!AT$2)/Цены!AT$2</f>
        <v>1.3927576601672868E-3</v>
      </c>
      <c r="AV26">
        <f>(Цены!AU26-Цены!AU$2)/Цены!AU$2</f>
        <v>5.1153460381143372E-2</v>
      </c>
      <c r="AW26">
        <f>(Цены!AV26-Цены!AV$2)/Цены!AV$2</f>
        <v>5.3468990150449161E-2</v>
      </c>
      <c r="AX26">
        <f>(Цены!AW26-Цены!AW$2)/Цены!AW$2</f>
        <v>-4.7777777777777822E-2</v>
      </c>
      <c r="AY26">
        <f>(Цены!AX26-Цены!AX$2)/Цены!AX$2</f>
        <v>0.13561847988077497</v>
      </c>
    </row>
    <row r="27" spans="1:51" x14ac:dyDescent="0.2">
      <c r="A27" s="1" t="s">
        <v>92</v>
      </c>
      <c r="B27" s="2">
        <v>25</v>
      </c>
      <c r="C27">
        <f>(Цены!B27-Цены!B$2)/Цены!B$2</f>
        <v>1.9624895175639048E-2</v>
      </c>
      <c r="D27">
        <f>(Цены!C27-Цены!C$2)/Цены!C$2</f>
        <v>-1.7937219730941704E-2</v>
      </c>
      <c r="E27">
        <f>(Цены!D27-Цены!D$2)/Цены!D$2</f>
        <v>-1.6650478701261322E-3</v>
      </c>
      <c r="F27">
        <f>(Цены!E27-Цены!E$2)/Цены!E$2</f>
        <v>5.6132016502062759E-2</v>
      </c>
      <c r="G27">
        <f>(Цены!F27-Цены!F$2)/Цены!F$2</f>
        <v>2.6151012891344382E-2</v>
      </c>
      <c r="H27">
        <f>(Цены!G27-Цены!G$2)/Цены!G$2</f>
        <v>0.10985612478149782</v>
      </c>
      <c r="I27">
        <f>(Цены!H27-Цены!H$2)/Цены!H$2</f>
        <v>-2.9059829059829109E-2</v>
      </c>
      <c r="J27">
        <f>(Цены!I27-Цены!I$2)/Цены!I$2</f>
        <v>-3.8658474142345113E-2</v>
      </c>
      <c r="K27">
        <f>(Цены!J27-Цены!J$2)/Цены!J$2</f>
        <v>2.2617246596066634E-2</v>
      </c>
      <c r="L27">
        <f>(Цены!K27-Цены!K$2)/Цены!K$2</f>
        <v>8.7295954577714691E-2</v>
      </c>
      <c r="M27">
        <f>(Цены!L27-Цены!L$2)/Цены!L$2</f>
        <v>7.5703108479593995E-2</v>
      </c>
      <c r="N27">
        <f>(Цены!M27-Цены!M$2)/Цены!M$2</f>
        <v>-2.1423635107118137E-2</v>
      </c>
      <c r="O27">
        <f>(Цены!N27-Цены!N$2)/Цены!N$2</f>
        <v>-1.5847999299535839E-2</v>
      </c>
      <c r="P27">
        <f>(Цены!O27-Цены!O$2)/Цены!O$2</f>
        <v>1.5736040609137015E-2</v>
      </c>
      <c r="Q27">
        <f>(Цены!P27-Цены!P$2)/Цены!P$2</f>
        <v>4.526349822179114E-2</v>
      </c>
      <c r="R27">
        <f>(Цены!Q27-Цены!Q$2)/Цены!Q$2</f>
        <v>4.1481481481481487E-2</v>
      </c>
      <c r="S27">
        <f>(Цены!R27-Цены!R$2)/Цены!R$2</f>
        <v>4.4964774140074569E-2</v>
      </c>
      <c r="T27">
        <f>(Цены!S27-Цены!S$2)/Цены!S$2</f>
        <v>-3.2452830188679366E-2</v>
      </c>
      <c r="U27">
        <f>(Цены!T27-Цены!T$2)/Цены!T$2</f>
        <v>-1.0744435917115485E-3</v>
      </c>
      <c r="V27">
        <f>(Цены!U27-Цены!U$2)/Цены!U$2</f>
        <v>-2.2897585345545379E-2</v>
      </c>
      <c r="W27">
        <f>(Цены!V27-Цены!V$2)/Цены!V$2</f>
        <v>-4.4700460829493034E-2</v>
      </c>
      <c r="X27">
        <f>(Цены!W27-Цены!W$2)/Цены!W$2</f>
        <v>2.6725816922743981E-2</v>
      </c>
      <c r="Y27">
        <f>(Цены!X27-Цены!X$2)/Цены!X$2</f>
        <v>7.5422626788036365E-2</v>
      </c>
      <c r="Z27">
        <f>(Цены!Y27-Цены!Y$2)/Цены!Y$2</f>
        <v>-4.5460659045057229E-2</v>
      </c>
      <c r="AA27">
        <f>(Цены!Z27-Цены!Z$2)/Цены!Z$2</f>
        <v>4.2363112391930975E-2</v>
      </c>
      <c r="AB27">
        <f>(Цены!AA27-Цены!AA$2)/Цены!AA$2</f>
        <v>-0.10061391541609822</v>
      </c>
      <c r="AC27">
        <f>(Цены!AB27-Цены!AB$2)/Цены!AB$2</f>
        <v>1.2612612612612612E-2</v>
      </c>
      <c r="AD27">
        <f>(Цены!AC27-Цены!AC$2)/Цены!AC$2</f>
        <v>-4.0710316501570372E-2</v>
      </c>
      <c r="AE27">
        <f>(Цены!AD27-Цены!AD$2)/Цены!AD$2</f>
        <v>2.264426588750907E-2</v>
      </c>
      <c r="AF27">
        <f>(Цены!AE27-Цены!AE$2)/Цены!AE$2</f>
        <v>1.9202363367799114E-2</v>
      </c>
      <c r="AG27">
        <f>(Цены!AF27-Цены!AF$2)/Цены!AF$2</f>
        <v>-2.7858527131782947E-2</v>
      </c>
      <c r="AH27">
        <f>(Цены!AG27-Цены!AG$2)/Цены!AG$2</f>
        <v>6.7645181876196697E-2</v>
      </c>
      <c r="AI27">
        <f>(Цены!AH27-Цены!AH$2)/Цены!AH$2</f>
        <v>-0.10066006600660068</v>
      </c>
      <c r="AJ27">
        <f>(Цены!AI27-Цены!AI$2)/Цены!AI$2</f>
        <v>-7.8458362009635157E-2</v>
      </c>
      <c r="AK27">
        <f>(Цены!AJ27-Цены!AJ$2)/Цены!AJ$2</f>
        <v>1.3133208255159476E-2</v>
      </c>
      <c r="AL27">
        <f>(Цены!AK27-Цены!AK$2)/Цены!AK$2</f>
        <v>1.4790626200537832E-2</v>
      </c>
      <c r="AM27">
        <f>(Цены!AL27-Цены!AL$2)/Цены!AL$2</f>
        <v>-6.651785714285717E-2</v>
      </c>
      <c r="AN27">
        <f>(Цены!AM27-Цены!AM$2)/Цены!AM$2</f>
        <v>1.2785388127853882E-2</v>
      </c>
      <c r="AO27">
        <f>(Цены!AN27-Цены!AN$2)/Цены!AN$2</f>
        <v>1.1594202898550724E-3</v>
      </c>
      <c r="AP27">
        <f>(Цены!AO27-Цены!AO$2)/Цены!AO$2</f>
        <v>-5.8608058608058657E-2</v>
      </c>
      <c r="AQ27">
        <f>(Цены!AP27-Цены!AP$2)/Цены!AP$2</f>
        <v>-9.1743119266055051E-3</v>
      </c>
      <c r="AR27">
        <f>(Цены!AQ27-Цены!AQ$2)/Цены!AQ$2</f>
        <v>-5.0709939148073022E-2</v>
      </c>
      <c r="AS27">
        <f>(Цены!AR27-Цены!AR$2)/Цены!AR$2</f>
        <v>-3.8430089942763722E-2</v>
      </c>
      <c r="AT27">
        <f>(Цены!AS27-Цены!AS$2)/Цены!AS$2</f>
        <v>-1.1583011583011473E-2</v>
      </c>
      <c r="AU27">
        <f>(Цены!AT27-Цены!AT$2)/Цены!AT$2</f>
        <v>-5.5710306406683745E-3</v>
      </c>
      <c r="AV27">
        <f>(Цены!AU27-Цены!AU$2)/Цены!AU$2</f>
        <v>4.7141424272818484E-2</v>
      </c>
      <c r="AW27">
        <f>(Цены!AV27-Цены!AV$2)/Цены!AV$2</f>
        <v>4.1021755601255615E-2</v>
      </c>
      <c r="AX27">
        <f>(Цены!AW27-Цены!AW$2)/Цены!AW$2</f>
        <v>-6.3999999999999987E-2</v>
      </c>
      <c r="AY27">
        <f>(Цены!AX27-Цены!AX$2)/Цены!AX$2</f>
        <v>0.10283159463487332</v>
      </c>
    </row>
    <row r="28" spans="1:51" x14ac:dyDescent="0.2">
      <c r="A28" s="1" t="s">
        <v>93</v>
      </c>
      <c r="B28" s="2">
        <v>26</v>
      </c>
      <c r="C28">
        <f>(Цены!B28-Цены!B$2)/Цены!B$2</f>
        <v>1.9447414776130628E-2</v>
      </c>
      <c r="D28">
        <f>(Цены!C28-Цены!C$2)/Цены!C$2</f>
        <v>-8.9237668161435378E-3</v>
      </c>
      <c r="E28">
        <f>(Цены!D28-Цены!D$2)/Цены!D$2</f>
        <v>-6.1051755237962781E-3</v>
      </c>
      <c r="F28">
        <f>(Цены!E28-Цены!E$2)/Цены!E$2</f>
        <v>6.1757719714964368E-2</v>
      </c>
      <c r="G28">
        <f>(Цены!F28-Цены!F$2)/Цены!F$2</f>
        <v>1.8968692449355434E-2</v>
      </c>
      <c r="H28">
        <f>(Цены!G28-Цены!G$2)/Цены!G$2</f>
        <v>0.10420868629823853</v>
      </c>
      <c r="I28">
        <f>(Цены!H28-Цены!H$2)/Цены!H$2</f>
        <v>-2.6324786324786312E-2</v>
      </c>
      <c r="J28">
        <f>(Цены!I28-Цены!I$2)/Цены!I$2</f>
        <v>-4.6338965693804406E-2</v>
      </c>
      <c r="K28">
        <f>(Цены!J28-Цены!J$2)/Цены!J$2</f>
        <v>1.2859304084720122E-2</v>
      </c>
      <c r="L28">
        <f>(Цены!K28-Цены!K$2)/Цены!K$2</f>
        <v>8.1760113555713304E-2</v>
      </c>
      <c r="M28">
        <f>(Цены!L28-Цены!L$2)/Цены!L$2</f>
        <v>8.902516388242758E-2</v>
      </c>
      <c r="N28">
        <f>(Цены!M28-Цены!M$2)/Цены!M$2</f>
        <v>-1.917760884588789E-2</v>
      </c>
      <c r="O28">
        <f>(Цены!N28-Цены!N$2)/Цены!N$2</f>
        <v>-2.0926363715961831E-2</v>
      </c>
      <c r="P28">
        <f>(Цены!O28-Цены!O$2)/Цены!O$2</f>
        <v>3.2994923857868105E-2</v>
      </c>
      <c r="Q28">
        <f>(Цены!P28-Цены!P$2)/Цены!P$2</f>
        <v>5.5738764953119975E-2</v>
      </c>
      <c r="R28">
        <f>(Цены!Q28-Цены!Q$2)/Цены!Q$2</f>
        <v>9.8005698005697948E-3</v>
      </c>
      <c r="S28">
        <f>(Цены!R28-Цены!R$2)/Цены!R$2</f>
        <v>3.8230418566100266E-2</v>
      </c>
      <c r="T28">
        <f>(Цены!S28-Цены!S$2)/Цены!S$2</f>
        <v>-3.1320754716981168E-2</v>
      </c>
      <c r="U28">
        <f>(Цены!T28-Цены!T$2)/Цены!T$2</f>
        <v>7.9815809669991702E-3</v>
      </c>
      <c r="V28">
        <f>(Цены!U28-Цены!U$2)/Цены!U$2</f>
        <v>-3.4138218151540382E-2</v>
      </c>
      <c r="W28">
        <f>(Цены!V28-Цены!V$2)/Цены!V$2</f>
        <v>-4.3778801843317942E-2</v>
      </c>
      <c r="X28">
        <f>(Цены!W28-Цены!W$2)/Цены!W$2</f>
        <v>2.5319194979441715E-2</v>
      </c>
      <c r="Y28">
        <f>(Цены!X28-Цены!X$2)/Цены!X$2</f>
        <v>6.5669700910273035E-2</v>
      </c>
      <c r="Z28">
        <f>(Цены!Y28-Цены!Y$2)/Цены!Y$2</f>
        <v>-4.505716207128458E-2</v>
      </c>
      <c r="AA28">
        <f>(Цены!Z28-Цены!Z$2)/Цены!Z$2</f>
        <v>4.8703170028818521E-2</v>
      </c>
      <c r="AB28">
        <f>(Цены!AA28-Цены!AA$2)/Цены!AA$2</f>
        <v>-4.6043656207366987E-2</v>
      </c>
      <c r="AC28">
        <f>(Цены!AB28-Цены!AB$2)/Цены!AB$2</f>
        <v>4.2042042042042043E-3</v>
      </c>
      <c r="AD28">
        <f>(Цены!AC28-Цены!AC$2)/Цены!AC$2</f>
        <v>-3.2012563421116171E-2</v>
      </c>
      <c r="AE28">
        <f>(Цены!AD28-Цены!AD$2)/Цены!AD$2</f>
        <v>2.3009495982469017E-2</v>
      </c>
      <c r="AF28">
        <f>(Цены!AE28-Цены!AE$2)/Цены!AE$2</f>
        <v>3.2496307237813882E-2</v>
      </c>
      <c r="AG28">
        <f>(Цены!AF28-Цены!AF$2)/Цены!AF$2</f>
        <v>-1.9137596899224889E-2</v>
      </c>
      <c r="AH28">
        <f>(Цены!AG28-Цены!AG$2)/Цены!AG$2</f>
        <v>6.8921506062539967E-2</v>
      </c>
      <c r="AI28">
        <f>(Цены!AH28-Цены!AH$2)/Цены!AH$2</f>
        <v>-8.5808580858085848E-2</v>
      </c>
      <c r="AJ28">
        <f>(Цены!AI28-Цены!AI$2)/Цены!AI$2</f>
        <v>-7.6393668272539544E-2</v>
      </c>
      <c r="AK28">
        <f>(Цены!AJ28-Цены!AJ$2)/Цены!AJ$2</f>
        <v>1.6885553470919325E-2</v>
      </c>
      <c r="AL28">
        <f>(Цены!AK28-Цены!AK$2)/Цены!AK$2</f>
        <v>7.6834421820975857E-3</v>
      </c>
      <c r="AM28">
        <f>(Цены!AL28-Цены!AL$2)/Цены!AL$2</f>
        <v>-3.6160714285714261E-2</v>
      </c>
      <c r="AN28">
        <f>(Цены!AM28-Цены!AM$2)/Цены!AM$2</f>
        <v>1.7808219178082191E-2</v>
      </c>
      <c r="AO28">
        <f>(Цены!AN28-Цены!AN$2)/Цены!AN$2</f>
        <v>7.5362318840579709E-3</v>
      </c>
      <c r="AP28">
        <f>(Цены!AO28-Цены!AO$2)/Цены!AO$2</f>
        <v>-6.7765567765567816E-2</v>
      </c>
      <c r="AQ28">
        <f>(Цены!AP28-Цены!AP$2)/Цены!AP$2</f>
        <v>-1.834862385321101E-2</v>
      </c>
      <c r="AR28">
        <f>(Цены!AQ28-Цены!AQ$2)/Цены!AQ$2</f>
        <v>-8.5192697768762676E-2</v>
      </c>
      <c r="AS28">
        <f>(Цены!AR28-Цены!AR$2)/Цены!AR$2</f>
        <v>-5.1512673753066208E-2</v>
      </c>
      <c r="AT28">
        <f>(Цены!AS28-Цены!AS$2)/Цены!AS$2</f>
        <v>-2.1235521235521127E-2</v>
      </c>
      <c r="AU28">
        <f>(Цены!AT28-Цены!AT$2)/Цены!AT$2</f>
        <v>-2.7855153203342644E-3</v>
      </c>
      <c r="AV28">
        <f>(Цены!AU28-Цены!AU$2)/Цены!AU$2</f>
        <v>5.6168505516549588E-2</v>
      </c>
      <c r="AW28">
        <f>(Цены!AV28-Цены!AV$2)/Цены!AV$2</f>
        <v>4.6541833531767475E-2</v>
      </c>
      <c r="AX28">
        <f>(Цены!AW28-Цены!AW$2)/Цены!AW$2</f>
        <v>-6.6444444444444528E-2</v>
      </c>
      <c r="AY28">
        <f>(Цены!AX28-Цены!AX$2)/Цены!AX$2</f>
        <v>0.10879284649776454</v>
      </c>
    </row>
    <row r="29" spans="1:51" x14ac:dyDescent="0.2">
      <c r="A29" s="1" t="s">
        <v>94</v>
      </c>
      <c r="B29" s="2">
        <v>27</v>
      </c>
      <c r="C29">
        <f>(Цены!B29-Цены!B$2)/Цены!B$2</f>
        <v>2.1790156049641324E-2</v>
      </c>
      <c r="D29">
        <f>(Цены!C29-Цены!C$2)/Цены!C$2</f>
        <v>-2.8699551569506114E-3</v>
      </c>
      <c r="E29">
        <f>(Цены!D29-Цены!D$2)/Цены!D$2</f>
        <v>5.9664215346192156E-3</v>
      </c>
      <c r="F29">
        <f>(Цены!E29-Цены!E$2)/Цены!E$2</f>
        <v>5.2381547693461684E-2</v>
      </c>
      <c r="G29">
        <f>(Цены!F29-Цены!F$2)/Цены!F$2</f>
        <v>2.3112338858195212E-2</v>
      </c>
      <c r="H29">
        <f>(Цены!G29-Цены!G$2)/Цены!G$2</f>
        <v>0.127067365873336</v>
      </c>
      <c r="I29">
        <f>(Цены!H29-Цены!H$2)/Цены!H$2</f>
        <v>-2.119658119658123E-2</v>
      </c>
      <c r="J29">
        <f>(Цены!I29-Цены!I$2)/Цены!I$2</f>
        <v>-3.9938556067588324E-2</v>
      </c>
      <c r="K29">
        <f>(Цены!J29-Цены!J$2)/Цены!J$2</f>
        <v>8.3207261724659604E-3</v>
      </c>
      <c r="L29">
        <f>(Цены!K29-Цены!K$2)/Цены!K$2</f>
        <v>9.3825408090844609E-2</v>
      </c>
      <c r="M29">
        <f>(Цены!L29-Цены!L$2)/Цены!L$2</f>
        <v>8.0778177204482979E-2</v>
      </c>
      <c r="N29">
        <f>(Цены!M29-Цены!M$2)/Цены!M$2</f>
        <v>-2.4187975120939877E-2</v>
      </c>
      <c r="O29">
        <f>(Цены!N29-Цены!N$2)/Цены!N$2</f>
        <v>-1.4184397163120484E-2</v>
      </c>
      <c r="P29">
        <f>(Цены!O29-Цены!O$2)/Цены!O$2</f>
        <v>3.5532994923857898E-2</v>
      </c>
      <c r="Q29">
        <f>(Цены!P29-Цены!P$2)/Цены!P$2</f>
        <v>5.4962819269317814E-2</v>
      </c>
      <c r="R29">
        <f>(Цены!Q29-Цены!Q$2)/Цены!Q$2</f>
        <v>6.2678062678062354E-3</v>
      </c>
      <c r="S29">
        <f>(Цены!R29-Цены!R$2)/Цены!R$2</f>
        <v>3.895565685868204E-2</v>
      </c>
      <c r="T29">
        <f>(Цены!S29-Цены!S$2)/Цены!S$2</f>
        <v>-5.8679245283018898E-2</v>
      </c>
      <c r="U29">
        <f>(Цены!T29-Цены!T$2)/Цены!T$2</f>
        <v>1.2893323100537054E-2</v>
      </c>
      <c r="V29">
        <f>(Цены!U29-Цены!U$2)/Цены!U$2</f>
        <v>-3.330557868442964E-2</v>
      </c>
      <c r="W29">
        <f>(Цены!V29-Цены!V$2)/Цены!V$2</f>
        <v>-4.0092165898617561E-2</v>
      </c>
      <c r="X29">
        <f>(Цены!W29-Цены!W$2)/Цены!W$2</f>
        <v>6.2324172257087265E-2</v>
      </c>
      <c r="Y29">
        <f>(Цены!X29-Цены!X$2)/Цены!X$2</f>
        <v>7.4122236671001152E-2</v>
      </c>
      <c r="Z29">
        <f>(Цены!Y29-Цены!Y$2)/Цены!Y$2</f>
        <v>-2.6361802286482931E-2</v>
      </c>
      <c r="AA29">
        <f>(Цены!Z29-Цены!Z$2)/Цены!Z$2</f>
        <v>5.1873198847262297E-2</v>
      </c>
      <c r="AB29">
        <f>(Цены!AA29-Цены!AA$2)/Цены!AA$2</f>
        <v>-3.9563437926330033E-2</v>
      </c>
      <c r="AC29">
        <f>(Цены!AB29-Цены!AB$2)/Цены!AB$2</f>
        <v>7.2072072072072073E-3</v>
      </c>
      <c r="AD29">
        <f>(Цены!AC29-Цены!AC$2)/Цены!AC$2</f>
        <v>-3.7086252718047774E-2</v>
      </c>
      <c r="AE29">
        <f>(Цены!AD29-Цены!AD$2)/Цены!AD$2</f>
        <v>3.8714390065741372E-2</v>
      </c>
      <c r="AF29">
        <f>(Цены!AE29-Цены!AE$2)/Цены!AE$2</f>
        <v>3.8404726735598228E-2</v>
      </c>
      <c r="AG29">
        <f>(Цены!AF29-Цены!AF$2)/Цены!AF$2</f>
        <v>-1.2112403100775193E-2</v>
      </c>
      <c r="AH29">
        <f>(Цены!AG29-Цены!AG$2)/Цены!AG$2</f>
        <v>5.2967453733248321E-2</v>
      </c>
      <c r="AI29">
        <f>(Цены!AH29-Цены!AH$2)/Цены!AH$2</f>
        <v>-7.7145214521452218E-2</v>
      </c>
      <c r="AJ29">
        <f>(Цены!AI29-Цены!AI$2)/Цены!AI$2</f>
        <v>-7.1576049552649637E-2</v>
      </c>
      <c r="AK29">
        <f>(Цены!AJ29-Цены!AJ$2)/Цены!AJ$2</f>
        <v>1.6181988742964351E-2</v>
      </c>
      <c r="AL29">
        <f>(Цены!AK29-Цены!AK$2)/Цены!AK$2</f>
        <v>-9.6043027276221105E-3</v>
      </c>
      <c r="AM29">
        <f>(Цены!AL29-Цены!AL$2)/Цены!AL$2</f>
        <v>-7.410714285714283E-2</v>
      </c>
      <c r="AN29">
        <f>(Цены!AM29-Цены!AM$2)/Цены!AM$2</f>
        <v>6.8493150684931503E-3</v>
      </c>
      <c r="AO29">
        <f>(Цены!AN29-Цены!AN$2)/Цены!AN$2</f>
        <v>2.8985507246376812E-3</v>
      </c>
      <c r="AP29">
        <f>(Цены!AO29-Цены!AO$2)/Цены!AO$2</f>
        <v>-3.4798534798534772E-2</v>
      </c>
      <c r="AQ29">
        <f>(Цены!AP29-Цены!AP$2)/Цены!AP$2</f>
        <v>-1.834862385321101E-2</v>
      </c>
      <c r="AR29">
        <f>(Цены!AQ29-Цены!AQ$2)/Цены!AQ$2</f>
        <v>-6.6937119675456389E-2</v>
      </c>
      <c r="AS29">
        <f>(Цены!AR29-Цены!AR$2)/Цены!AR$2</f>
        <v>-5.6418642681929615E-2</v>
      </c>
      <c r="AT29">
        <f>(Цены!AS29-Цены!AS$2)/Цены!AS$2</f>
        <v>-2.3166023166023085E-2</v>
      </c>
      <c r="AU29">
        <f>(Цены!AT29-Цены!AT$2)/Цены!AT$2</f>
        <v>-1.2534818941504036E-2</v>
      </c>
      <c r="AV29">
        <f>(Цены!AU29-Цены!AU$2)/Цены!AU$2</f>
        <v>5.7171514543630918E-2</v>
      </c>
      <c r="AW29">
        <f>(Цены!AV29-Цены!AV$2)/Цены!AV$2</f>
        <v>5.5309016127286496E-2</v>
      </c>
      <c r="AX29">
        <f>(Цены!AW29-Цены!AW$2)/Цены!AW$2</f>
        <v>-8.1999999999999976E-2</v>
      </c>
      <c r="AY29">
        <f>(Цены!AX29-Цены!AX$2)/Цены!AX$2</f>
        <v>0.11773472429210134</v>
      </c>
    </row>
    <row r="30" spans="1:51" x14ac:dyDescent="0.2">
      <c r="A30" s="1" t="s">
        <v>95</v>
      </c>
      <c r="B30" s="2">
        <v>28</v>
      </c>
      <c r="C30">
        <f>(Цены!B30-Цены!B$2)/Цены!B$2</f>
        <v>1.8444650518908392E-2</v>
      </c>
      <c r="D30">
        <f>(Цены!C30-Цены!C$2)/Цены!C$2</f>
        <v>-1.3452914798206279E-2</v>
      </c>
      <c r="E30">
        <f>(Цены!D30-Цены!D$2)/Цены!D$2</f>
        <v>-9.7127792424022731E-4</v>
      </c>
      <c r="F30">
        <f>(Цены!E30-Цены!E$2)/Цены!E$2</f>
        <v>5.1506438304788099E-2</v>
      </c>
      <c r="G30">
        <f>(Цены!F30-Цены!F$2)/Цены!F$2</f>
        <v>2.6703499079189688E-2</v>
      </c>
      <c r="H30">
        <f>(Цены!G30-Цены!G$2)/Цены!G$2</f>
        <v>0.12733629151539588</v>
      </c>
      <c r="I30">
        <f>(Цены!H30-Цены!H$2)/Цены!H$2</f>
        <v>-1.3333333333333353E-2</v>
      </c>
      <c r="J30">
        <f>(Цены!I30-Цены!I$2)/Цены!I$2</f>
        <v>-2.7137736815156171E-2</v>
      </c>
      <c r="K30">
        <f>(Цены!J30-Цены!J$2)/Цены!J$2</f>
        <v>6.8835098335854076E-3</v>
      </c>
      <c r="L30">
        <f>(Цены!K30-Цены!K$2)/Цены!K$2</f>
        <v>8.6018452803406698E-2</v>
      </c>
      <c r="M30">
        <f>(Цены!L30-Цены!L$2)/Цены!L$2</f>
        <v>8.0989638401353356E-2</v>
      </c>
      <c r="N30">
        <f>(Цены!M30-Цены!M$2)/Цены!M$2</f>
        <v>-2.1769177608845731E-2</v>
      </c>
      <c r="O30">
        <f>(Цены!N30-Цены!N$2)/Цены!N$2</f>
        <v>7.8802206461783917E-4</v>
      </c>
      <c r="P30">
        <f>(Цены!O30-Цены!O$2)/Цены!O$2</f>
        <v>2.741116751269038E-2</v>
      </c>
      <c r="Q30">
        <f>(Цены!P30-Цены!P$2)/Цены!P$2</f>
        <v>4.7526673132880663E-2</v>
      </c>
      <c r="R30">
        <f>(Цены!Q30-Цены!Q$2)/Цены!Q$2</f>
        <v>1.7663817663817631E-2</v>
      </c>
      <c r="S30">
        <f>(Цены!R30-Цены!R$2)/Цены!R$2</f>
        <v>3.0667219229175206E-2</v>
      </c>
      <c r="T30">
        <f>(Цены!S30-Цены!S$2)/Цены!S$2</f>
        <v>-0.10566037735849058</v>
      </c>
      <c r="U30">
        <f>(Цены!T30-Цены!T$2)/Цены!T$2</f>
        <v>1.4274750575594667E-2</v>
      </c>
      <c r="V30">
        <f>(Цены!U30-Цены!U$2)/Цены!U$2</f>
        <v>-2.9558701082431308E-2</v>
      </c>
      <c r="W30">
        <f>(Цены!V30-Цены!V$2)/Цены!V$2</f>
        <v>-4.2396313364055215E-2</v>
      </c>
      <c r="X30">
        <f>(Цены!W30-Цены!W$2)/Цены!W$2</f>
        <v>3.462454014282626E-2</v>
      </c>
      <c r="Y30">
        <f>(Цены!X30-Цены!X$2)/Цены!X$2</f>
        <v>7.8998699609882816E-2</v>
      </c>
      <c r="Z30">
        <f>(Цены!Y30-Цены!Y$2)/Цены!Y$2</f>
        <v>-3.8332212508406294E-2</v>
      </c>
      <c r="AA30">
        <f>(Цены!Z30-Цены!Z$2)/Цены!Z$2</f>
        <v>6.0230547550432369E-2</v>
      </c>
      <c r="AB30">
        <f>(Цены!AA30-Цены!AA$2)/Цены!AA$2</f>
        <v>-4.7407912687585194E-2</v>
      </c>
      <c r="AC30">
        <f>(Цены!AB30-Цены!AB$2)/Цены!AB$2</f>
        <v>1.3213213213213212E-2</v>
      </c>
      <c r="AD30">
        <f>(Цены!AC30-Цены!AC$2)/Цены!AC$2</f>
        <v>-3.6240637835225936E-2</v>
      </c>
      <c r="AE30">
        <f>(Цены!AD30-Цены!AD$2)/Цены!AD$2</f>
        <v>4.6018991964937868E-2</v>
      </c>
      <c r="AF30">
        <f>(Цены!AE30-Цены!AE$2)/Цены!AE$2</f>
        <v>3.9881831610044313E-2</v>
      </c>
      <c r="AG30">
        <f>(Цены!AF30-Цены!AF$2)/Цены!AF$2</f>
        <v>-1.7684108527131811E-2</v>
      </c>
      <c r="AH30">
        <f>(Цены!AG30-Цены!AG$2)/Цены!AG$2</f>
        <v>5.3605615826419949E-2</v>
      </c>
      <c r="AI30">
        <f>(Цены!AH30-Цены!AH$2)/Цены!AH$2</f>
        <v>-8.6633663366336627E-2</v>
      </c>
      <c r="AJ30">
        <f>(Цены!AI30-Цены!AI$2)/Цены!AI$2</f>
        <v>-7.7081899518238073E-2</v>
      </c>
      <c r="AK30">
        <f>(Цены!AJ30-Цены!AJ$2)/Цены!AJ$2</f>
        <v>1.7823639774859287E-2</v>
      </c>
      <c r="AL30">
        <f>(Цены!AK30-Цены!AK$2)/Цены!AK$2</f>
        <v>-1.075681905493662E-2</v>
      </c>
      <c r="AM30">
        <f>(Цены!AL30-Цены!AL$2)/Цены!AL$2</f>
        <v>-6.5624999999999947E-2</v>
      </c>
      <c r="AN30">
        <f>(Цены!AM30-Цены!AM$2)/Цены!AM$2</f>
        <v>8.6757990867579911E-3</v>
      </c>
      <c r="AO30">
        <f>(Цены!AN30-Цены!AN$2)/Цены!AN$2</f>
        <v>1.1014492753623189E-2</v>
      </c>
      <c r="AP30">
        <f>(Цены!AO30-Цены!AO$2)/Цены!AO$2</f>
        <v>-2.7472527472527472E-2</v>
      </c>
      <c r="AQ30">
        <f>(Цены!AP30-Цены!AP$2)/Цены!AP$2</f>
        <v>-1.834862385321101E-2</v>
      </c>
      <c r="AR30">
        <f>(Цены!AQ30-Цены!AQ$2)/Цены!AQ$2</f>
        <v>-6.2880324543610547E-2</v>
      </c>
      <c r="AS30">
        <f>(Цены!AR30-Цены!AR$2)/Цены!AR$2</f>
        <v>-5.1512673753066208E-2</v>
      </c>
      <c r="AT30">
        <f>(Цены!AS30-Цены!AS$2)/Цены!AS$2</f>
        <v>-2.1235521235521127E-2</v>
      </c>
      <c r="AU30">
        <f>(Цены!AT30-Цены!AT$2)/Цены!AT$2</f>
        <v>2.7855153203342644E-3</v>
      </c>
      <c r="AV30">
        <f>(Цены!AU30-Цены!AU$2)/Цены!AU$2</f>
        <v>5.9177532597793292E-2</v>
      </c>
      <c r="AW30">
        <f>(Цены!AV30-Цены!AV$2)/Цены!AV$2</f>
        <v>5.5417252949453454E-2</v>
      </c>
      <c r="AX30">
        <f>(Цены!AW30-Цены!AW$2)/Цены!AW$2</f>
        <v>-9.0888888888888866E-2</v>
      </c>
      <c r="AY30">
        <f>(Цены!AX30-Цены!AX$2)/Цены!AX$2</f>
        <v>0.14157973174366617</v>
      </c>
    </row>
    <row r="31" spans="1:51" x14ac:dyDescent="0.2">
      <c r="A31" s="1" t="s">
        <v>96</v>
      </c>
      <c r="B31" s="2">
        <v>29</v>
      </c>
      <c r="C31">
        <f>(Цены!B31-Цены!B$2)/Цены!B$2</f>
        <v>3.1001388784126106E-2</v>
      </c>
      <c r="D31">
        <f>(Цены!C31-Цены!C$2)/Цены!C$2</f>
        <v>-1.3452914798206279E-2</v>
      </c>
      <c r="E31">
        <f>(Цены!D31-Цены!D$2)/Цены!D$2</f>
        <v>1.5956708755376796E-2</v>
      </c>
      <c r="F31">
        <f>(Цены!E31-Цены!E$2)/Цены!E$2</f>
        <v>7.488436054506814E-2</v>
      </c>
      <c r="G31">
        <f>(Цены!F31-Цены!F$2)/Цены!F$2</f>
        <v>5.6537753222836093E-2</v>
      </c>
      <c r="H31">
        <f>(Цены!G31-Цены!G$2)/Цены!G$2</f>
        <v>0.13083232486217555</v>
      </c>
      <c r="I31">
        <f>(Цены!H31-Цены!H$2)/Цены!H$2</f>
        <v>8.5470085470080613E-4</v>
      </c>
      <c r="J31">
        <f>(Цены!I31-Цены!I$2)/Цены!I$2</f>
        <v>8.7045570916538667E-3</v>
      </c>
      <c r="K31">
        <f>(Цены!J31-Цены!J$2)/Цены!J$2</f>
        <v>1.4296520423600674E-2</v>
      </c>
      <c r="L31">
        <f>(Цены!K31-Цены!K$2)/Цены!K$2</f>
        <v>9.2689850958126263E-2</v>
      </c>
      <c r="M31">
        <f>(Цены!L31-Цены!L$2)/Цены!L$2</f>
        <v>9.6849228166631426E-2</v>
      </c>
      <c r="N31">
        <f>(Цены!M31-Цены!M$2)/Цены!M$2</f>
        <v>-1.1921216309606044E-2</v>
      </c>
      <c r="O31">
        <f>(Цены!N31-Цены!N$2)/Цены!N$2</f>
        <v>1.0857192890289897E-2</v>
      </c>
      <c r="P31">
        <f>(Цены!O31-Цены!O$2)/Цены!O$2</f>
        <v>5.2411167512690274E-2</v>
      </c>
      <c r="Q31">
        <f>(Цены!P31-Цены!P$2)/Цены!P$2</f>
        <v>8.4125444552214615E-2</v>
      </c>
      <c r="R31">
        <f>(Цены!Q31-Цены!Q$2)/Цены!Q$2</f>
        <v>3.1339031339031341E-2</v>
      </c>
      <c r="S31">
        <f>(Цены!R31-Цены!R$2)/Цены!R$2</f>
        <v>4.9834231247409766E-2</v>
      </c>
      <c r="T31">
        <f>(Цены!S31-Цены!S$2)/Цены!S$2</f>
        <v>-0.1126415094339622</v>
      </c>
      <c r="U31">
        <f>(Цены!T31-Цены!T$2)/Цены!T$2</f>
        <v>5.9094397544128839E-2</v>
      </c>
      <c r="V31">
        <f>(Цены!U31-Цены!U$2)/Цены!U$2</f>
        <v>-2.3730224812656121E-2</v>
      </c>
      <c r="W31">
        <f>(Цены!V31-Цены!V$2)/Цены!V$2</f>
        <v>-4.5161290322580663E-2</v>
      </c>
      <c r="X31">
        <f>(Цены!W31-Цены!W$2)/Цены!W$2</f>
        <v>4.0034624540142859E-2</v>
      </c>
      <c r="Y31">
        <f>(Цены!X31-Цены!X$2)/Цены!X$2</f>
        <v>7.8023407022106625E-2</v>
      </c>
      <c r="Z31">
        <f>(Цены!Y31-Цены!Y$2)/Цены!Y$2</f>
        <v>-3.6314727639542736E-2</v>
      </c>
      <c r="AA31">
        <f>(Цены!Z31-Цены!Z$2)/Цены!Z$2</f>
        <v>7.7809798270893446E-2</v>
      </c>
      <c r="AB31">
        <f>(Цены!AA31-Цены!AA$2)/Цены!AA$2</f>
        <v>-6.4802182810368356E-2</v>
      </c>
      <c r="AC31">
        <f>(Цены!AB31-Цены!AB$2)/Цены!AB$2</f>
        <v>3.8438438438438437E-2</v>
      </c>
      <c r="AD31">
        <f>(Цены!AC31-Цены!AC$2)/Цены!AC$2</f>
        <v>-2.7663686880889143E-2</v>
      </c>
      <c r="AE31">
        <f>(Цены!AD31-Цены!AD$2)/Цены!AD$2</f>
        <v>6.2819576333089905E-2</v>
      </c>
      <c r="AF31">
        <f>(Цены!AE31-Цены!AE$2)/Цены!AE$2</f>
        <v>6.0561299852289516E-2</v>
      </c>
      <c r="AG31">
        <f>(Цены!AF31-Цены!AF$2)/Цены!AF$2</f>
        <v>-4.8449612403098021E-4</v>
      </c>
      <c r="AH31">
        <f>(Цены!AG31-Цены!AG$2)/Цены!AG$2</f>
        <v>6.573069559668164E-2</v>
      </c>
      <c r="AI31">
        <f>(Цены!AH31-Цены!AH$2)/Цены!AH$2</f>
        <v>-0.11056105610561061</v>
      </c>
      <c r="AJ31">
        <f>(Цены!AI31-Цены!AI$2)/Цены!AI$2</f>
        <v>-0.10736407432897445</v>
      </c>
      <c r="AK31">
        <f>(Цены!AJ31-Цены!AJ$2)/Цены!AJ$2</f>
        <v>2.0403377110694183E-2</v>
      </c>
      <c r="AL31">
        <f>(Цены!AK31-Цены!AK$2)/Цены!AK$2</f>
        <v>-4.9942374183635585E-3</v>
      </c>
      <c r="AM31">
        <f>(Цены!AL31-Цены!AL$2)/Цены!AL$2</f>
        <v>-6.9642857142857117E-2</v>
      </c>
      <c r="AN31">
        <f>(Цены!AM31-Цены!AM$2)/Цены!AM$2</f>
        <v>1.6894977168949773E-2</v>
      </c>
      <c r="AO31">
        <f>(Цены!AN31-Цены!AN$2)/Цены!AN$2</f>
        <v>2.2608695652173914E-2</v>
      </c>
      <c r="AP31">
        <f>(Цены!AO31-Цены!AO$2)/Цены!AO$2</f>
        <v>-2.3809523809523888E-2</v>
      </c>
      <c r="AQ31">
        <f>(Цены!AP31-Цены!AP$2)/Цены!AP$2</f>
        <v>-9.1743119266055051E-3</v>
      </c>
      <c r="AR31">
        <f>(Цены!AQ31-Цены!AQ$2)/Цены!AQ$2</f>
        <v>-5.6795131845841784E-2</v>
      </c>
      <c r="AS31">
        <f>(Цены!AR31-Цены!AR$2)/Цены!AR$2</f>
        <v>-4.9877350776778372E-2</v>
      </c>
      <c r="AT31">
        <f>(Цены!AS31-Цены!AS$2)/Цены!AS$2</f>
        <v>-1.0617760617760564E-2</v>
      </c>
      <c r="AU31">
        <f>(Цены!AT31-Цены!AT$2)/Цены!AT$2</f>
        <v>2.7855153203342644E-3</v>
      </c>
      <c r="AV31">
        <f>(Цены!AU31-Цены!AU$2)/Цены!AU$2</f>
        <v>5.9177532597793292E-2</v>
      </c>
      <c r="AW31">
        <f>(Цены!AV31-Цены!AV$2)/Цены!AV$2</f>
        <v>5.1412490529278057E-2</v>
      </c>
      <c r="AX31">
        <f>(Цены!AW31-Цены!AW$2)/Цены!AW$2</f>
        <v>-9.3111111111111089E-2</v>
      </c>
      <c r="AY31">
        <f>(Цены!AX31-Цены!AX$2)/Цены!AX$2</f>
        <v>0.15052160953800298</v>
      </c>
    </row>
    <row r="32" spans="1:51" x14ac:dyDescent="0.2">
      <c r="A32" s="1" t="s">
        <v>97</v>
      </c>
      <c r="B32" s="2">
        <v>30</v>
      </c>
      <c r="C32">
        <f>(Цены!B32-Цены!B$2)/Цены!B$2</f>
        <v>2.860096638077534E-2</v>
      </c>
      <c r="D32">
        <f>(Цены!C32-Цены!C$2)/Цены!C$2</f>
        <v>-3.3363228699551557E-2</v>
      </c>
      <c r="E32">
        <f>(Цены!D32-Цены!D$2)/Цены!D$2</f>
        <v>1.2904120993478659E-2</v>
      </c>
      <c r="F32">
        <f>(Цены!E32-Цены!E$2)/Цены!E$2</f>
        <v>6.9633704213026629E-2</v>
      </c>
      <c r="G32">
        <f>(Цены!F32-Цены!F$2)/Цены!F$2</f>
        <v>6.3627992633517497E-2</v>
      </c>
      <c r="H32">
        <f>(Цены!G32-Цены!G$2)/Цены!G$2</f>
        <v>0.13903455694500466</v>
      </c>
      <c r="I32">
        <f>(Цены!H32-Цены!H$2)/Цены!H$2</f>
        <v>-7.863247863247878E-3</v>
      </c>
      <c r="J32">
        <f>(Цены!I32-Цены!I$2)/Цены!I$2</f>
        <v>8.7045570916538667E-3</v>
      </c>
      <c r="K32">
        <f>(Цены!J32-Цены!J$2)/Цены!J$2</f>
        <v>1.9440242057488687E-2</v>
      </c>
      <c r="L32">
        <f>(Цены!K32-Цены!K$2)/Цены!K$2</f>
        <v>8.4315117104329276E-2</v>
      </c>
      <c r="M32">
        <f>(Цены!L32-Цены!L$2)/Цены!L$2</f>
        <v>9.4311693804186927E-2</v>
      </c>
      <c r="N32">
        <f>(Цены!M32-Цены!M$2)/Цены!M$2</f>
        <v>-1.2093987560469938E-2</v>
      </c>
      <c r="O32">
        <f>(Цены!N32-Цены!N$2)/Цены!N$2</f>
        <v>7.0046405743816223E-4</v>
      </c>
      <c r="P32">
        <f>(Цены!O32-Цены!O$2)/Цены!O$2</f>
        <v>7.1573604060913829E-2</v>
      </c>
      <c r="Q32">
        <f>(Цены!P32-Цены!P$2)/Цены!P$2</f>
        <v>0.1076624636275461</v>
      </c>
      <c r="R32">
        <f>(Цены!Q32-Цены!Q$2)/Цены!Q$2</f>
        <v>2.700854700854706E-2</v>
      </c>
      <c r="S32">
        <f>(Цены!R32-Цены!R$2)/Цены!R$2</f>
        <v>6.029838375466217E-2</v>
      </c>
      <c r="T32">
        <f>(Цены!S32-Цены!S$2)/Цены!S$2</f>
        <v>-0.10490566037735841</v>
      </c>
      <c r="U32">
        <f>(Цены!T32-Цены!T$2)/Цены!T$2</f>
        <v>6.8457405986185618E-2</v>
      </c>
      <c r="V32">
        <f>(Цены!U32-Цены!U$2)/Цены!U$2</f>
        <v>-3.0807660283097418E-2</v>
      </c>
      <c r="W32">
        <f>(Цены!V32-Цены!V$2)/Цены!V$2</f>
        <v>-5.622119815668198E-2</v>
      </c>
      <c r="X32">
        <f>(Цены!W32-Цены!W$2)/Цены!W$2</f>
        <v>4.5228305561566678E-2</v>
      </c>
      <c r="Y32">
        <f>(Цены!X32-Цены!X$2)/Цены!X$2</f>
        <v>7.7048114434330253E-2</v>
      </c>
      <c r="Z32">
        <f>(Цены!Y32-Цены!Y$2)/Цены!Y$2</f>
        <v>-4.4384667114996675E-2</v>
      </c>
      <c r="AA32">
        <f>(Цены!Z32-Цены!Z$2)/Цены!Z$2</f>
        <v>6.4553314121037556E-2</v>
      </c>
      <c r="AB32">
        <f>(Цены!AA32-Цены!AA$2)/Цены!AA$2</f>
        <v>-5.0136425648021794E-2</v>
      </c>
      <c r="AC32">
        <f>(Цены!AB32-Цены!AB$2)/Цены!AB$2</f>
        <v>4.0240240240240241E-2</v>
      </c>
      <c r="AD32">
        <f>(Цены!AC32-Цены!AC$2)/Цены!AC$2</f>
        <v>-3.0562937907707165E-2</v>
      </c>
      <c r="AE32">
        <f>(Цены!AD32-Цены!AD$2)/Цены!AD$2</f>
        <v>5.3688823959094155E-2</v>
      </c>
      <c r="AF32">
        <f>(Цены!AE32-Цены!AE$2)/Цены!AE$2</f>
        <v>7.5332348596750365E-2</v>
      </c>
      <c r="AG32">
        <f>(Цены!AF32-Цены!AF$2)/Цены!AF$2</f>
        <v>-2.2529069767441887E-2</v>
      </c>
      <c r="AH32">
        <f>(Цены!AG32-Цены!AG$2)/Цены!AG$2</f>
        <v>6.573069559668164E-2</v>
      </c>
      <c r="AI32">
        <f>(Цены!AH32-Цены!AH$2)/Цены!AH$2</f>
        <v>-0.10231023102310235</v>
      </c>
      <c r="AJ32">
        <f>(Цены!AI32-Цены!AI$2)/Цены!AI$2</f>
        <v>-8.8093599449414958E-2</v>
      </c>
      <c r="AK32">
        <f>(Цены!AJ32-Цены!AJ$2)/Цены!AJ$2</f>
        <v>1.6651031894934335E-2</v>
      </c>
      <c r="AL32">
        <f>(Цены!AK32-Цены!AK$2)/Цены!AK$2</f>
        <v>-1.1717249327698968E-2</v>
      </c>
      <c r="AM32">
        <f>(Цены!AL32-Цены!AL$2)/Цены!AL$2</f>
        <v>-6.9196428571428575E-2</v>
      </c>
      <c r="AN32">
        <f>(Цены!AM32-Цены!AM$2)/Цены!AM$2</f>
        <v>1.643835616438356E-2</v>
      </c>
      <c r="AO32">
        <f>(Цены!AN32-Цены!AN$2)/Цены!AN$2</f>
        <v>-1.2753623188405797E-2</v>
      </c>
      <c r="AP32">
        <f>(Цены!AO32-Цены!AO$2)/Цены!AO$2</f>
        <v>-1.465201465201473E-2</v>
      </c>
      <c r="AQ32">
        <f>(Цены!AP32-Цены!AP$2)/Цены!AP$2</f>
        <v>-1.834862385321101E-2</v>
      </c>
      <c r="AR32">
        <f>(Цены!AQ32-Цены!AQ$2)/Цены!AQ$2</f>
        <v>-5.4766734279918863E-2</v>
      </c>
      <c r="AS32">
        <f>(Цены!AR32-Цены!AR$2)/Цены!AR$2</f>
        <v>-5.0695012264922346E-2</v>
      </c>
      <c r="AT32">
        <f>(Цены!AS32-Цены!AS$2)/Цены!AS$2</f>
        <v>-1.5444015444015391E-2</v>
      </c>
      <c r="AU32">
        <f>(Цены!AT32-Цены!AT$2)/Цены!AT$2</f>
        <v>6.9637883008356613E-3</v>
      </c>
      <c r="AV32">
        <f>(Цены!AU32-Цены!AU$2)/Цены!AU$2</f>
        <v>5.8174523570712108E-2</v>
      </c>
      <c r="AW32">
        <f>(Цены!AV32-Цены!AV$2)/Цены!AV$2</f>
        <v>9.708842948371034E-2</v>
      </c>
      <c r="AX32">
        <f>(Цены!AW32-Цены!AW$2)/Цены!AW$2</f>
        <v>-9.6666666666666748E-2</v>
      </c>
      <c r="AY32">
        <f>(Цены!AX32-Цены!AX$2)/Цены!AX$2</f>
        <v>0.16244411326378538</v>
      </c>
    </row>
    <row r="33" spans="1:51" x14ac:dyDescent="0.2">
      <c r="A33" s="1" t="s">
        <v>98</v>
      </c>
      <c r="B33" s="2">
        <v>31</v>
      </c>
      <c r="C33">
        <f>(Цены!B33-Цены!B$2)/Цены!B$2</f>
        <v>2.7367477604192014E-2</v>
      </c>
      <c r="D33">
        <f>(Цены!C33-Цены!C$2)/Цены!C$2</f>
        <v>-2.2869955156950648E-2</v>
      </c>
      <c r="E33">
        <f>(Цены!D33-Цены!D$2)/Цены!D$2</f>
        <v>1.9148050506452196E-2</v>
      </c>
      <c r="F33">
        <f>(Цены!E33-Цены!E$2)/Цены!E$2</f>
        <v>6.6258282285285658E-2</v>
      </c>
      <c r="G33">
        <f>(Цены!F33-Цены!F$2)/Цены!F$2</f>
        <v>7.18232044198895E-2</v>
      </c>
      <c r="H33">
        <f>(Цены!G33-Цены!G$2)/Цены!G$2</f>
        <v>0.135404060777195</v>
      </c>
      <c r="I33">
        <f>(Цены!H33-Цены!H$2)/Цены!H$2</f>
        <v>-1.5555555555555498E-2</v>
      </c>
      <c r="J33">
        <f>(Цены!I33-Цены!I$2)/Цены!I$2</f>
        <v>1.2800819252432156E-3</v>
      </c>
      <c r="K33">
        <f>(Цены!J33-Цены!J$2)/Цены!J$2</f>
        <v>1.1346444780635401E-2</v>
      </c>
      <c r="L33">
        <f>(Цены!K33-Цены!K$2)/Цены!K$2</f>
        <v>8.1050390347764401E-2</v>
      </c>
      <c r="M33">
        <f>(Цены!L33-Цены!L$2)/Цены!L$2</f>
        <v>4.3983928949037854E-2</v>
      </c>
      <c r="N33">
        <f>(Цены!M33-Цены!M$2)/Цены!M$2</f>
        <v>-1.4512785072563887E-2</v>
      </c>
      <c r="O33">
        <f>(Цены!N33-Цены!N$2)/Цены!N$2</f>
        <v>-1.3221259084143165E-2</v>
      </c>
      <c r="P33">
        <f>(Цены!O33-Цены!O$2)/Цены!O$2</f>
        <v>6.307106598984781E-2</v>
      </c>
      <c r="Q33">
        <f>(Цены!P33-Цены!P$2)/Цены!P$2</f>
        <v>0.10358874878758474</v>
      </c>
      <c r="R33">
        <f>(Цены!Q33-Цены!Q$2)/Цены!Q$2</f>
        <v>2.0626780626780652E-2</v>
      </c>
      <c r="S33">
        <f>(Цены!R33-Цены!R$2)/Цены!R$2</f>
        <v>6.8172399502693687E-2</v>
      </c>
      <c r="T33">
        <f>(Цены!S33-Цены!S$2)/Цены!S$2</f>
        <v>-0.10849056603773581</v>
      </c>
      <c r="U33">
        <f>(Цены!T33-Цены!T$2)/Цены!T$2</f>
        <v>4.8810437452033652E-2</v>
      </c>
      <c r="V33">
        <f>(Цены!U33-Цены!U$2)/Цены!U$2</f>
        <v>-3.4554537885095757E-2</v>
      </c>
      <c r="W33">
        <f>(Цены!V33-Цены!V$2)/Цены!V$2</f>
        <v>-5.9907834101382521E-2</v>
      </c>
      <c r="X33">
        <f>(Цены!W33-Цены!W$2)/Цены!W$2</f>
        <v>5.7346894611555906E-2</v>
      </c>
      <c r="Y33">
        <f>(Цены!X33-Цены!X$2)/Цены!X$2</f>
        <v>7.8673602080624142E-2</v>
      </c>
      <c r="Z33">
        <f>(Цены!Y33-Цены!Y$2)/Цены!Y$2</f>
        <v>-5.5010087424344378E-2</v>
      </c>
      <c r="AA33">
        <f>(Цены!Z33-Цены!Z$2)/Цены!Z$2</f>
        <v>5.533141210374655E-2</v>
      </c>
      <c r="AB33">
        <f>(Цены!AA33-Цены!AA$2)/Цены!AA$2</f>
        <v>-3.6152796725784329E-2</v>
      </c>
      <c r="AC33">
        <f>(Цены!AB33-Цены!AB$2)/Цены!AB$2</f>
        <v>3.903903903903904E-2</v>
      </c>
      <c r="AD33">
        <f>(Цены!AC33-Цены!AC$2)/Цены!AC$2</f>
        <v>-3.5274220826286548E-2</v>
      </c>
      <c r="AE33">
        <f>(Цены!AD33-Цены!AD$2)/Цены!AD$2</f>
        <v>4.1271000730460188E-2</v>
      </c>
      <c r="AF33">
        <f>(Цены!AE33-Цены!AE$2)/Цены!AE$2</f>
        <v>4.5790251107828653E-2</v>
      </c>
      <c r="AG33">
        <f>(Цены!AF33-Цены!AF$2)/Цены!AF$2</f>
        <v>-2.8100775193798503E-2</v>
      </c>
      <c r="AH33">
        <f>(Цены!AG33-Цены!AG$2)/Цены!AG$2</f>
        <v>5.9349074664964981E-2</v>
      </c>
      <c r="AI33">
        <f>(Цены!AH33-Цены!AH$2)/Цены!AH$2</f>
        <v>-9.4471947194719491E-2</v>
      </c>
      <c r="AJ33">
        <f>(Цены!AI33-Цены!AI$2)/Цены!AI$2</f>
        <v>-9.1534755677907781E-2</v>
      </c>
      <c r="AK33">
        <f>(Цены!AJ33-Цены!AJ$2)/Цены!AJ$2</f>
        <v>2.6500938086303941E-2</v>
      </c>
      <c r="AL33">
        <f>(Цены!AK33-Цены!AK$2)/Цены!AK$2</f>
        <v>-2.1705724164425743E-2</v>
      </c>
      <c r="AM33">
        <f>(Цены!AL33-Цены!AL$2)/Цены!AL$2</f>
        <v>-6.2946428571428542E-2</v>
      </c>
      <c r="AN33">
        <f>(Цены!AM33-Цены!AM$2)/Цены!AM$2</f>
        <v>1.3242009132420091E-2</v>
      </c>
      <c r="AO33">
        <f>(Цены!AN33-Цены!AN$2)/Цены!AN$2</f>
        <v>-1.9710144927536231E-2</v>
      </c>
      <c r="AP33">
        <f>(Цены!AO33-Цены!AO$2)/Цены!AO$2</f>
        <v>-2.0146520146520172E-2</v>
      </c>
      <c r="AQ33">
        <f>(Цены!AP33-Цены!AP$2)/Цены!AP$2</f>
        <v>-2.7522935779816515E-2</v>
      </c>
      <c r="AR33">
        <f>(Цены!AQ33-Цены!AQ$2)/Цены!AQ$2</f>
        <v>-2.434077079107505E-2</v>
      </c>
      <c r="AS33">
        <f>(Цены!AR33-Цены!AR$2)/Цены!AR$2</f>
        <v>-6.0506950122649152E-2</v>
      </c>
      <c r="AT33">
        <f>(Цены!AS33-Цены!AS$2)/Цены!AS$2</f>
        <v>-1.64092664092663E-2</v>
      </c>
      <c r="AU33">
        <f>(Цены!AT33-Цены!AT$2)/Цены!AT$2</f>
        <v>5.5710306406685289E-3</v>
      </c>
      <c r="AV33">
        <f>(Цены!AU33-Цены!AU$2)/Цены!AU$2</f>
        <v>5.9177532597793292E-2</v>
      </c>
      <c r="AW33">
        <f>(Цены!AV33-Цены!AV$2)/Цены!AV$2</f>
        <v>0.14027492152830387</v>
      </c>
      <c r="AX33">
        <f>(Цены!AW33-Цены!AW$2)/Цены!AW$2</f>
        <v>-8.2222222222222294E-2</v>
      </c>
      <c r="AY33">
        <f>(Цены!AX33-Цены!AX$2)/Цены!AX$2</f>
        <v>0.14456035767511177</v>
      </c>
    </row>
    <row r="34" spans="1:51" x14ac:dyDescent="0.2">
      <c r="A34" s="1" t="s">
        <v>99</v>
      </c>
      <c r="B34" s="2">
        <v>32</v>
      </c>
      <c r="C34">
        <f>(Цены!B34-Цены!B$2)/Цены!B$2</f>
        <v>2.7642572223430157E-2</v>
      </c>
      <c r="D34">
        <f>(Цены!C34-Цены!C$2)/Цены!C$2</f>
        <v>-2.9551569506726473E-2</v>
      </c>
      <c r="E34">
        <f>(Цены!D34-Цены!D$2)/Цены!D$2</f>
        <v>1.325100596642171E-2</v>
      </c>
      <c r="F34">
        <f>(Цены!E34-Цены!E$2)/Цены!E$2</f>
        <v>6.263282910363796E-2</v>
      </c>
      <c r="G34">
        <f>(Цены!F34-Цены!F$2)/Цены!F$2</f>
        <v>7.2191528545119704E-2</v>
      </c>
      <c r="H34">
        <f>(Цены!G34-Цены!G$2)/Цены!G$2</f>
        <v>0.14024472233427451</v>
      </c>
      <c r="I34">
        <f>(Цены!H34-Цены!H$2)/Цены!H$2</f>
        <v>1.5384615384615968E-3</v>
      </c>
      <c r="J34">
        <f>(Цены!I34-Цены!I$2)/Цены!I$2</f>
        <v>8.9605734767025085E-3</v>
      </c>
      <c r="K34">
        <f>(Цены!J34-Цены!J$2)/Цены!J$2</f>
        <v>1.059001512859304E-2</v>
      </c>
      <c r="L34">
        <f>(Цены!K34-Цены!K$2)/Цены!K$2</f>
        <v>7.8921220723917704E-2</v>
      </c>
      <c r="M34">
        <f>(Цены!L34-Цены!L$2)/Цены!L$2</f>
        <v>6.3649820257982659E-2</v>
      </c>
      <c r="N34">
        <f>(Цены!M34-Цены!M$2)/Цены!M$2</f>
        <v>-1.1575673807878252E-2</v>
      </c>
      <c r="O34">
        <f>(Цены!N34-Цены!N$2)/Цены!N$2</f>
        <v>-3.1608440591892127E-2</v>
      </c>
      <c r="P34">
        <f>(Цены!O34-Цены!O$2)/Цены!O$2</f>
        <v>6.59898477157361E-2</v>
      </c>
      <c r="Q34">
        <f>(Цены!P34-Цены!P$2)/Цены!P$2</f>
        <v>0.11341739411574518</v>
      </c>
      <c r="R34">
        <f>(Цены!Q34-Цены!Q$2)/Цены!Q$2</f>
        <v>4.2735042735042736E-2</v>
      </c>
      <c r="S34">
        <f>(Цены!R34-Цены!R$2)/Цены!R$2</f>
        <v>7.0555325321176865E-2</v>
      </c>
      <c r="T34">
        <f>(Цены!S34-Цены!S$2)/Цены!S$2</f>
        <v>-0.1167924528301887</v>
      </c>
      <c r="U34">
        <f>(Цены!T34-Цены!T$2)/Цены!T$2</f>
        <v>8.9792785878741274E-2</v>
      </c>
      <c r="V34">
        <f>(Цены!U34-Цены!U$2)/Цены!U$2</f>
        <v>-3.996669442131557E-2</v>
      </c>
      <c r="W34">
        <f>(Цены!V34-Цены!V$2)/Цены!V$2</f>
        <v>-5.806451612903217E-2</v>
      </c>
      <c r="X34">
        <f>(Цены!W34-Цены!W$2)/Цены!W$2</f>
        <v>6.4596407703960163E-2</v>
      </c>
      <c r="Y34">
        <f>(Цены!X34-Цены!X$2)/Цены!X$2</f>
        <v>8.2574772431729435E-2</v>
      </c>
      <c r="Z34">
        <f>(Цены!Y34-Цены!Y$2)/Цены!Y$2</f>
        <v>-5.5413584398117027E-2</v>
      </c>
      <c r="AA34">
        <f>(Цены!Z34-Цены!Z$2)/Цены!Z$2</f>
        <v>6.5994236311239282E-2</v>
      </c>
      <c r="AB34">
        <f>(Цены!AA34-Цены!AA$2)/Цены!AA$2</f>
        <v>-1.091405184174621E-2</v>
      </c>
      <c r="AC34">
        <f>(Цены!AB34-Цены!AB$2)/Цены!AB$2</f>
        <v>3.3033033033033031E-2</v>
      </c>
      <c r="AD34">
        <f>(Цены!AC34-Цены!AC$2)/Цены!AC$2</f>
        <v>-3.3099782556172963E-2</v>
      </c>
      <c r="AE34">
        <f>(Цены!AD34-Цены!AD$2)/Цены!AD$2</f>
        <v>5.5880204528853186E-2</v>
      </c>
      <c r="AF34">
        <f>(Цены!AE34-Цены!AE$2)/Цены!AE$2</f>
        <v>0.12998522895125553</v>
      </c>
      <c r="AG34">
        <f>(Цены!AF34-Цены!AF$2)/Цены!AF$2</f>
        <v>2.9069767441860187E-3</v>
      </c>
      <c r="AH34">
        <f>(Цены!AG34-Цены!AG$2)/Цены!AG$2</f>
        <v>5.6796426292278282E-2</v>
      </c>
      <c r="AI34">
        <f>(Цены!AH34-Цены!AH$2)/Цены!AH$2</f>
        <v>-8.7458745874587532E-2</v>
      </c>
      <c r="AJ34">
        <f>(Цены!AI34-Цены!AI$2)/Цены!AI$2</f>
        <v>-0.10529938059187884</v>
      </c>
      <c r="AK34">
        <f>(Цены!AJ34-Цены!AJ$2)/Цены!AJ$2</f>
        <v>2.9315196998123828E-2</v>
      </c>
      <c r="AL34">
        <f>(Цены!AK34-Цены!AK$2)/Цены!AK$2</f>
        <v>-3.6880522474068415E-2</v>
      </c>
      <c r="AM34">
        <f>(Цены!AL34-Цены!AL$2)/Цены!AL$2</f>
        <v>-7.3214285714285746E-2</v>
      </c>
      <c r="AN34">
        <f>(Цены!AM34-Цены!AM$2)/Цены!AM$2</f>
        <v>1.3242009132420091E-2</v>
      </c>
      <c r="AO34">
        <f>(Цены!AN34-Цены!AN$2)/Цены!AN$2</f>
        <v>-2.0289855072463767E-2</v>
      </c>
      <c r="AP34">
        <f>(Цены!AO34-Цены!AO$2)/Цены!AO$2</f>
        <v>-2.0146520146520172E-2</v>
      </c>
      <c r="AQ34">
        <f>(Цены!AP34-Цены!AP$2)/Цены!AP$2</f>
        <v>-2.7522935779816515E-2</v>
      </c>
      <c r="AR34">
        <f>(Цены!AQ34-Цены!AQ$2)/Цены!AQ$2</f>
        <v>-3.8539553752535496E-2</v>
      </c>
      <c r="AS34">
        <f>(Цены!AR34-Цены!AR$2)/Цены!AR$2</f>
        <v>-5.3147996729354045E-2</v>
      </c>
      <c r="AT34">
        <f>(Цены!AS34-Цены!AS$2)/Цены!AS$2</f>
        <v>-1.7374517374517347E-2</v>
      </c>
      <c r="AU34">
        <f>(Цены!AT34-Цены!AT$2)/Цены!AT$2</f>
        <v>-1.3927576601669776E-3</v>
      </c>
      <c r="AV34">
        <f>(Цены!AU34-Цены!AU$2)/Цены!AU$2</f>
        <v>5.9177532597793292E-2</v>
      </c>
      <c r="AW34">
        <f>(Цены!AV34-Цены!AV$2)/Цены!AV$2</f>
        <v>0.12035934624959416</v>
      </c>
      <c r="AX34">
        <f>(Цены!AW34-Цены!AW$2)/Цены!AW$2</f>
        <v>-8.8222222222222244E-2</v>
      </c>
      <c r="AY34">
        <f>(Цены!AX34-Цены!AX$2)/Цены!AX$2</f>
        <v>0.22205663189269748</v>
      </c>
    </row>
    <row r="35" spans="1:51" x14ac:dyDescent="0.2">
      <c r="A35" s="1" t="s">
        <v>100</v>
      </c>
      <c r="B35" s="2">
        <v>33</v>
      </c>
      <c r="C35">
        <f>(Цены!B35-Цены!B$2)/Цены!B$2</f>
        <v>6.2783691326089583E-3</v>
      </c>
      <c r="D35">
        <f>(Цены!C35-Цены!C$2)/Цены!C$2</f>
        <v>-5.4035874439461937E-2</v>
      </c>
      <c r="E35">
        <f>(Цены!D35-Цены!D$2)/Цены!D$2</f>
        <v>-7.562092410156619E-3</v>
      </c>
      <c r="F35">
        <f>(Цены!E35-Цены!E$2)/Цены!E$2</f>
        <v>4.0005000625078134E-2</v>
      </c>
      <c r="G35">
        <f>(Цены!F35-Цены!F$2)/Цены!F$2</f>
        <v>4.5580110497237571E-2</v>
      </c>
      <c r="H35">
        <f>(Цены!G35-Цены!G$2)/Цены!G$2</f>
        <v>0.10824257092913808</v>
      </c>
      <c r="I35">
        <f>(Цены!H35-Цены!H$2)/Цены!H$2</f>
        <v>-3.0427350427350446E-2</v>
      </c>
      <c r="J35">
        <f>(Цены!I35-Цены!I$2)/Цены!I$2</f>
        <v>-3.0977982590885817E-2</v>
      </c>
      <c r="K35">
        <f>(Цены!J35-Цены!J$2)/Цены!J$2</f>
        <v>-1.1649016641452414E-2</v>
      </c>
      <c r="L35">
        <f>(Цены!K35-Цены!K$2)/Цены!K$2</f>
        <v>8.161816891412349E-2</v>
      </c>
      <c r="M35">
        <f>(Цены!L35-Цены!L$2)/Цены!L$2</f>
        <v>1.882004652146331E-2</v>
      </c>
      <c r="N35">
        <f>(Цены!M35-Цены!M$2)/Цены!M$2</f>
        <v>-2.0214236351071065E-2</v>
      </c>
      <c r="O35">
        <f>(Цены!N35-Цены!N$2)/Цены!N$2</f>
        <v>-5.700026267402146E-2</v>
      </c>
      <c r="P35">
        <f>(Цены!O35-Цены!O$2)/Цены!O$2</f>
        <v>3.8197969543147116E-2</v>
      </c>
      <c r="Q35">
        <f>(Цены!P35-Цены!P$2)/Цены!P$2</f>
        <v>9.1884901390236071E-2</v>
      </c>
      <c r="R35">
        <f>(Цены!Q35-Цены!Q$2)/Цены!Q$2</f>
        <v>3.6353276353276329E-2</v>
      </c>
      <c r="S35">
        <f>(Цены!R35-Цены!R$2)/Цены!R$2</f>
        <v>5.1595524243680017E-2</v>
      </c>
      <c r="T35">
        <f>(Цены!S35-Цены!S$2)/Цены!S$2</f>
        <v>-0.14509433962264143</v>
      </c>
      <c r="U35">
        <f>(Цены!T35-Цены!T$2)/Цены!T$2</f>
        <v>7.2294704528012177E-2</v>
      </c>
      <c r="V35">
        <f>(Цены!U35-Цены!U$2)/Цены!U$2</f>
        <v>-4.2464612822647796E-2</v>
      </c>
      <c r="W35">
        <f>(Цены!V35-Цены!V$2)/Цены!V$2</f>
        <v>-7.7419354838709667E-2</v>
      </c>
      <c r="X35">
        <f>(Цены!W35-Цены!W$2)/Цены!W$2</f>
        <v>4.7284137632547116E-2</v>
      </c>
      <c r="Y35">
        <f>(Цены!X35-Цены!X$2)/Цены!X$2</f>
        <v>8.0949284785435546E-2</v>
      </c>
      <c r="Z35">
        <f>(Цены!Y35-Цены!Y$2)/Цены!Y$2</f>
        <v>-7.6798924008069994E-2</v>
      </c>
      <c r="AA35">
        <f>(Цены!Z35-Цены!Z$2)/Цены!Z$2</f>
        <v>5.4755043227665758E-2</v>
      </c>
      <c r="AB35">
        <f>(Цены!AA35-Цены!AA$2)/Цены!AA$2</f>
        <v>-1.8417462482946716E-2</v>
      </c>
      <c r="AC35">
        <f>(Цены!AB35-Цены!AB$2)/Цены!AB$2</f>
        <v>1.6216216216216217E-2</v>
      </c>
      <c r="AD35">
        <f>(Цены!AC35-Цены!AC$2)/Цены!AC$2</f>
        <v>-3.1166948538294194E-2</v>
      </c>
      <c r="AE35">
        <f>(Цены!AD35-Цены!AD$2)/Цены!AD$2</f>
        <v>3.94448502556611E-2</v>
      </c>
      <c r="AF35">
        <f>(Цены!AE35-Цены!AE$2)/Цены!AE$2</f>
        <v>0.10192023633677991</v>
      </c>
      <c r="AG35">
        <f>(Цены!AF35-Цены!AF$2)/Цены!AF$2</f>
        <v>-2.9069767441860187E-3</v>
      </c>
      <c r="AH35">
        <f>(Цены!AG35-Цены!AG$2)/Цены!AG$2</f>
        <v>5.743458838544991E-2</v>
      </c>
      <c r="AI35">
        <f>(Цены!AH35-Цены!AH$2)/Цены!AH$2</f>
        <v>-9.6122112211221161E-2</v>
      </c>
      <c r="AJ35">
        <f>(Цены!AI35-Цены!AI$2)/Цены!AI$2</f>
        <v>-0.10529938059187884</v>
      </c>
      <c r="AK35">
        <f>(Цены!AJ35-Цены!AJ$2)/Цены!AJ$2</f>
        <v>3.283302063789869E-2</v>
      </c>
      <c r="AL35">
        <f>(Цены!AK35-Цены!AK$2)/Цены!AK$2</f>
        <v>-5.8202074529389324E-2</v>
      </c>
      <c r="AM35">
        <f>(Цены!AL35-Цены!AL$2)/Цены!AL$2</f>
        <v>-6.8303571428571477E-2</v>
      </c>
      <c r="AN35">
        <f>(Цены!AM35-Цены!AM$2)/Цены!AM$2</f>
        <v>1.8264840182648401E-3</v>
      </c>
      <c r="AO35">
        <f>(Цены!AN35-Цены!AN$2)/Цены!AN$2</f>
        <v>-2.4347826086956521E-2</v>
      </c>
      <c r="AP35">
        <f>(Цены!AO35-Цены!AO$2)/Цены!AO$2</f>
        <v>-2.0146520146520172E-2</v>
      </c>
      <c r="AQ35">
        <f>(Цены!AP35-Цены!AP$2)/Цены!AP$2</f>
        <v>-2.2935779816513763E-2</v>
      </c>
      <c r="AR35">
        <f>(Цены!AQ35-Цены!AQ$2)/Цены!AQ$2</f>
        <v>-4.665314401622718E-2</v>
      </c>
      <c r="AS35">
        <f>(Цены!AR35-Цены!AR$2)/Цены!AR$2</f>
        <v>-6.5412919051512669E-2</v>
      </c>
      <c r="AT35">
        <f>(Цены!AS35-Цены!AS$2)/Цены!AS$2</f>
        <v>-3.1853281853281824E-2</v>
      </c>
      <c r="AU35">
        <f>(Цены!AT35-Цены!AT$2)/Цены!AT$2</f>
        <v>-5.5710306406683745E-3</v>
      </c>
      <c r="AV35">
        <f>(Цены!AU35-Цены!AU$2)/Цены!AU$2</f>
        <v>5.9177532597793292E-2</v>
      </c>
      <c r="AW35">
        <f>(Цены!AV35-Цены!AV$2)/Цены!AV$2</f>
        <v>0.12349821409243421</v>
      </c>
      <c r="AX35">
        <f>(Цены!AW35-Цены!AW$2)/Цены!AW$2</f>
        <v>-9.7777777777777741E-2</v>
      </c>
      <c r="AY35">
        <f>(Цены!AX35-Цены!AX$2)/Цены!AX$2</f>
        <v>0.17436661698956782</v>
      </c>
    </row>
    <row r="36" spans="1:51" x14ac:dyDescent="0.2">
      <c r="A36" s="1" t="s">
        <v>101</v>
      </c>
      <c r="B36" s="2">
        <v>34</v>
      </c>
      <c r="C36">
        <f>(Цены!B36-Цены!B$2)/Цены!B$2</f>
        <v>7.973306947913851E-3</v>
      </c>
      <c r="D36">
        <f>(Цены!C36-Цены!C$2)/Цены!C$2</f>
        <v>-5.6726457399103161E-2</v>
      </c>
      <c r="E36">
        <f>(Цены!D36-Цены!D$2)/Цены!D$2</f>
        <v>-1.2904120993478461E-2</v>
      </c>
      <c r="F36">
        <f>(Цены!E36-Цены!E$2)/Цены!E$2</f>
        <v>4.0005000625078134E-2</v>
      </c>
      <c r="G36">
        <f>(Цены!F36-Цены!F$2)/Цены!F$2</f>
        <v>5.8931860036832415E-2</v>
      </c>
      <c r="H36">
        <f>(Цены!G36-Цены!G$2)/Цены!G$2</f>
        <v>0.1136210837703375</v>
      </c>
      <c r="I36">
        <f>(Цены!H36-Цены!H$2)/Цены!H$2</f>
        <v>-1.931623931623936E-2</v>
      </c>
      <c r="J36">
        <f>(Цены!I36-Цены!I$2)/Цены!I$2</f>
        <v>-1.9457245263696878E-2</v>
      </c>
      <c r="K36">
        <f>(Цены!J36-Цены!J$2)/Цены!J$2</f>
        <v>-1.2102874432677761E-2</v>
      </c>
      <c r="L36">
        <f>(Цены!K36-Цены!K$2)/Цены!K$2</f>
        <v>9.1696238466997898E-2</v>
      </c>
      <c r="M36">
        <f>(Цены!L36-Цены!L$2)/Цены!L$2</f>
        <v>4.4406851342778603E-3</v>
      </c>
      <c r="N36">
        <f>(Цены!M36-Цены!M$2)/Цены!M$2</f>
        <v>-1.9695922598479576E-2</v>
      </c>
      <c r="O36">
        <f>(Цены!N36-Цены!N$2)/Цены!N$2</f>
        <v>-5.7175378688380941E-2</v>
      </c>
      <c r="P36">
        <f>(Цены!O36-Цены!O$2)/Цены!O$2</f>
        <v>4.5685279187817299E-2</v>
      </c>
      <c r="Q36">
        <f>(Цены!P36-Цены!P$2)/Цены!P$2</f>
        <v>0.10248949240219847</v>
      </c>
      <c r="R36">
        <f>(Цены!Q36-Цены!Q$2)/Цены!Q$2</f>
        <v>3.7037037037037035E-2</v>
      </c>
      <c r="S36">
        <f>(Цены!R36-Цены!R$2)/Цены!R$2</f>
        <v>7.9361790302527879E-2</v>
      </c>
      <c r="T36">
        <f>(Цены!S36-Цены!S$2)/Цены!S$2</f>
        <v>-0.14830188679245282</v>
      </c>
      <c r="U36">
        <f>(Цены!T36-Цены!T$2)/Цены!T$2</f>
        <v>9.6239447429009903E-2</v>
      </c>
      <c r="V36">
        <f>(Цены!U36-Цены!U$2)/Цены!U$2</f>
        <v>-3.6219816819317234E-2</v>
      </c>
      <c r="W36">
        <f>(Цены!V36-Цены!V$2)/Цены!V$2</f>
        <v>-7.7419354838709667E-2</v>
      </c>
      <c r="X36">
        <f>(Цены!W36-Цены!W$2)/Цены!W$2</f>
        <v>5.1720406838346687E-2</v>
      </c>
      <c r="Y36">
        <f>(Цены!X36-Цены!X$2)/Цены!X$2</f>
        <v>8.7776332899869955E-2</v>
      </c>
      <c r="Z36">
        <f>(Цены!Y36-Цены!Y$2)/Цены!Y$2</f>
        <v>-6.254203093476797E-2</v>
      </c>
      <c r="AA36">
        <f>(Цены!Z36-Цены!Z$2)/Цены!Z$2</f>
        <v>5.1296829971181672E-2</v>
      </c>
      <c r="AB36">
        <f>(Цены!AA36-Цены!AA$2)/Цены!AA$2</f>
        <v>-2.6603001364256518E-2</v>
      </c>
      <c r="AC36">
        <f>(Цены!AB36-Цены!AB$2)/Цены!AB$2</f>
        <v>3.3033033033033031E-2</v>
      </c>
      <c r="AD36">
        <f>(Цены!AC36-Цены!AC$2)/Цены!AC$2</f>
        <v>-2.8146895385358767E-2</v>
      </c>
      <c r="AE36">
        <f>(Цены!AD36-Цены!AD$2)/Цены!AD$2</f>
        <v>5.3323593864134371E-2</v>
      </c>
      <c r="AF36">
        <f>(Цены!AE36-Цены!AE$2)/Цены!AE$2</f>
        <v>0.10930576070901034</v>
      </c>
      <c r="AG36">
        <f>(Цены!AF36-Цены!AF$2)/Цены!AF$2</f>
        <v>-1.7684108527131811E-2</v>
      </c>
      <c r="AH36">
        <f>(Цены!AG36-Цены!AG$2)/Цены!AG$2</f>
        <v>5.0414805360561622E-2</v>
      </c>
      <c r="AI36">
        <f>(Цены!AH36-Цены!AH$2)/Цены!AH$2</f>
        <v>-6.0231023102310204E-2</v>
      </c>
      <c r="AJ36">
        <f>(Цены!AI36-Цены!AI$2)/Цены!AI$2</f>
        <v>-0.10048176187198893</v>
      </c>
      <c r="AK36">
        <f>(Цены!AJ36-Цены!AJ$2)/Цены!AJ$2</f>
        <v>3.7288930581613505E-2</v>
      </c>
      <c r="AL36">
        <f>(Цены!AK36-Цены!AK$2)/Цены!AK$2</f>
        <v>-1.8248175182481872E-2</v>
      </c>
      <c r="AM36">
        <f>(Цены!AL36-Цены!AL$2)/Цены!AL$2</f>
        <v>-7.9017857142857098E-2</v>
      </c>
      <c r="AN36">
        <f>(Цены!AM36-Цены!AM$2)/Цены!AM$2</f>
        <v>-2.7397260273972603E-3</v>
      </c>
      <c r="AO36">
        <f>(Цены!AN36-Цены!AN$2)/Цены!AN$2</f>
        <v>-3.3623188405797103E-2</v>
      </c>
      <c r="AP36">
        <f>(Цены!AO36-Цены!AO$2)/Цены!AO$2</f>
        <v>-5.4945054945055721E-3</v>
      </c>
      <c r="AQ36">
        <f>(Цены!AP36-Цены!AP$2)/Цены!AP$2</f>
        <v>-1.834862385321101E-2</v>
      </c>
      <c r="AR36">
        <f>(Цены!AQ36-Цены!AQ$2)/Цены!AQ$2</f>
        <v>-5.2738336713995942E-2</v>
      </c>
      <c r="AS36">
        <f>(Цены!AR36-Цены!AR$2)/Цены!AR$2</f>
        <v>-6.0506950122649152E-2</v>
      </c>
      <c r="AT36">
        <f>(Цены!AS36-Цены!AS$2)/Цены!AS$2</f>
        <v>-2.6061776061775954E-2</v>
      </c>
      <c r="AU36">
        <f>(Цены!AT36-Цены!AT$2)/Цены!AT$2</f>
        <v>1.6713091922005586E-2</v>
      </c>
      <c r="AV36">
        <f>(Цены!AU36-Цены!AU$2)/Цены!AU$2</f>
        <v>6.6198595787362022E-2</v>
      </c>
      <c r="AW36">
        <f>(Цены!AV36-Цены!AV$2)/Цены!AV$2</f>
        <v>0.15813399718584262</v>
      </c>
      <c r="AX36">
        <f>(Цены!AW36-Цены!AW$2)/Цены!AW$2</f>
        <v>-9.3777777777777807E-2</v>
      </c>
      <c r="AY36">
        <f>(Цены!AX36-Цены!AX$2)/Цены!AX$2</f>
        <v>0.20715350223546944</v>
      </c>
    </row>
    <row r="37" spans="1:51" x14ac:dyDescent="0.2">
      <c r="A37" s="1" t="s">
        <v>102</v>
      </c>
      <c r="B37" s="2">
        <v>35</v>
      </c>
      <c r="C37">
        <f>(Цены!B37-Цены!B$2)/Цены!B$2</f>
        <v>7.973306947913851E-3</v>
      </c>
      <c r="D37">
        <f>(Цены!C37-Цены!C$2)/Цены!C$2</f>
        <v>-5.6726457399103161E-2</v>
      </c>
      <c r="E37">
        <f>(Цены!D37-Цены!D$2)/Цены!D$2</f>
        <v>-1.2904120993478461E-2</v>
      </c>
      <c r="F37">
        <f>(Цены!E37-Цены!E$2)/Цены!E$2</f>
        <v>4.0005000625078134E-2</v>
      </c>
      <c r="G37">
        <f>(Цены!F37-Цены!F$2)/Цены!F$2</f>
        <v>5.8931860036832415E-2</v>
      </c>
      <c r="H37">
        <f>(Цены!G37-Цены!G$2)/Цены!G$2</f>
        <v>0.1136210837703375</v>
      </c>
      <c r="I37">
        <f>(Цены!H37-Цены!H$2)/Цены!H$2</f>
        <v>-1.931623931623936E-2</v>
      </c>
      <c r="J37">
        <f>(Цены!I37-Цены!I$2)/Цены!I$2</f>
        <v>-1.9457245263696878E-2</v>
      </c>
      <c r="K37">
        <f>(Цены!J37-Цены!J$2)/Цены!J$2</f>
        <v>-1.2102874432677761E-2</v>
      </c>
      <c r="L37">
        <f>(Цены!K37-Цены!K$2)/Цены!K$2</f>
        <v>9.1696238466997898E-2</v>
      </c>
      <c r="M37">
        <f>(Цены!L37-Цены!L$2)/Цены!L$2</f>
        <v>4.4406851342778603E-3</v>
      </c>
      <c r="N37">
        <f>(Цены!M37-Цены!M$2)/Цены!M$2</f>
        <v>-1.9695922598479576E-2</v>
      </c>
      <c r="O37">
        <f>(Цены!N37-Цены!N$2)/Цены!N$2</f>
        <v>-5.7175378688380941E-2</v>
      </c>
      <c r="P37">
        <f>(Цены!O37-Цены!O$2)/Цены!O$2</f>
        <v>4.5685279187817299E-2</v>
      </c>
      <c r="Q37">
        <f>(Цены!P37-Цены!P$2)/Цены!P$2</f>
        <v>0.10248949240219847</v>
      </c>
      <c r="R37">
        <f>(Цены!Q37-Цены!Q$2)/Цены!Q$2</f>
        <v>3.7037037037037035E-2</v>
      </c>
      <c r="S37">
        <f>(Цены!R37-Цены!R$2)/Цены!R$2</f>
        <v>7.9361790302527879E-2</v>
      </c>
      <c r="T37">
        <f>(Цены!S37-Цены!S$2)/Цены!S$2</f>
        <v>-0.14830188679245282</v>
      </c>
      <c r="U37">
        <f>(Цены!T37-Цены!T$2)/Цены!T$2</f>
        <v>9.6239447429009903E-2</v>
      </c>
      <c r="V37">
        <f>(Цены!U37-Цены!U$2)/Цены!U$2</f>
        <v>-3.6219816819317234E-2</v>
      </c>
      <c r="W37">
        <f>(Цены!V37-Цены!V$2)/Цены!V$2</f>
        <v>-7.7419354838709667E-2</v>
      </c>
      <c r="X37">
        <f>(Цены!W37-Цены!W$2)/Цены!W$2</f>
        <v>5.1720406838346687E-2</v>
      </c>
      <c r="Y37">
        <f>(Цены!X37-Цены!X$2)/Цены!X$2</f>
        <v>8.7776332899869955E-2</v>
      </c>
      <c r="Z37">
        <f>(Цены!Y37-Цены!Y$2)/Цены!Y$2</f>
        <v>-6.254203093476797E-2</v>
      </c>
      <c r="AA37">
        <f>(Цены!Z37-Цены!Z$2)/Цены!Z$2</f>
        <v>5.1296829971181672E-2</v>
      </c>
      <c r="AB37">
        <f>(Цены!AA37-Цены!AA$2)/Цены!AA$2</f>
        <v>-2.6603001364256518E-2</v>
      </c>
      <c r="AC37">
        <f>(Цены!AB37-Цены!AB$2)/Цены!AB$2</f>
        <v>3.3033033033033031E-2</v>
      </c>
      <c r="AD37">
        <f>(Цены!AC37-Цены!AC$2)/Цены!AC$2</f>
        <v>-2.8146895385358767E-2</v>
      </c>
      <c r="AE37">
        <f>(Цены!AD37-Цены!AD$2)/Цены!AD$2</f>
        <v>5.3323593864134371E-2</v>
      </c>
      <c r="AF37">
        <f>(Цены!AE37-Цены!AE$2)/Цены!AE$2</f>
        <v>0.10930576070901034</v>
      </c>
      <c r="AG37">
        <f>(Цены!AF37-Цены!AF$2)/Цены!AF$2</f>
        <v>-1.7684108527131811E-2</v>
      </c>
      <c r="AH37">
        <f>(Цены!AG37-Цены!AG$2)/Цены!AG$2</f>
        <v>5.0414805360561622E-2</v>
      </c>
      <c r="AI37">
        <f>(Цены!AH37-Цены!AH$2)/Цены!AH$2</f>
        <v>-6.0231023102310204E-2</v>
      </c>
      <c r="AJ37">
        <f>(Цены!AI37-Цены!AI$2)/Цены!AI$2</f>
        <v>-0.10048176187198893</v>
      </c>
      <c r="AK37">
        <f>(Цены!AJ37-Цены!AJ$2)/Цены!AJ$2</f>
        <v>3.7288930581613505E-2</v>
      </c>
      <c r="AL37">
        <f>(Цены!AK37-Цены!AK$2)/Цены!AK$2</f>
        <v>-1.8248175182481872E-2</v>
      </c>
      <c r="AM37">
        <f>(Цены!AL37-Цены!AL$2)/Цены!AL$2</f>
        <v>-7.9017857142857098E-2</v>
      </c>
      <c r="AN37">
        <f>(Цены!AM37-Цены!AM$2)/Цены!AM$2</f>
        <v>-2.7397260273972603E-3</v>
      </c>
      <c r="AO37">
        <f>(Цены!AN37-Цены!AN$2)/Цены!AN$2</f>
        <v>-3.3623188405797103E-2</v>
      </c>
      <c r="AP37">
        <f>(Цены!AO37-Цены!AO$2)/Цены!AO$2</f>
        <v>-5.4945054945055721E-3</v>
      </c>
      <c r="AQ37">
        <f>(Цены!AP37-Цены!AP$2)/Цены!AP$2</f>
        <v>-1.834862385321101E-2</v>
      </c>
      <c r="AR37">
        <f>(Цены!AQ37-Цены!AQ$2)/Цены!AQ$2</f>
        <v>-5.2738336713995942E-2</v>
      </c>
      <c r="AS37">
        <f>(Цены!AR37-Цены!AR$2)/Цены!AR$2</f>
        <v>-6.0506950122649152E-2</v>
      </c>
      <c r="AT37">
        <f>(Цены!AS37-Цены!AS$2)/Цены!AS$2</f>
        <v>-2.6061776061775954E-2</v>
      </c>
      <c r="AU37">
        <f>(Цены!AT37-Цены!AT$2)/Цены!AT$2</f>
        <v>1.6713091922005586E-2</v>
      </c>
      <c r="AV37">
        <f>(Цены!AU37-Цены!AU$2)/Цены!AU$2</f>
        <v>6.6198595787362022E-2</v>
      </c>
      <c r="AW37">
        <f>(Цены!AV37-Цены!AV$2)/Цены!AV$2</f>
        <v>0.15813399718584262</v>
      </c>
      <c r="AX37">
        <f>(Цены!AW37-Цены!AW$2)/Цены!AW$2</f>
        <v>-9.3777777777777807E-2</v>
      </c>
      <c r="AY37">
        <f>(Цены!AX37-Цены!AX$2)/Цены!AX$2</f>
        <v>0.20715350223546944</v>
      </c>
    </row>
    <row r="38" spans="1:51" x14ac:dyDescent="0.2">
      <c r="A38" s="1" t="s">
        <v>103</v>
      </c>
      <c r="B38" s="2">
        <v>36</v>
      </c>
      <c r="C38">
        <f>(Цены!B38-Цены!B$2)/Цены!B$2</f>
        <v>7.5251689391552983E-3</v>
      </c>
      <c r="D38">
        <f>(Цены!C38-Цены!C$2)/Цены!C$2</f>
        <v>-3.5874439461883408E-2</v>
      </c>
      <c r="E38">
        <f>(Цены!D38-Цены!D$2)/Цены!D$2</f>
        <v>-2.1784376300818555E-2</v>
      </c>
      <c r="F38">
        <f>(Цены!E38-Цены!E$2)/Цены!E$2</f>
        <v>3.512939117389674E-2</v>
      </c>
      <c r="G38">
        <f>(Цены!F38-Цены!F$2)/Цены!F$2</f>
        <v>3.8213627992633517E-2</v>
      </c>
      <c r="H38">
        <f>(Цены!G38-Цены!G$2)/Цены!G$2</f>
        <v>0.10797364528707805</v>
      </c>
      <c r="I38">
        <f>(Цены!H38-Цены!H$2)/Цены!H$2</f>
        <v>-1.2136752136752152E-2</v>
      </c>
      <c r="J38">
        <f>(Цены!I38-Цены!I$2)/Цены!I$2</f>
        <v>-1.561699948796723E-2</v>
      </c>
      <c r="K38">
        <f>(Цены!J38-Цены!J$2)/Цены!J$2</f>
        <v>-9.0771558245083209E-3</v>
      </c>
      <c r="L38">
        <f>(Цены!K38-Цены!K$2)/Цены!K$2</f>
        <v>8.445706174591909E-2</v>
      </c>
      <c r="M38">
        <f>(Цены!L38-Цены!L$2)/Цены!L$2</f>
        <v>-5.7094523155001055E-3</v>
      </c>
      <c r="N38">
        <f>(Цены!M38-Цены!M$2)/Цены!M$2</f>
        <v>-2.2978576364892804E-2</v>
      </c>
      <c r="O38">
        <f>(Цены!N38-Цены!N$2)/Цены!N$2</f>
        <v>-4.3866561597057971E-2</v>
      </c>
      <c r="P38">
        <f>(Цены!O38-Цены!O$2)/Цены!O$2</f>
        <v>4.0609137055837484E-2</v>
      </c>
      <c r="Q38">
        <f>(Цены!P38-Цены!P$2)/Цены!P$2</f>
        <v>0.10578726155835748</v>
      </c>
      <c r="R38">
        <f>(Цены!Q38-Цены!Q$2)/Цены!Q$2</f>
        <v>2.7920227920227952E-2</v>
      </c>
      <c r="S38">
        <f>(Цены!R38-Цены!R$2)/Цены!R$2</f>
        <v>7.8014919187733067E-2</v>
      </c>
      <c r="T38">
        <f>(Цены!S38-Цены!S$2)/Цены!S$2</f>
        <v>-0.15566037735849059</v>
      </c>
      <c r="U38">
        <f>(Цены!T38-Цены!T$2)/Цены!T$2</f>
        <v>8.2118188795088157E-2</v>
      </c>
      <c r="V38">
        <f>(Цены!U38-Цены!U$2)/Цены!U$2</f>
        <v>-3.330557868442964E-2</v>
      </c>
      <c r="W38">
        <f>(Цены!V38-Цены!V$2)/Цены!V$2</f>
        <v>-7.9723502304147487E-2</v>
      </c>
      <c r="X38">
        <f>(Цены!W38-Цены!W$2)/Цены!W$2</f>
        <v>4.3713481930318029E-2</v>
      </c>
      <c r="Y38">
        <f>(Цены!X38-Цены!X$2)/Цены!X$2</f>
        <v>8.4200260078023323E-2</v>
      </c>
      <c r="Z38">
        <f>(Цены!Y38-Цены!Y$2)/Цены!Y$2</f>
        <v>-3.4297242770679325E-2</v>
      </c>
      <c r="AA38">
        <f>(Цены!Z38-Цены!Z$2)/Цены!Z$2</f>
        <v>5.8501440922190319E-2</v>
      </c>
      <c r="AB38">
        <f>(Цены!AA38-Цены!AA$2)/Цены!AA$2</f>
        <v>-1.7394270122782968E-2</v>
      </c>
      <c r="AC38">
        <f>(Цены!AB38-Цены!AB$2)/Цены!AB$2</f>
        <v>2.3423423423423424E-2</v>
      </c>
      <c r="AD38">
        <f>(Цены!AC38-Цены!AC$2)/Цены!AC$2</f>
        <v>2.7784489007006146E-3</v>
      </c>
      <c r="AE38">
        <f>(Цены!AD38-Цены!AD$2)/Цены!AD$2</f>
        <v>4.3462381300219219E-2</v>
      </c>
      <c r="AF38">
        <f>(Цены!AE38-Цены!AE$2)/Цены!AE$2</f>
        <v>0.12112259970457903</v>
      </c>
      <c r="AG38">
        <f>(Цены!AF38-Цены!AF$2)/Цены!AF$2</f>
        <v>-1.0658914728682254E-2</v>
      </c>
      <c r="AH38">
        <f>(Цены!AG38-Цены!AG$2)/Цены!AG$2</f>
        <v>4.0204211869815008E-2</v>
      </c>
      <c r="AI38">
        <f>(Цены!AH38-Цены!AH$2)/Цены!AH$2</f>
        <v>-5.9818481848184814E-2</v>
      </c>
      <c r="AJ38">
        <f>(Цены!AI38-Цены!AI$2)/Цены!AI$2</f>
        <v>-0.11011699931176873</v>
      </c>
      <c r="AK38">
        <f>(Цены!AJ38-Цены!AJ$2)/Цены!AJ$2</f>
        <v>2.3452157598499062E-4</v>
      </c>
      <c r="AL38">
        <f>(Цены!AK38-Цены!AK$2)/Цены!AK$2</f>
        <v>-1.6135228582405015E-2</v>
      </c>
      <c r="AM38">
        <f>(Цены!AL38-Цены!AL$2)/Цены!AL$2</f>
        <v>-8.1696428571428628E-2</v>
      </c>
      <c r="AN38">
        <f>(Цены!AM38-Цены!AM$2)/Цены!AM$2</f>
        <v>-7.7625570776255707E-3</v>
      </c>
      <c r="AO38">
        <f>(Цены!AN38-Цены!AN$2)/Цены!AN$2</f>
        <v>-2.3768115942028985E-2</v>
      </c>
      <c r="AP38">
        <f>(Цены!AO38-Цены!AO$2)/Цены!AO$2</f>
        <v>-1.0989010989011014E-2</v>
      </c>
      <c r="AQ38">
        <f>(Цены!AP38-Цены!AP$2)/Цены!AP$2</f>
        <v>-2.2935779816513763E-2</v>
      </c>
      <c r="AR38">
        <f>(Цены!AQ38-Цены!AQ$2)/Цены!AQ$2</f>
        <v>-5.4766734279918863E-2</v>
      </c>
      <c r="AS38">
        <f>(Цены!AR38-Цены!AR$2)/Цены!AR$2</f>
        <v>-6.2959934587080976E-2</v>
      </c>
      <c r="AT38">
        <f>(Цены!AS38-Цены!AS$2)/Цены!AS$2</f>
        <v>-2.7992277992277912E-2</v>
      </c>
      <c r="AU38">
        <f>(Цены!AT38-Цены!AT$2)/Цены!AT$2</f>
        <v>1.1142061281337058E-2</v>
      </c>
      <c r="AV38">
        <f>(Цены!AU38-Цены!AU$2)/Цены!AU$2</f>
        <v>5.0150451354062188E-2</v>
      </c>
      <c r="AW38">
        <f>(Цены!AV38-Цены!AV$2)/Цены!AV$2</f>
        <v>0.18346141357289752</v>
      </c>
      <c r="AX38">
        <f>(Цены!AW38-Цены!AW$2)/Цены!AW$2</f>
        <v>-8.8444444444444451E-2</v>
      </c>
      <c r="AY38">
        <f>(Цены!AX38-Цены!AX$2)/Цены!AX$2</f>
        <v>0.16244411326378538</v>
      </c>
    </row>
    <row r="39" spans="1:51" x14ac:dyDescent="0.2">
      <c r="A39" s="1" t="s">
        <v>104</v>
      </c>
      <c r="B39" s="2">
        <v>37</v>
      </c>
      <c r="C39">
        <f>(Цены!B39-Цены!B$2)/Цены!B$2</f>
        <v>-1.2867328964355886E-4</v>
      </c>
      <c r="D39">
        <f>(Цены!C39-Цены!C$2)/Цены!C$2</f>
        <v>-4.0358744394618833E-2</v>
      </c>
      <c r="E39">
        <f>(Цены!D39-Цены!D$2)/Цены!D$2</f>
        <v>-3.2884695434993623E-2</v>
      </c>
      <c r="F39">
        <f>(Цены!E39-Цены!E$2)/Цены!E$2</f>
        <v>2.2627828478559819E-2</v>
      </c>
      <c r="G39">
        <f>(Цены!F39-Цены!F$2)/Цены!F$2</f>
        <v>2.7716390423572743E-2</v>
      </c>
      <c r="H39">
        <f>(Цены!G39-Цены!G$2)/Цены!G$2</f>
        <v>9.4258437542019499E-2</v>
      </c>
      <c r="I39">
        <f>(Цены!H39-Цены!H$2)/Цены!H$2</f>
        <v>-6.8376068376068133E-3</v>
      </c>
      <c r="J39">
        <f>(Цены!I39-Цены!I$2)/Цены!I$2</f>
        <v>-7.6804915514592934E-4</v>
      </c>
      <c r="K39">
        <f>(Цены!J39-Цены!J$2)/Цены!J$2</f>
        <v>-2.8668683812405515E-2</v>
      </c>
      <c r="L39">
        <f>(Цены!K39-Цены!K$2)/Цены!K$2</f>
        <v>8.3605393896380373E-2</v>
      </c>
      <c r="M39">
        <f>(Цены!L39-Цены!L$2)/Цены!L$2</f>
        <v>-8.2469866779445976E-3</v>
      </c>
      <c r="N39">
        <f>(Цены!M39-Цены!M$2)/Цены!M$2</f>
        <v>-2.6088458880442138E-2</v>
      </c>
      <c r="O39">
        <f>(Цены!N39-Цены!N$2)/Цены!N$2</f>
        <v>-2.434112599597222E-2</v>
      </c>
      <c r="P39">
        <f>(Цены!O39-Цены!O$2)/Цены!O$2</f>
        <v>2.2715736040609058E-2</v>
      </c>
      <c r="Q39">
        <f>(Цены!P39-Цены!P$2)/Цены!P$2</f>
        <v>9.3501454898157171E-2</v>
      </c>
      <c r="R39">
        <f>(Цены!Q39-Цены!Q$2)/Цены!Q$2</f>
        <v>1.6524216524216557E-2</v>
      </c>
      <c r="S39">
        <f>(Цены!R39-Цены!R$2)/Цены!R$2</f>
        <v>6.2888520513883175E-2</v>
      </c>
      <c r="T39">
        <f>(Цены!S39-Цены!S$2)/Цены!S$2</f>
        <v>-0.15754716981132069</v>
      </c>
      <c r="U39">
        <f>(Цены!T39-Цены!T$2)/Цены!T$2</f>
        <v>9.4244052187260174E-2</v>
      </c>
      <c r="V39">
        <f>(Цены!U39-Цены!U$2)/Цены!U$2</f>
        <v>-4.3297252289758538E-2</v>
      </c>
      <c r="W39">
        <f>(Цены!V39-Цены!V$2)/Цены!V$2</f>
        <v>-8.8479262672810977E-2</v>
      </c>
      <c r="X39">
        <f>(Цены!W39-Цены!W$2)/Цены!W$2</f>
        <v>3.3217918199523841E-2</v>
      </c>
      <c r="Y39">
        <f>(Цены!X39-Цены!X$2)/Цены!X$2</f>
        <v>8.3875162548764481E-2</v>
      </c>
      <c r="Z39">
        <f>(Цены!Y39-Цены!Y$2)/Цены!Y$2</f>
        <v>-4.7478143913920641E-2</v>
      </c>
      <c r="AA39">
        <f>(Цены!Z39-Цены!Z$2)/Цены!Z$2</f>
        <v>5.5619596541786859E-2</v>
      </c>
      <c r="AB39">
        <f>(Цены!AA39-Цены!AA$2)/Цены!AA$2</f>
        <v>-2.0804911323328672E-2</v>
      </c>
      <c r="AC39">
        <f>(Цены!AB39-Цены!AB$2)/Цены!AB$2</f>
        <v>1.3213213213213212E-2</v>
      </c>
      <c r="AD39">
        <f>(Цены!AC39-Цены!AC$2)/Цены!AC$2</f>
        <v>8.57695095433679E-3</v>
      </c>
      <c r="AE39">
        <f>(Цены!AD39-Цены!AD$2)/Цены!AD$2</f>
        <v>3.0679327976625301E-2</v>
      </c>
      <c r="AF39">
        <f>(Цены!AE39-Цены!AE$2)/Цены!AE$2</f>
        <v>0.12998522895125553</v>
      </c>
      <c r="AG39">
        <f>(Цены!AF39-Цены!AF$2)/Цены!AF$2</f>
        <v>-2.1317829457364369E-2</v>
      </c>
      <c r="AH39">
        <f>(Цены!AG39-Цены!AG$2)/Цены!AG$2</f>
        <v>3.2546266751755093E-2</v>
      </c>
      <c r="AI39">
        <f>(Цены!AH39-Цены!AH$2)/Цены!AH$2</f>
        <v>-5.1567656765676567E-2</v>
      </c>
      <c r="AJ39">
        <f>(Цены!AI39-Цены!AI$2)/Цены!AI$2</f>
        <v>-0.12388162422573978</v>
      </c>
      <c r="AK39">
        <f>(Цены!AJ39-Цены!AJ$2)/Цены!AJ$2</f>
        <v>-1.9699812382739212E-2</v>
      </c>
      <c r="AL39">
        <f>(Цены!AK39-Цены!AK$2)/Цены!AK$2</f>
        <v>-1.6519400691509853E-2</v>
      </c>
      <c r="AM39">
        <f>(Цены!AL39-Цены!AL$2)/Цены!AL$2</f>
        <v>-8.7499999999999981E-2</v>
      </c>
      <c r="AN39">
        <f>(Цены!AM39-Цены!AM$2)/Цены!AM$2</f>
        <v>-7.3059360730593605E-3</v>
      </c>
      <c r="AO39">
        <f>(Цены!AN39-Цены!AN$2)/Цены!AN$2</f>
        <v>-2.4347826086956521E-2</v>
      </c>
      <c r="AP39">
        <f>(Цены!AO39-Цены!AO$2)/Цены!AO$2</f>
        <v>-5.4945054945055721E-3</v>
      </c>
      <c r="AQ39">
        <f>(Цены!AP39-Цены!AP$2)/Цены!AP$2</f>
        <v>-3.669724770642202E-2</v>
      </c>
      <c r="AR39">
        <f>(Цены!AQ39-Цены!AQ$2)/Цены!AQ$2</f>
        <v>-2.231237322515213E-2</v>
      </c>
      <c r="AS39">
        <f>(Цены!AR39-Цены!AR$2)/Цены!AR$2</f>
        <v>-6.6230580539656539E-2</v>
      </c>
      <c r="AT39">
        <f>(Цены!AS39-Цены!AS$2)/Цены!AS$2</f>
        <v>-2.7992277992277912E-2</v>
      </c>
      <c r="AU39">
        <f>(Цены!AT39-Цены!AT$2)/Цены!AT$2</f>
        <v>6.9637883008356613E-3</v>
      </c>
      <c r="AV39">
        <f>(Цены!AU39-Цены!AU$2)/Цены!AU$2</f>
        <v>4.1123370110330938E-2</v>
      </c>
      <c r="AW39">
        <f>(Цены!AV39-Цены!AV$2)/Цены!AV$2</f>
        <v>0.1900638597250785</v>
      </c>
      <c r="AX39">
        <f>(Цены!AW39-Цены!AW$2)/Цены!AW$2</f>
        <v>-8.4444444444444516E-2</v>
      </c>
      <c r="AY39">
        <f>(Цены!AX39-Цены!AX$2)/Цены!AX$2</f>
        <v>0.18628912071535023</v>
      </c>
    </row>
    <row r="40" spans="1:51" x14ac:dyDescent="0.2">
      <c r="A40" s="1" t="s">
        <v>105</v>
      </c>
      <c r="B40" s="2">
        <v>38</v>
      </c>
      <c r="C40">
        <f>(Цены!B40-Цены!B$2)/Цены!B$2</f>
        <v>-7.2057042200401027E-3</v>
      </c>
      <c r="D40">
        <f>(Цены!C40-Цены!C$2)/Цены!C$2</f>
        <v>-6.1165919282511153E-2</v>
      </c>
      <c r="E40">
        <f>(Цены!D40-Цены!D$2)/Цены!D$2</f>
        <v>-4.4470653531289005E-2</v>
      </c>
      <c r="F40">
        <f>(Цены!E40-Цены!E$2)/Цены!E$2</f>
        <v>1.3876734591823979E-2</v>
      </c>
      <c r="G40">
        <f>(Цены!F40-Цены!F$2)/Цены!F$2</f>
        <v>1.8968692449355434E-2</v>
      </c>
      <c r="H40">
        <f>(Цены!G40-Цены!G$2)/Цены!G$2</f>
        <v>8.1081081081081016E-2</v>
      </c>
      <c r="I40">
        <f>(Цены!H40-Цены!H$2)/Цены!H$2</f>
        <v>-3.384615384615379E-2</v>
      </c>
      <c r="J40">
        <f>(Цены!I40-Цены!I$2)/Цены!I$2</f>
        <v>1.8689196108550948E-2</v>
      </c>
      <c r="K40">
        <f>(Цены!J40-Цены!J$2)/Цены!J$2</f>
        <v>-1.6641452344931921E-2</v>
      </c>
      <c r="L40">
        <f>(Цены!K40-Цены!K$2)/Цены!K$2</f>
        <v>8.8005677785663594E-2</v>
      </c>
      <c r="M40">
        <f>(Цены!L40-Цены!L$2)/Цены!L$2</f>
        <v>-4.017762740537111E-3</v>
      </c>
      <c r="N40">
        <f>(Цены!M40-Цены!M$2)/Цены!M$2</f>
        <v>-2.2633033863165015E-2</v>
      </c>
      <c r="O40">
        <f>(Цены!N40-Цены!N$2)/Цены!N$2</f>
        <v>-2.6530076175466134E-2</v>
      </c>
      <c r="P40">
        <f>(Цены!O40-Цены!O$2)/Цены!O$2</f>
        <v>2.7918781725888294E-2</v>
      </c>
      <c r="Q40">
        <f>(Цены!P40-Цены!P$2)/Цены!P$2</f>
        <v>9.0009699321047437E-2</v>
      </c>
      <c r="R40">
        <f>(Цены!Q40-Цены!Q$2)/Цены!Q$2</f>
        <v>1.538461538461532E-2</v>
      </c>
      <c r="S40">
        <f>(Цены!R40-Цены!R$2)/Цены!R$2</f>
        <v>7.6875259013675964E-2</v>
      </c>
      <c r="T40">
        <f>(Цены!S40-Цены!S$2)/Цены!S$2</f>
        <v>-0.16018867924528299</v>
      </c>
      <c r="U40">
        <f>(Цены!T40-Цены!T$2)/Цены!T$2</f>
        <v>5.2340752110514144E-2</v>
      </c>
      <c r="V40">
        <f>(Цены!U40-Цены!U$2)/Цены!U$2</f>
        <v>-4.4129891756869273E-2</v>
      </c>
      <c r="W40">
        <f>(Цены!V40-Цены!V$2)/Цены!V$2</f>
        <v>-9.6774193548386997E-2</v>
      </c>
      <c r="X40">
        <f>(Цены!W40-Цены!W$2)/Цены!W$2</f>
        <v>4.3821683618264412E-2</v>
      </c>
      <c r="Y40">
        <f>(Цены!X40-Цены!X$2)/Цены!X$2</f>
        <v>9.5578673602080541E-2</v>
      </c>
      <c r="Z40">
        <f>(Цены!Y40-Цены!Y$2)/Цены!Y$2</f>
        <v>-7.0342972427706804E-2</v>
      </c>
      <c r="AA40">
        <f>(Цены!Z40-Цены!Z$2)/Цены!Z$2</f>
        <v>4.3804034582132702E-2</v>
      </c>
      <c r="AB40">
        <f>(Цены!AA40-Цены!AA$2)/Цены!AA$2</f>
        <v>-4.1609822646657538E-2</v>
      </c>
      <c r="AC40">
        <f>(Цены!AB40-Цены!AB$2)/Цены!AB$2</f>
        <v>1.0210210210210209E-2</v>
      </c>
      <c r="AD40">
        <f>(Цены!AC40-Цены!AC$2)/Цены!AC$2</f>
        <v>-7.6105339453974054E-3</v>
      </c>
      <c r="AE40">
        <f>(Цены!AD40-Цены!AD$2)/Цены!AD$2</f>
        <v>7.6698319941562844E-3</v>
      </c>
      <c r="AF40">
        <f>(Цены!AE40-Цены!AE$2)/Цены!AE$2</f>
        <v>0.13737075332348597</v>
      </c>
      <c r="AG40">
        <f>(Цены!AF40-Цены!AF$2)/Цены!AF$2</f>
        <v>-2.3498062015503848E-2</v>
      </c>
      <c r="AH40">
        <f>(Цены!AG40-Цены!AG$2)/Цены!AG$2</f>
        <v>4.0842373962986636E-2</v>
      </c>
      <c r="AI40">
        <f>(Цены!AH40-Цены!AH$2)/Цены!AH$2</f>
        <v>-0.11427392739273934</v>
      </c>
      <c r="AJ40">
        <f>(Цены!AI40-Цены!AI$2)/Цены!AI$2</f>
        <v>-9.1534755677907781E-2</v>
      </c>
      <c r="AK40">
        <f>(Цены!AJ40-Цены!AJ$2)/Цены!AJ$2</f>
        <v>-1.547842401500938E-2</v>
      </c>
      <c r="AL40">
        <f>(Цены!AK40-Цены!AK$2)/Цены!AK$2</f>
        <v>-6.8382635420668594E-2</v>
      </c>
      <c r="AM40">
        <f>(Цены!AL40-Цены!AL$2)/Цены!AL$2</f>
        <v>-4.4642857142857144E-2</v>
      </c>
      <c r="AN40">
        <f>(Цены!AM40-Цены!AM$2)/Цены!AM$2</f>
        <v>-4.7945205479452052E-2</v>
      </c>
      <c r="AO40">
        <f>(Цены!AN40-Цены!AN$2)/Цены!AN$2</f>
        <v>-3.7681159420289857E-2</v>
      </c>
      <c r="AP40">
        <f>(Цены!AO40-Цены!AO$2)/Цены!AO$2</f>
        <v>-9.1575091575091579E-3</v>
      </c>
      <c r="AQ40">
        <f>(Цены!AP40-Цены!AP$2)/Цены!AP$2</f>
        <v>-1.834862385321101E-2</v>
      </c>
      <c r="AR40">
        <f>(Цены!AQ40-Цены!AQ$2)/Цены!AQ$2</f>
        <v>4.0567951318458417E-3</v>
      </c>
      <c r="AS40">
        <f>(Цены!AR40-Цены!AR$2)/Цены!AR$2</f>
        <v>-8.6672117743254243E-2</v>
      </c>
      <c r="AT40">
        <f>(Цены!AS40-Цены!AS$2)/Цены!AS$2</f>
        <v>-3.4749034749034693E-2</v>
      </c>
      <c r="AU40">
        <f>(Цены!AT40-Цены!AT$2)/Цены!AT$2</f>
        <v>-2.6462395543175359E-2</v>
      </c>
      <c r="AV40">
        <f>(Цены!AU40-Цены!AU$2)/Цены!AU$2</f>
        <v>4.1123370110330938E-2</v>
      </c>
      <c r="AW40">
        <f>(Цены!AV40-Цены!AV$2)/Цены!AV$2</f>
        <v>0.18995562290291154</v>
      </c>
      <c r="AX40">
        <f>(Цены!AW40-Цены!AW$2)/Цены!AW$2</f>
        <v>-9.5555555555555644E-2</v>
      </c>
      <c r="AY40">
        <f>(Цены!AX40-Цены!AX$2)/Цены!AX$2</f>
        <v>0.18628912071535023</v>
      </c>
    </row>
    <row r="41" spans="1:51" x14ac:dyDescent="0.2">
      <c r="A41" s="1" t="s">
        <v>106</v>
      </c>
      <c r="B41" s="2">
        <v>39</v>
      </c>
      <c r="C41">
        <f>(Цены!B41-Цены!B$2)/Цены!B$2</f>
        <v>-1.3847908171641311E-2</v>
      </c>
      <c r="D41">
        <f>(Цены!C41-Цены!C$2)/Цены!C$2</f>
        <v>-7.4887892376681559E-2</v>
      </c>
      <c r="E41">
        <f>(Цены!D41-Цены!D$2)/Цены!D$2</f>
        <v>-5.2865269876508789E-2</v>
      </c>
      <c r="F41">
        <f>(Цены!E41-Цены!E$2)/Цены!E$2</f>
        <v>1.1501437679709963E-2</v>
      </c>
      <c r="G41">
        <f>(Цены!F41-Цены!F$2)/Цены!F$2</f>
        <v>1.7587476979742174E-2</v>
      </c>
      <c r="H41">
        <f>(Цены!G41-Цены!G$2)/Цены!G$2</f>
        <v>7.5030254134731675E-2</v>
      </c>
      <c r="I41">
        <f>(Цены!H41-Цены!H$2)/Цены!H$2</f>
        <v>-2.9914529914529916E-2</v>
      </c>
      <c r="J41">
        <f>(Цены!I41-Цены!I$2)/Цены!I$2</f>
        <v>-9.2165898617511521E-3</v>
      </c>
      <c r="K41">
        <f>(Цены!J41-Цены!J$2)/Цены!J$2</f>
        <v>-3.0257186081694403E-2</v>
      </c>
      <c r="L41">
        <f>(Цены!K41-Цены!K$2)/Цены!K$2</f>
        <v>9.8651525904897092E-2</v>
      </c>
      <c r="M41">
        <f>(Цены!L41-Цены!L$2)/Цены!L$2</f>
        <v>-2.0723197293296681E-2</v>
      </c>
      <c r="N41">
        <f>(Цены!M41-Цены!M$2)/Цены!M$2</f>
        <v>-4.1119557705597713E-2</v>
      </c>
      <c r="O41">
        <f>(Цены!N41-Цены!N$2)/Цены!N$2</f>
        <v>-3.248402066368964E-2</v>
      </c>
      <c r="P41">
        <f>(Цены!O41-Цены!O$2)/Цены!O$2</f>
        <v>4.2258883248730873E-2</v>
      </c>
      <c r="Q41">
        <f>(Цены!P41-Цены!P$2)/Цены!P$2</f>
        <v>8.1797607500808306E-2</v>
      </c>
      <c r="R41">
        <f>(Цены!Q41-Цены!Q$2)/Цены!Q$2</f>
        <v>2.2222222222222254E-2</v>
      </c>
      <c r="S41">
        <f>(Цены!R41-Цены!R$2)/Цены!R$2</f>
        <v>-6.2163282221303637E-4</v>
      </c>
      <c r="T41">
        <f>(Цены!S41-Цены!S$2)/Цены!S$2</f>
        <v>-0.12999999999999975</v>
      </c>
      <c r="U41">
        <f>(Цены!T41-Цены!T$2)/Цены!T$2</f>
        <v>6.9838833461243241E-2</v>
      </c>
      <c r="V41">
        <f>(Цены!U41-Цены!U$2)/Цены!U$2</f>
        <v>-4.4546211490424648E-2</v>
      </c>
      <c r="W41">
        <f>(Цены!V41-Цены!V$2)/Цены!V$2</f>
        <v>-0.10414746543778793</v>
      </c>
      <c r="X41">
        <f>(Цены!W41-Цены!W$2)/Цены!W$2</f>
        <v>5.7346894611556062E-3</v>
      </c>
      <c r="Y41">
        <f>(Цены!X41-Цены!X$2)/Цены!X$2</f>
        <v>7.8023407022106625E-2</v>
      </c>
      <c r="Z41">
        <f>(Цены!Y41-Цены!Y$2)/Цены!Y$2</f>
        <v>-8.6751849361129785E-2</v>
      </c>
      <c r="AA41">
        <f>(Цены!Z41-Цены!Z$2)/Цены!Z$2</f>
        <v>5.4755043227665758E-2</v>
      </c>
      <c r="AB41">
        <f>(Цены!AA41-Цены!AA$2)/Цены!AA$2</f>
        <v>-4.7407912687585194E-2</v>
      </c>
      <c r="AC41">
        <f>(Цены!AB41-Цены!AB$2)/Цены!AB$2</f>
        <v>1.5615615615615615E-2</v>
      </c>
      <c r="AD41">
        <f>(Цены!AC41-Цены!AC$2)/Цены!AC$2</f>
        <v>-1.0268180719980613E-2</v>
      </c>
      <c r="AE41">
        <f>(Цены!AD41-Цены!AD$2)/Цены!AD$2</f>
        <v>2.264426588750907E-2</v>
      </c>
      <c r="AF41">
        <f>(Цены!AE41-Цены!AE$2)/Цены!AE$2</f>
        <v>0.15066469719350073</v>
      </c>
      <c r="AG41">
        <f>(Цены!AF41-Цены!AF$2)/Цены!AF$2</f>
        <v>-1.8895348837209329E-2</v>
      </c>
      <c r="AH41">
        <f>(Цены!AG41-Цены!AG$2)/Цены!AG$2</f>
        <v>2.6164645820038437E-2</v>
      </c>
      <c r="AI41">
        <f>(Цены!AH41-Цены!AH$2)/Цены!AH$2</f>
        <v>-0.13407590759075907</v>
      </c>
      <c r="AJ41">
        <f>(Цены!AI41-Цены!AI$2)/Цены!AI$2</f>
        <v>-0.10529938059187884</v>
      </c>
      <c r="AK41">
        <f>(Цены!AJ41-Цены!AJ$2)/Цены!AJ$2</f>
        <v>-5.8630393996247651E-3</v>
      </c>
      <c r="AL41">
        <f>(Цены!AK41-Цены!AK$2)/Цены!AK$2</f>
        <v>-9.9692662312716118E-2</v>
      </c>
      <c r="AM41">
        <f>(Цены!AL41-Цены!AL$2)/Цены!AL$2</f>
        <v>-5.8035714285714288E-2</v>
      </c>
      <c r="AN41">
        <f>(Цены!AM41-Цены!AM$2)/Цены!AM$2</f>
        <v>-2.7853881278538814E-2</v>
      </c>
      <c r="AO41">
        <f>(Цены!AN41-Цены!AN$2)/Цены!AN$2</f>
        <v>-4.3478260869565216E-2</v>
      </c>
      <c r="AP41">
        <f>(Цены!AO41-Цены!AO$2)/Цены!AO$2</f>
        <v>-5.4945054945055721E-3</v>
      </c>
      <c r="AQ41">
        <f>(Цены!AP41-Цены!AP$2)/Цены!AP$2</f>
        <v>-2.7522935779816515E-2</v>
      </c>
      <c r="AR41">
        <f>(Цены!AQ41-Цены!AQ$2)/Цены!AQ$2</f>
        <v>3.4482758620689655E-2</v>
      </c>
      <c r="AS41">
        <f>(Цены!AR41-Цены!AR$2)/Цены!AR$2</f>
        <v>-8.8307440719542094E-2</v>
      </c>
      <c r="AT41">
        <f>(Цены!AS41-Цены!AS$2)/Цены!AS$2</f>
        <v>-3.0888030888030781E-2</v>
      </c>
      <c r="AU41">
        <f>(Цены!AT41-Цены!AT$2)/Цены!AT$2</f>
        <v>-3.4818941504178302E-2</v>
      </c>
      <c r="AV41">
        <f>(Цены!AU41-Цены!AU$2)/Цены!AU$2</f>
        <v>3.2096288866599827E-2</v>
      </c>
      <c r="AW41">
        <f>(Цены!AV41-Цены!AV$2)/Цены!AV$2</f>
        <v>0.16895767940253273</v>
      </c>
      <c r="AX41">
        <f>(Цены!AW41-Цены!AW$2)/Цены!AW$2</f>
        <v>-0.10377777777777782</v>
      </c>
      <c r="AY41">
        <f>(Цены!AX41-Цены!AX$2)/Цены!AX$2</f>
        <v>0.15648286140089418</v>
      </c>
    </row>
    <row r="42" spans="1:51" x14ac:dyDescent="0.2">
      <c r="A42" s="1" t="s">
        <v>107</v>
      </c>
      <c r="B42" s="2">
        <v>40</v>
      </c>
      <c r="C42">
        <f>(Цены!B42-Цены!B$2)/Цены!B$2</f>
        <v>-1.4353727310240136E-2</v>
      </c>
      <c r="D42">
        <f>(Цены!C42-Цены!C$2)/Цены!C$2</f>
        <v>-7.623318385650224E-2</v>
      </c>
      <c r="E42">
        <f>(Цены!D42-Цены!D$2)/Цены!D$2</f>
        <v>-5.994172332454549E-2</v>
      </c>
      <c r="F42">
        <f>(Цены!E42-Цены!E$2)/Цены!E$2</f>
        <v>2.287785973246656E-2</v>
      </c>
      <c r="G42">
        <f>(Цены!F42-Цены!F$2)/Цены!F$2</f>
        <v>2.4493554327808472E-2</v>
      </c>
      <c r="H42">
        <f>(Цены!G42-Цены!G$2)/Цены!G$2</f>
        <v>8.2425709291380864E-2</v>
      </c>
      <c r="I42">
        <f>(Цены!H42-Цены!H$2)/Цены!H$2</f>
        <v>-1.8461538461538432E-2</v>
      </c>
      <c r="J42">
        <f>(Цены!I42-Цены!I$2)/Цены!I$2</f>
        <v>-4.0962621607782898E-3</v>
      </c>
      <c r="K42">
        <f>(Цены!J42-Цены!J$2)/Цены!J$2</f>
        <v>-2.2617246596066634E-2</v>
      </c>
      <c r="L42">
        <f>(Цены!K42-Цены!K$2)/Цены!K$2</f>
        <v>0.11383960255500361</v>
      </c>
      <c r="M42">
        <f>(Цены!L42-Цены!L$2)/Цены!L$2</f>
        <v>-2.8970183971241278E-2</v>
      </c>
      <c r="N42">
        <f>(Цены!M42-Цены!M$2)/Цены!M$2</f>
        <v>-4.4402211472010941E-2</v>
      </c>
      <c r="O42">
        <f>(Цены!N42-Цены!N$2)/Цены!N$2</f>
        <v>-5.3060152350932394E-2</v>
      </c>
      <c r="P42">
        <f>(Цены!O42-Цены!O$2)/Цены!O$2</f>
        <v>3.972081218274108E-2</v>
      </c>
      <c r="Q42">
        <f>(Цены!P42-Цены!P$2)/Цены!P$2</f>
        <v>-6.2722276107339079E-3</v>
      </c>
      <c r="R42">
        <f>(Цены!Q42-Цены!Q$2)/Цены!Q$2</f>
        <v>3.7037037037037035E-2</v>
      </c>
      <c r="S42">
        <f>(Цены!R42-Цены!R$2)/Цены!R$2</f>
        <v>-6.6307501036055646E-3</v>
      </c>
      <c r="T42">
        <f>(Цены!S42-Цены!S$2)/Цены!S$2</f>
        <v>-0.1473584905660377</v>
      </c>
      <c r="U42">
        <f>(Цены!T42-Цены!T$2)/Цены!T$2</f>
        <v>7.5057559478127395E-2</v>
      </c>
      <c r="V42">
        <f>(Цены!U42-Цены!U$2)/Цены!U$2</f>
        <v>-3.6219816819317234E-2</v>
      </c>
      <c r="W42">
        <f>(Цены!V42-Цены!V$2)/Цены!V$2</f>
        <v>-0.10645161290322575</v>
      </c>
      <c r="X42">
        <f>(Цены!W42-Цены!W$2)/Цены!W$2</f>
        <v>-2.9322657433456047E-2</v>
      </c>
      <c r="Y42">
        <f>(Цены!X42-Цены!X$2)/Цены!X$2</f>
        <v>8.5825747724317211E-2</v>
      </c>
      <c r="Z42">
        <f>(Цены!Y42-Цены!Y$2)/Цены!Y$2</f>
        <v>-0.10154673839946216</v>
      </c>
      <c r="AA42">
        <f>(Цены!Z42-Цены!Z$2)/Цены!Z$2</f>
        <v>4.6109510086455377E-2</v>
      </c>
      <c r="AB42">
        <f>(Цены!AA42-Цены!AA$2)/Цены!AA$2</f>
        <v>-5.8663028649386051E-2</v>
      </c>
      <c r="AC42">
        <f>(Цены!AB42-Цены!AB$2)/Цены!AB$2</f>
        <v>6.006006006006006E-3</v>
      </c>
      <c r="AD42">
        <f>(Цены!AC42-Цены!AC$2)/Цены!AC$2</f>
        <v>-3.237496979946853E-2</v>
      </c>
      <c r="AE42">
        <f>(Цены!AD42-Цены!AD$2)/Цены!AD$2</f>
        <v>4.0905770635500403E-2</v>
      </c>
      <c r="AF42">
        <f>(Цены!AE42-Цены!AE$2)/Цены!AE$2</f>
        <v>0.14918759231905465</v>
      </c>
      <c r="AG42">
        <f>(Цены!AF42-Цены!AF$2)/Цены!AF$2</f>
        <v>2.9069767441860187E-3</v>
      </c>
      <c r="AH42">
        <f>(Цены!AG42-Цены!AG$2)/Цены!AG$2</f>
        <v>9.5724313975749844E-3</v>
      </c>
      <c r="AI42">
        <f>(Цены!AH42-Цены!AH$2)/Цены!AH$2</f>
        <v>-0.17450495049504955</v>
      </c>
      <c r="AJ42">
        <f>(Цены!AI42-Цены!AI$2)/Цены!AI$2</f>
        <v>-0.1225051617343427</v>
      </c>
      <c r="AK42">
        <f>(Цены!AJ42-Цены!AJ$2)/Цены!AJ$2</f>
        <v>3.7523452157598499E-3</v>
      </c>
      <c r="AL42">
        <f>(Цены!AK42-Цены!AK$2)/Цены!AK$2</f>
        <v>-0.11352285824049177</v>
      </c>
      <c r="AM42">
        <f>(Цены!AL42-Цены!AL$2)/Цены!AL$2</f>
        <v>-6.785714285714281E-2</v>
      </c>
      <c r="AN42">
        <f>(Цены!AM42-Цены!AM$2)/Цены!AM$2</f>
        <v>-2.2374429223744292E-2</v>
      </c>
      <c r="AO42">
        <f>(Цены!AN42-Цены!AN$2)/Цены!AN$2</f>
        <v>-5.5072463768115941E-2</v>
      </c>
      <c r="AP42">
        <f>(Цены!AO42-Цены!AO$2)/Цены!AO$2</f>
        <v>-3.663003663003715E-3</v>
      </c>
      <c r="AQ42">
        <f>(Цены!AP42-Цены!AP$2)/Цены!AP$2</f>
        <v>-4.5871559633027525E-2</v>
      </c>
      <c r="AR42">
        <f>(Цены!AQ42-Цены!AQ$2)/Цены!AQ$2</f>
        <v>1.6227180527383367E-2</v>
      </c>
      <c r="AS42">
        <f>(Цены!AR42-Цены!AR$2)/Цены!AR$2</f>
        <v>-0.11038430089942763</v>
      </c>
      <c r="AT42">
        <f>(Цены!AS42-Цены!AS$2)/Цены!AS$2</f>
        <v>-4.6332046332046309E-2</v>
      </c>
      <c r="AU42">
        <f>(Цены!AT42-Цены!AT$2)/Цены!AT$2</f>
        <v>-4.735376044568234E-2</v>
      </c>
      <c r="AV42">
        <f>(Цены!AU42-Цены!AU$2)/Цены!AU$2</f>
        <v>1.705115346038117E-2</v>
      </c>
      <c r="AW42">
        <f>(Цены!AV42-Цены!AV$2)/Цены!AV$2</f>
        <v>0.13096655482195035</v>
      </c>
      <c r="AX42">
        <f>(Цены!AW42-Цены!AW$2)/Цены!AW$2</f>
        <v>-0.11777777777777776</v>
      </c>
      <c r="AY42">
        <f>(Цены!AX42-Цены!AX$2)/Цены!AX$2</f>
        <v>0.13263785394932937</v>
      </c>
    </row>
    <row r="43" spans="1:51" x14ac:dyDescent="0.2">
      <c r="A43" s="1" t="s">
        <v>108</v>
      </c>
      <c r="B43" s="2">
        <v>41</v>
      </c>
      <c r="C43">
        <f>(Цены!B43-Цены!B$2)/Цены!B$2</f>
        <v>1.1092524969273706E-3</v>
      </c>
      <c r="D43">
        <f>(Цены!C43-Цены!C$2)/Цены!C$2</f>
        <v>-4.8430493273542652E-2</v>
      </c>
      <c r="E43">
        <f>(Цены!D43-Цены!D$2)/Цены!D$2</f>
        <v>-5.0159567087553703E-2</v>
      </c>
      <c r="F43">
        <f>(Цены!E43-Цены!E$2)/Цены!E$2</f>
        <v>3.3129141142642829E-2</v>
      </c>
      <c r="G43">
        <f>(Цены!F43-Цены!F$2)/Цены!F$2</f>
        <v>3.5267034990791896E-2</v>
      </c>
      <c r="H43">
        <f>(Цены!G43-Цены!G$2)/Цены!G$2</f>
        <v>0.13890009412397464</v>
      </c>
      <c r="I43">
        <f>(Цены!H43-Цены!H$2)/Цены!H$2</f>
        <v>1.5384615384615968E-3</v>
      </c>
      <c r="J43">
        <f>(Цены!I43-Цены!I$2)/Цены!I$2</f>
        <v>9.4726062467997956E-3</v>
      </c>
      <c r="K43">
        <f>(Цены!J43-Цены!J$2)/Цены!J$2</f>
        <v>-9.0771558245083209E-3</v>
      </c>
      <c r="L43">
        <f>(Цены!K43-Цены!K$2)/Цены!K$2</f>
        <v>0.10773598296664298</v>
      </c>
      <c r="M43">
        <f>(Цены!L43-Цены!L$2)/Цены!L$2</f>
        <v>-1.7551279340241067E-2</v>
      </c>
      <c r="N43">
        <f>(Цены!M43-Цены!M$2)/Цены!M$2</f>
        <v>-4.2501727712508486E-2</v>
      </c>
      <c r="O43">
        <f>(Цены!N43-Цены!N$2)/Цены!N$2</f>
        <v>-3.3797390771386042E-2</v>
      </c>
      <c r="P43">
        <f>(Цены!O43-Цены!O$2)/Цены!O$2</f>
        <v>3.8578680203045605E-2</v>
      </c>
      <c r="Q43">
        <f>(Цены!P43-Цены!P$2)/Цены!P$2</f>
        <v>2.327837051406306E-3</v>
      </c>
      <c r="R43">
        <f>(Цены!Q43-Цены!Q$2)/Цены!Q$2</f>
        <v>7.2364672364672297E-2</v>
      </c>
      <c r="S43">
        <f>(Цены!R43-Цены!R$2)/Цены!R$2</f>
        <v>-5.3874844591794918E-3</v>
      </c>
      <c r="T43">
        <f>(Цены!S43-Цены!S$2)/Цены!S$2</f>
        <v>-0.10943396226415093</v>
      </c>
      <c r="U43">
        <f>(Цены!T43-Цены!T$2)/Цены!T$2</f>
        <v>8.8411358403683665E-2</v>
      </c>
      <c r="V43">
        <f>(Цены!U43-Цены!U$2)/Цены!U$2</f>
        <v>-4.8709408825978351E-2</v>
      </c>
      <c r="W43">
        <f>(Цены!V43-Цены!V$2)/Цены!V$2</f>
        <v>-9.4009216589861722E-2</v>
      </c>
      <c r="X43">
        <f>(Цены!W43-Цены!W$2)/Цены!W$2</f>
        <v>-1.7095866695520431E-2</v>
      </c>
      <c r="Y43">
        <f>(Цены!X43-Цены!X$2)/Цены!X$2</f>
        <v>8.2249674902470593E-2</v>
      </c>
      <c r="Z43">
        <f>(Цены!Y43-Цены!Y$2)/Цены!Y$2</f>
        <v>-0.10423671822461347</v>
      </c>
      <c r="AA43">
        <f>(Цены!Z43-Цены!Z$2)/Цены!Z$2</f>
        <v>5.072046109510088E-2</v>
      </c>
      <c r="AB43">
        <f>(Цены!AA43-Цены!AA$2)/Цены!AA$2</f>
        <v>-3.8199181446111834E-2</v>
      </c>
      <c r="AC43">
        <f>(Цены!AB43-Цены!AB$2)/Цены!AB$2</f>
        <v>1.3813813813813814E-2</v>
      </c>
      <c r="AD43">
        <f>(Цены!AC43-Цены!AC$2)/Цены!AC$2</f>
        <v>-3.3341386808407779E-2</v>
      </c>
      <c r="AE43">
        <f>(Цены!AD43-Цены!AD$2)/Цены!AD$2</f>
        <v>3.7618699780862019E-2</v>
      </c>
      <c r="AF43">
        <f>(Цены!AE43-Цены!AE$2)/Цены!AE$2</f>
        <v>8.4194977843426888E-2</v>
      </c>
      <c r="AG43">
        <f>(Цены!AF43-Цены!AF$2)/Цены!AF$2</f>
        <v>-7.994186046511656E-3</v>
      </c>
      <c r="AH43">
        <f>(Цены!AG43-Цены!AG$2)/Цены!AG$2</f>
        <v>-4.4671346522015872E-3</v>
      </c>
      <c r="AI43">
        <f>(Цены!AH43-Цены!AH$2)/Цены!AH$2</f>
        <v>-0.14480198019801976</v>
      </c>
      <c r="AJ43">
        <f>(Цены!AI43-Цены!AI$2)/Цены!AI$2</f>
        <v>-0.13282863041982104</v>
      </c>
      <c r="AK43">
        <f>(Цены!AJ43-Цены!AJ$2)/Цены!AJ$2</f>
        <v>7.7392120075046901E-3</v>
      </c>
      <c r="AL43">
        <f>(Цены!AK43-Цены!AK$2)/Цены!AK$2</f>
        <v>-0.11448328851325394</v>
      </c>
      <c r="AM43">
        <f>(Цены!AL43-Цены!AL$2)/Цены!AL$2</f>
        <v>-7.9464285714285765E-2</v>
      </c>
      <c r="AN43">
        <f>(Цены!AM43-Цены!AM$2)/Цены!AM$2</f>
        <v>2.0547945205479451E-2</v>
      </c>
      <c r="AO43">
        <f>(Цены!AN43-Цены!AN$2)/Цены!AN$2</f>
        <v>-4.6956521739130432E-2</v>
      </c>
      <c r="AP43">
        <f>(Цены!AO43-Цены!AO$2)/Цены!AO$2</f>
        <v>1.6483516483516456E-2</v>
      </c>
      <c r="AQ43">
        <f>(Цены!AP43-Цены!AP$2)/Цены!AP$2</f>
        <v>-4.5871559633027525E-2</v>
      </c>
      <c r="AR43">
        <f>(Цены!AQ43-Цены!AQ$2)/Цены!AQ$2</f>
        <v>4.8681541582150101E-2</v>
      </c>
      <c r="AS43">
        <f>(Цены!AR43-Цены!AR$2)/Цены!AR$2</f>
        <v>-9.7301717089125037E-2</v>
      </c>
      <c r="AT43">
        <f>(Цены!AS43-Цены!AS$2)/Цены!AS$2</f>
        <v>-3.7644787644787563E-2</v>
      </c>
      <c r="AU43">
        <f>(Цены!AT43-Цены!AT$2)/Цены!AT$2</f>
        <v>-4.735376044568234E-2</v>
      </c>
      <c r="AV43">
        <f>(Цены!AU43-Цены!AU$2)/Цены!AU$2</f>
        <v>2.8084252758274794E-2</v>
      </c>
      <c r="AW43">
        <f>(Цены!AV43-Цены!AV$2)/Цены!AV$2</f>
        <v>0.13951726377313561</v>
      </c>
      <c r="AX43">
        <f>(Цены!AW43-Цены!AW$2)/Цены!AW$2</f>
        <v>-0.12733333333333338</v>
      </c>
      <c r="AY43">
        <f>(Цены!AX43-Цены!AX$2)/Цены!AX$2</f>
        <v>0.13561847988077497</v>
      </c>
    </row>
    <row r="44" spans="1:51" x14ac:dyDescent="0.2">
      <c r="A44" s="1" t="s">
        <v>109</v>
      </c>
      <c r="B44" s="2">
        <v>42</v>
      </c>
      <c r="C44">
        <f>(Цены!B44-Цены!B$2)/Цены!B$2</f>
        <v>-3.4741788203764925E-3</v>
      </c>
      <c r="D44">
        <f>(Цены!C44-Цены!C$2)/Цены!C$2</f>
        <v>-5.6502242152466339E-2</v>
      </c>
      <c r="E44">
        <f>(Цены!D44-Цены!D$2)/Цены!D$2</f>
        <v>-6.757319272929084E-2</v>
      </c>
      <c r="F44">
        <f>(Цены!E44-Цены!E$2)/Цены!E$2</f>
        <v>3.3879234904363044E-2</v>
      </c>
      <c r="G44">
        <f>(Цены!F44-Цены!F$2)/Цены!F$2</f>
        <v>3.3517495395948435E-2</v>
      </c>
      <c r="H44">
        <f>(Цены!G44-Цены!G$2)/Цены!G$2</f>
        <v>0.11913405943256676</v>
      </c>
      <c r="I44">
        <f>(Цены!H44-Цены!H$2)/Цены!H$2</f>
        <v>-1.3675213675213627E-2</v>
      </c>
      <c r="J44">
        <f>(Цены!I44-Цены!I$2)/Цены!I$2</f>
        <v>-2.5601638504864313E-2</v>
      </c>
      <c r="K44">
        <f>(Цены!J44-Цены!J$2)/Цены!J$2</f>
        <v>6.8078668683819283E-4</v>
      </c>
      <c r="L44">
        <f>(Цены!K44-Цены!K$2)/Цены!K$2</f>
        <v>0.11497515968772179</v>
      </c>
      <c r="M44">
        <f>(Цены!L44-Цены!L$2)/Цены!L$2</f>
        <v>-2.7489955593148659E-2</v>
      </c>
      <c r="N44">
        <f>(Цены!M44-Цены!M$2)/Цены!M$2</f>
        <v>-5.7014512785072566E-2</v>
      </c>
      <c r="O44">
        <f>(Цены!N44-Цены!N$2)/Цены!N$2</f>
        <v>-3.8000175116014265E-2</v>
      </c>
      <c r="P44">
        <f>(Цены!O44-Цены!O$2)/Цены!O$2</f>
        <v>4.4543147208121824E-2</v>
      </c>
      <c r="Q44">
        <f>(Цены!P44-Цены!P$2)/Цены!P$2</f>
        <v>1.8040737148399561E-2</v>
      </c>
      <c r="R44">
        <f>(Цены!Q44-Цены!Q$2)/Цены!Q$2</f>
        <v>0.11680911680911681</v>
      </c>
      <c r="S44">
        <f>(Цены!R44-Цены!R$2)/Цены!R$2</f>
        <v>-4.869457107335314E-3</v>
      </c>
      <c r="T44">
        <f>(Цены!S44-Цены!S$2)/Цены!S$2</f>
        <v>-0.11396226415094333</v>
      </c>
      <c r="U44">
        <f>(Цены!T44-Цены!T$2)/Цены!T$2</f>
        <v>7.9048349961626879E-2</v>
      </c>
      <c r="V44">
        <f>(Цены!U44-Цены!U$2)/Цены!U$2</f>
        <v>-4.8293089092422983E-2</v>
      </c>
      <c r="W44">
        <f>(Цены!V44-Цены!V$2)/Цены!V$2</f>
        <v>-0.11152073732718885</v>
      </c>
      <c r="X44">
        <f>(Цены!W44-Цены!W$2)/Цены!W$2</f>
        <v>-1.980090889417873E-2</v>
      </c>
      <c r="Y44">
        <f>(Цены!X44-Цены!X$2)/Цены!X$2</f>
        <v>9.1027308192457732E-2</v>
      </c>
      <c r="Z44">
        <f>(Цены!Y44-Цены!Y$2)/Цены!Y$2</f>
        <v>-9.7108271687962391E-2</v>
      </c>
      <c r="AA44">
        <f>(Цены!Z44-Цены!Z$2)/Цены!Z$2</f>
        <v>4.8414985590778212E-2</v>
      </c>
      <c r="AB44">
        <f>(Цены!AA44-Цены!AA$2)/Цены!AA$2</f>
        <v>-4.1268758526602889E-2</v>
      </c>
      <c r="AC44">
        <f>(Цены!AB44-Цены!AB$2)/Цены!AB$2</f>
        <v>3.6036036036036037E-3</v>
      </c>
      <c r="AD44">
        <f>(Цены!AC44-Цены!AC$2)/Цены!AC$2</f>
        <v>-3.8898284609809139E-2</v>
      </c>
      <c r="AE44">
        <f>(Цены!AD44-Цены!AD$2)/Цены!AD$2</f>
        <v>4.0540540540540619E-2</v>
      </c>
      <c r="AF44">
        <f>(Цены!AE44-Цены!AE$2)/Цены!AE$2</f>
        <v>0.10930576070901034</v>
      </c>
      <c r="AG44">
        <f>(Цены!AF44-Цены!AF$2)/Цены!AF$2</f>
        <v>-1.5746124031007752E-2</v>
      </c>
      <c r="AH44">
        <f>(Цены!AG44-Цены!AG$2)/Цены!AG$2</f>
        <v>-1.2763241863433313E-2</v>
      </c>
      <c r="AI44">
        <f>(Цены!AH44-Цены!AH$2)/Цены!AH$2</f>
        <v>-0.15264026402640263</v>
      </c>
      <c r="AJ44">
        <f>(Цены!AI44-Цены!AI$2)/Цены!AI$2</f>
        <v>-0.12732278045423259</v>
      </c>
      <c r="AK44">
        <f>(Цены!AJ44-Цены!AJ$2)/Цены!AJ$2</f>
        <v>7.7392120075046901E-3</v>
      </c>
      <c r="AL44">
        <f>(Цены!AK44-Цены!AK$2)/Цены!AK$2</f>
        <v>-0.13369189396849798</v>
      </c>
      <c r="AM44">
        <f>(Цены!AL44-Цены!AL$2)/Цены!AL$2</f>
        <v>-7.7678571428571458E-2</v>
      </c>
      <c r="AN44">
        <f>(Цены!AM44-Цены!AM$2)/Цены!AM$2</f>
        <v>3.5616438356164383E-2</v>
      </c>
      <c r="AO44">
        <f>(Цены!AN44-Цены!AN$2)/Цены!AN$2</f>
        <v>-4.0579710144927533E-2</v>
      </c>
      <c r="AP44">
        <f>(Цены!AO44-Цены!AO$2)/Цены!AO$2</f>
        <v>1.6483516483516456E-2</v>
      </c>
      <c r="AQ44">
        <f>(Цены!AP44-Цены!AP$2)/Цены!AP$2</f>
        <v>-4.5871559633027525E-2</v>
      </c>
      <c r="AR44">
        <f>(Цены!AQ44-Цены!AQ$2)/Цены!AQ$2</f>
        <v>5.2738336713995942E-2</v>
      </c>
      <c r="AS44">
        <f>(Цены!AR44-Цены!AR$2)/Цены!AR$2</f>
        <v>-9.484873262469333E-2</v>
      </c>
      <c r="AT44">
        <f>(Цены!AS44-Цены!AS$2)/Цены!AS$2</f>
        <v>-3.7644787644787563E-2</v>
      </c>
      <c r="AU44">
        <f>(Цены!AT44-Цены!AT$2)/Цены!AT$2</f>
        <v>-4.0389972144846679E-2</v>
      </c>
      <c r="AV44">
        <f>(Цены!AU44-Цены!AU$2)/Цены!AU$2</f>
        <v>3.7111334002006044E-2</v>
      </c>
      <c r="AW44">
        <f>(Цены!AV44-Цены!AV$2)/Цены!AV$2</f>
        <v>0.13865136919580043</v>
      </c>
      <c r="AX44">
        <f>(Цены!AW44-Цены!AW$2)/Цены!AW$2</f>
        <v>-0.12355555555555564</v>
      </c>
      <c r="AY44">
        <f>(Цены!AX44-Цены!AX$2)/Цены!AX$2</f>
        <v>0.16244411326378538</v>
      </c>
    </row>
    <row r="45" spans="1:51" x14ac:dyDescent="0.2">
      <c r="A45" s="1" t="s">
        <v>110</v>
      </c>
      <c r="B45" s="2">
        <v>43</v>
      </c>
      <c r="C45">
        <f>(Цены!B45-Цены!B$2)/Цены!B$2</f>
        <v>-1.8147370849732429E-3</v>
      </c>
      <c r="D45">
        <f>(Цены!C45-Цены!C$2)/Цены!C$2</f>
        <v>-3.8430493273542574E-2</v>
      </c>
      <c r="E45">
        <f>(Цены!D45-Цены!D$2)/Цены!D$2</f>
        <v>-5.1200222006382655E-2</v>
      </c>
      <c r="F45">
        <f>(Цены!E45-Цены!E$2)/Цены!E$2</f>
        <v>3.1378922365295665E-2</v>
      </c>
      <c r="G45">
        <f>(Цены!F45-Цены!F$2)/Цены!F$2</f>
        <v>3.3333333333333333E-2</v>
      </c>
      <c r="H45">
        <f>(Цены!G45-Цены!G$2)/Цены!G$2</f>
        <v>0.11308323248621743</v>
      </c>
      <c r="I45">
        <f>(Цены!H45-Цены!H$2)/Цены!H$2</f>
        <v>-2.7863247863247908E-2</v>
      </c>
      <c r="J45">
        <f>(Цены!I45-Цены!I$2)/Цены!I$2</f>
        <v>-8.4485407066052232E-3</v>
      </c>
      <c r="K45">
        <f>(Цены!J45-Цены!J$2)/Цены!J$2</f>
        <v>-6.5809379727685673E-3</v>
      </c>
      <c r="L45">
        <f>(Цены!K45-Цены!K$2)/Цены!K$2</f>
        <v>0.1094393186657204</v>
      </c>
      <c r="M45">
        <f>(Цены!L45-Цены!L$2)/Цены!L$2</f>
        <v>-3.3199407908648761E-2</v>
      </c>
      <c r="N45">
        <f>(Цены!M45-Цены!M$2)/Цены!M$2</f>
        <v>-8.5176226675881067E-2</v>
      </c>
      <c r="O45">
        <f>(Цены!N45-Цены!N$2)/Цены!N$2</f>
        <v>-2.2852639873916464E-2</v>
      </c>
      <c r="P45">
        <f>(Цены!O45-Цены!O$2)/Цены!O$2</f>
        <v>4.8477157360406163E-2</v>
      </c>
      <c r="Q45">
        <f>(Цены!P45-Цены!P$2)/Цены!P$2</f>
        <v>1.9980601357904967E-2</v>
      </c>
      <c r="R45">
        <f>(Цены!Q45-Цены!Q$2)/Цены!Q$2</f>
        <v>0.12250712250712251</v>
      </c>
      <c r="S45">
        <f>(Цены!R45-Цены!R$2)/Цены!R$2</f>
        <v>-3.6261914629092413E-3</v>
      </c>
      <c r="T45">
        <f>(Цены!S45-Цены!S$2)/Цены!S$2</f>
        <v>-0.12075471698113201</v>
      </c>
      <c r="U45">
        <f>(Цены!T45-Цены!T$2)/Цены!T$2</f>
        <v>7.8741366078280819E-2</v>
      </c>
      <c r="V45">
        <f>(Цены!U45-Цены!U$2)/Цены!U$2</f>
        <v>-4.6211490424646132E-2</v>
      </c>
      <c r="W45">
        <f>(Цены!V45-Цены!V$2)/Цены!V$2</f>
        <v>-0.18847926267281107</v>
      </c>
      <c r="X45">
        <f>(Цены!W45-Цены!W$2)/Цены!W$2</f>
        <v>-3.2568708071845975E-2</v>
      </c>
      <c r="Y45">
        <f>(Цены!X45-Цены!X$2)/Цены!X$2</f>
        <v>3.4460338101430316E-2</v>
      </c>
      <c r="Z45">
        <f>(Цены!Y45-Цены!Y$2)/Цены!Y$2</f>
        <v>-7.3032952252858122E-2</v>
      </c>
      <c r="AA45">
        <f>(Цены!Z45-Цены!Z$2)/Цены!Z$2</f>
        <v>6.4553314121037556E-2</v>
      </c>
      <c r="AB45">
        <f>(Цены!AA45-Цены!AA$2)/Цены!AA$2</f>
        <v>-4.1268758526602889E-2</v>
      </c>
      <c r="AC45">
        <f>(Цены!AB45-Цены!AB$2)/Цены!AB$2</f>
        <v>6.0060060060060057E-4</v>
      </c>
      <c r="AD45">
        <f>(Цены!AC45-Цены!AC$2)/Цены!AC$2</f>
        <v>-4.1676733510509753E-2</v>
      </c>
      <c r="AE45">
        <f>(Цены!AD45-Цены!AD$2)/Цены!AD$2</f>
        <v>4.1271000730460188E-2</v>
      </c>
      <c r="AF45">
        <f>(Цены!AE45-Цены!AE$2)/Цены!AE$2</f>
        <v>6.7946824224519947E-2</v>
      </c>
      <c r="AG45">
        <f>(Цены!AF45-Цены!AF$2)/Цены!AF$2</f>
        <v>-2.3740310077519408E-2</v>
      </c>
      <c r="AH45">
        <f>(Цены!AG45-Цены!AG$2)/Цены!AG$2</f>
        <v>5.7434588385450267E-3</v>
      </c>
      <c r="AI45">
        <f>(Цены!AH45-Цены!AH$2)/Цены!AH$2</f>
        <v>-0.17945544554455445</v>
      </c>
      <c r="AJ45">
        <f>(Цены!AI45-Цены!AI$2)/Цены!AI$2</f>
        <v>-0.12525808671713687</v>
      </c>
      <c r="AK45">
        <f>(Цены!AJ45-Цены!AJ$2)/Цены!AJ$2</f>
        <v>6.3320825515947466E-3</v>
      </c>
      <c r="AL45">
        <f>(Цены!AK45-Цены!AK$2)/Цены!AK$2</f>
        <v>-0.13273146369573582</v>
      </c>
      <c r="AM45">
        <f>(Цены!AL45-Цены!AL$2)/Цены!AL$2</f>
        <v>-8.4375000000000019E-2</v>
      </c>
      <c r="AN45">
        <f>(Цены!AM45-Цены!AM$2)/Цены!AM$2</f>
        <v>-1.8264840182648401E-2</v>
      </c>
      <c r="AO45">
        <f>(Цены!AN45-Цены!AN$2)/Цены!AN$2</f>
        <v>-4.5217391304347827E-2</v>
      </c>
      <c r="AP45">
        <f>(Цены!AO45-Цены!AO$2)/Цены!AO$2</f>
        <v>0</v>
      </c>
      <c r="AQ45">
        <f>(Цены!AP45-Цены!AP$2)/Цены!AP$2</f>
        <v>-4.5871559633027525E-2</v>
      </c>
      <c r="AR45">
        <f>(Цены!AQ45-Цены!AQ$2)/Цены!AQ$2</f>
        <v>7.5050709939148072E-2</v>
      </c>
      <c r="AS45">
        <f>(Цены!AR45-Цены!AR$2)/Цены!AR$2</f>
        <v>-0.11610793131643503</v>
      </c>
      <c r="AT45">
        <f>(Цены!AS45-Цены!AS$2)/Цены!AS$2</f>
        <v>-3.6679536679536655E-2</v>
      </c>
      <c r="AU45">
        <f>(Цены!AT45-Цены!AT$2)/Цены!AT$2</f>
        <v>-4.874651810584963E-2</v>
      </c>
      <c r="AV45">
        <f>(Цены!AU45-Цены!AU$2)/Цены!AU$2</f>
        <v>4.3129388164493451E-2</v>
      </c>
      <c r="AW45">
        <f>(Цены!AV45-Цены!AV$2)/Цены!AV$2</f>
        <v>0.12014287260526024</v>
      </c>
      <c r="AX45">
        <f>(Цены!AW45-Цены!AW$2)/Цены!AW$2</f>
        <v>-0.13422222222222224</v>
      </c>
      <c r="AY45">
        <f>(Цены!AX45-Цены!AX$2)/Цены!AX$2</f>
        <v>0.18628912071535023</v>
      </c>
    </row>
    <row r="46" spans="1:51" x14ac:dyDescent="0.2">
      <c r="A46" s="1" t="s">
        <v>111</v>
      </c>
      <c r="B46" s="2">
        <v>44</v>
      </c>
      <c r="C46">
        <f>(Цены!B46-Цены!B$2)/Цены!B$2</f>
        <v>-7.596161098958585E-3</v>
      </c>
      <c r="D46">
        <f>(Цены!C46-Цены!C$2)/Цены!C$2</f>
        <v>-9.1883408071748926E-2</v>
      </c>
      <c r="E46">
        <f>(Цены!D46-Цены!D$2)/Цены!D$2</f>
        <v>-4.8841404190370426E-2</v>
      </c>
      <c r="F46">
        <f>(Цены!E46-Цены!E$2)/Цены!E$2</f>
        <v>3.512939117389674E-2</v>
      </c>
      <c r="G46">
        <f>(Цены!F46-Цены!F$2)/Цены!F$2</f>
        <v>3.9134438305709021E-2</v>
      </c>
      <c r="H46">
        <f>(Цены!G46-Цены!G$2)/Цены!G$2</f>
        <v>0.11483124915960734</v>
      </c>
      <c r="I46">
        <f>(Цены!H46-Цены!H$2)/Цены!H$2</f>
        <v>-3.2478632478632453E-2</v>
      </c>
      <c r="J46">
        <f>(Цены!I46-Цены!I$2)/Цены!I$2</f>
        <v>-4.0962621607782898E-3</v>
      </c>
      <c r="K46">
        <f>(Цены!J46-Цены!J$2)/Цены!J$2</f>
        <v>1.7624810892586953E-2</v>
      </c>
      <c r="L46">
        <f>(Цены!K46-Цены!K$2)/Цены!K$2</f>
        <v>0.11838183108587648</v>
      </c>
      <c r="M46">
        <f>(Цены!L46-Цены!L$2)/Цены!L$2</f>
        <v>-3.7851554239796997E-2</v>
      </c>
      <c r="N46">
        <f>(Цены!M46-Цены!M$2)/Цены!M$2</f>
        <v>-8.448514167242567E-2</v>
      </c>
      <c r="O46">
        <f>(Цены!N46-Цены!N$2)/Цены!N$2</f>
        <v>-2.2502407845197386E-2</v>
      </c>
      <c r="P46">
        <f>(Цены!O46-Цены!O$2)/Цены!O$2</f>
        <v>3.7563451776649777E-2</v>
      </c>
      <c r="Q46">
        <f>(Цены!P46-Цены!P$2)/Цены!P$2</f>
        <v>0</v>
      </c>
      <c r="R46">
        <f>(Цены!Q46-Цены!Q$2)/Цены!Q$2</f>
        <v>0.14074074074074067</v>
      </c>
      <c r="S46">
        <f>(Цены!R46-Цены!R$2)/Цены!R$2</f>
        <v>-2.1964359718193167E-2</v>
      </c>
      <c r="T46">
        <f>(Цены!S46-Цены!S$2)/Цены!S$2</f>
        <v>-0.11886792452830189</v>
      </c>
      <c r="U46">
        <f>(Цены!T46-Цены!T$2)/Цены!T$2</f>
        <v>0.13507290867229466</v>
      </c>
      <c r="V46">
        <f>(Цены!U46-Цены!U$2)/Цены!U$2</f>
        <v>-4.1215653621981679E-2</v>
      </c>
      <c r="W46">
        <f>(Цены!V46-Цены!V$2)/Цены!V$2</f>
        <v>-0.19354838709677416</v>
      </c>
      <c r="X46">
        <f>(Цены!W46-Цены!W$2)/Цены!W$2</f>
        <v>-4.9015364639688391E-2</v>
      </c>
      <c r="Y46">
        <f>(Цены!X46-Цены!X$2)/Цены!X$2</f>
        <v>7.8673602080624142E-2</v>
      </c>
      <c r="Z46">
        <f>(Цены!Y46-Цены!Y$2)/Цены!Y$2</f>
        <v>-7.5453934095494335E-2</v>
      </c>
      <c r="AA46">
        <f>(Цены!Z46-Цены!Z$2)/Цены!Z$2</f>
        <v>6.1671469740634095E-2</v>
      </c>
      <c r="AB46">
        <f>(Цены!AA46-Цены!AA$2)/Цены!AA$2</f>
        <v>-3.9904502046384682E-2</v>
      </c>
      <c r="AC46">
        <f>(Цены!AB46-Цены!AB$2)/Цены!AB$2</f>
        <v>9.0090090090090089E-3</v>
      </c>
      <c r="AD46">
        <f>(Цены!AC46-Цены!AC$2)/Цены!AC$2</f>
        <v>-4.9287267455907162E-2</v>
      </c>
      <c r="AE46">
        <f>(Цены!AD46-Цены!AD$2)/Цены!AD$2</f>
        <v>4.7114682249817387E-2</v>
      </c>
      <c r="AF46">
        <f>(Цены!AE46-Цены!AE$2)/Цены!AE$2</f>
        <v>6.0561299852289516E-2</v>
      </c>
      <c r="AG46">
        <f>(Цены!AF46-Цены!AF$2)/Цены!AF$2</f>
        <v>-1.719961240310083E-2</v>
      </c>
      <c r="AH46">
        <f>(Цены!AG46-Цены!AG$2)/Цены!AG$2</f>
        <v>-1.2125079770261503E-2</v>
      </c>
      <c r="AI46">
        <f>(Цены!AH46-Цены!AH$2)/Цены!AH$2</f>
        <v>-0.20915841584158423</v>
      </c>
      <c r="AJ46">
        <f>(Цены!AI46-Цены!AI$2)/Цены!AI$2</f>
        <v>-0.13145216792842396</v>
      </c>
      <c r="AK46">
        <f>(Цены!AJ46-Цены!AJ$2)/Цены!AJ$2</f>
        <v>9.1463414634146336E-3</v>
      </c>
      <c r="AL46">
        <f>(Цены!AK46-Цены!AK$2)/Цены!AK$2</f>
        <v>-0.11774875144064548</v>
      </c>
      <c r="AM46">
        <f>(Цены!AL46-Цены!AL$2)/Цены!AL$2</f>
        <v>-8.4821428571428575E-2</v>
      </c>
      <c r="AN46">
        <f>(Цены!AM46-Цены!AM$2)/Цены!AM$2</f>
        <v>-1.2785388127853882E-2</v>
      </c>
      <c r="AO46">
        <f>(Цены!AN46-Цены!AN$2)/Цены!AN$2</f>
        <v>-4.811594202898551E-2</v>
      </c>
      <c r="AP46">
        <f>(Цены!AO46-Цены!AO$2)/Цены!AO$2</f>
        <v>1.0989010989011014E-2</v>
      </c>
      <c r="AQ46">
        <f>(Цены!AP46-Цены!AP$2)/Цены!AP$2</f>
        <v>-5.0458715596330278E-2</v>
      </c>
      <c r="AR46">
        <f>(Цены!AQ46-Цены!AQ$2)/Цены!AQ$2</f>
        <v>9.5334685598377281E-2</v>
      </c>
      <c r="AS46">
        <f>(Цены!AR46-Цены!AR$2)/Цены!AR$2</f>
        <v>-0.12101390024529843</v>
      </c>
      <c r="AT46">
        <f>(Цены!AS46-Цены!AS$2)/Цены!AS$2</f>
        <v>-3.2818532818532739E-2</v>
      </c>
      <c r="AU46">
        <f>(Цены!AT46-Цены!AT$2)/Цены!AT$2</f>
        <v>-4.4568245125348231E-2</v>
      </c>
      <c r="AV46">
        <f>(Цены!AU46-Цены!AU$2)/Цены!AU$2</f>
        <v>6.3189568706118318E-2</v>
      </c>
      <c r="AW46">
        <f>(Цены!AV46-Цены!AV$2)/Цены!AV$2</f>
        <v>0.1202511094274272</v>
      </c>
      <c r="AX46">
        <f>(Цены!AW46-Цены!AW$2)/Цены!AW$2</f>
        <v>-0.13355555555555551</v>
      </c>
      <c r="AY46">
        <f>(Цены!AX46-Цены!AX$2)/Цены!AX$2</f>
        <v>0.18330849478390462</v>
      </c>
    </row>
    <row r="47" spans="1:51" x14ac:dyDescent="0.2">
      <c r="A47" s="1" t="s">
        <v>112</v>
      </c>
      <c r="B47" s="2">
        <v>45</v>
      </c>
      <c r="C47">
        <f>(Цены!B47-Цены!B$2)/Цены!B$2</f>
        <v>-1.0089760712051267E-2</v>
      </c>
      <c r="D47">
        <f>(Цены!C47-Цены!C$2)/Цены!C$2</f>
        <v>-0.103542600896861</v>
      </c>
      <c r="E47">
        <f>(Цены!D47-Цены!D$2)/Цены!D$2</f>
        <v>-4.2111835715276769E-2</v>
      </c>
      <c r="F47">
        <f>(Цены!E47-Цены!E$2)/Цены!E$2</f>
        <v>3.8629828728591074E-2</v>
      </c>
      <c r="G47">
        <f>(Цены!F47-Цены!F$2)/Цены!F$2</f>
        <v>3.3333333333333333E-2</v>
      </c>
      <c r="H47">
        <f>(Цены!G47-Цены!G$2)/Цены!G$2</f>
        <v>0.12047868764286662</v>
      </c>
      <c r="I47">
        <f>(Цены!H47-Цены!H$2)/Цены!H$2</f>
        <v>-2.9401709401709383E-2</v>
      </c>
      <c r="J47">
        <f>(Цены!I47-Цены!I$2)/Цены!I$2</f>
        <v>-3.0721966205837174E-3</v>
      </c>
      <c r="K47">
        <f>(Цены!J47-Цены!J$2)/Цены!J$2</f>
        <v>-8.3207261724652722E-4</v>
      </c>
      <c r="L47">
        <f>(Цены!K47-Цены!K$2)/Цены!K$2</f>
        <v>0.105180979418027</v>
      </c>
      <c r="M47">
        <f>(Цены!L47-Цены!L$2)/Цены!L$2</f>
        <v>-2.4106576443222668E-2</v>
      </c>
      <c r="N47">
        <f>(Цены!M47-Цены!M$2)/Цены!M$2</f>
        <v>-9.467864547339315E-2</v>
      </c>
      <c r="O47">
        <f>(Цены!N47-Цены!N$2)/Цены!N$2</f>
        <v>-3.2046230627790884E-2</v>
      </c>
      <c r="P47">
        <f>(Цены!O47-Цены!O$2)/Цены!O$2</f>
        <v>2.8172588832487362E-2</v>
      </c>
      <c r="Q47">
        <f>(Цены!P47-Цены!P$2)/Цены!P$2</f>
        <v>1.8752020691884387E-3</v>
      </c>
      <c r="R47">
        <f>(Цены!Q47-Цены!Q$2)/Цены!Q$2</f>
        <v>0.12512820512820516</v>
      </c>
      <c r="S47">
        <f>(Цены!R47-Цены!R$2)/Цены!R$2</f>
        <v>-2.3622047244094557E-2</v>
      </c>
      <c r="T47">
        <f>(Цены!S47-Цены!S$2)/Цены!S$2</f>
        <v>-0.11509433962264154</v>
      </c>
      <c r="U47">
        <f>(Цены!T47-Цены!T$2)/Цены!T$2</f>
        <v>0.12954719877206441</v>
      </c>
      <c r="V47">
        <f>(Цены!U47-Цены!U$2)/Цены!U$2</f>
        <v>-4.537885095753539E-2</v>
      </c>
      <c r="W47">
        <f>(Цены!V47-Цены!V$2)/Цены!V$2</f>
        <v>-0.20368663594470038</v>
      </c>
      <c r="X47">
        <f>(Цены!W47-Цены!W$2)/Цены!W$2</f>
        <v>-4.0359229603981861E-2</v>
      </c>
      <c r="Y47">
        <f>(Цены!X47-Цены!X$2)/Цены!X$2</f>
        <v>8.2249674902470593E-2</v>
      </c>
      <c r="Z47">
        <f>(Цены!Y47-Цены!Y$2)/Цены!Y$2</f>
        <v>-9.1190316072629563E-2</v>
      </c>
      <c r="AA47">
        <f>(Цены!Z47-Цены!Z$2)/Цены!Z$2</f>
        <v>5.7636887608069218E-2</v>
      </c>
      <c r="AB47">
        <f>(Цены!AA47-Цены!AA$2)/Цены!AA$2</f>
        <v>-4.0586630286493786E-2</v>
      </c>
      <c r="AC47">
        <f>(Цены!AB47-Цены!AB$2)/Цены!AB$2</f>
        <v>1.8018018018018018E-2</v>
      </c>
      <c r="AD47">
        <f>(Цены!AC47-Цены!AC$2)/Цены!AC$2</f>
        <v>-3.4791012321816792E-2</v>
      </c>
      <c r="AE47">
        <f>(Цены!AD47-Цены!AD$2)/Цены!AD$2</f>
        <v>4.6384222059897819E-2</v>
      </c>
      <c r="AF47">
        <f>(Цены!AE47-Цены!AE$2)/Цены!AE$2</f>
        <v>4.7267355982274745E-2</v>
      </c>
      <c r="AG47">
        <f>(Цены!AF47-Цены!AF$2)/Цены!AF$2</f>
        <v>-2.3013565891472867E-2</v>
      </c>
      <c r="AH47">
        <f>(Цены!AG47-Цены!AG$2)/Цены!AG$2</f>
        <v>-1.4677728142948201E-2</v>
      </c>
      <c r="AI47">
        <f>(Цены!AH47-Цены!AH$2)/Цены!AH$2</f>
        <v>-0.1996699669966997</v>
      </c>
      <c r="AJ47">
        <f>(Цены!AI47-Цены!AI$2)/Цены!AI$2</f>
        <v>-0.13076393668272529</v>
      </c>
      <c r="AK47">
        <f>(Цены!AJ47-Цены!AJ$2)/Цены!AJ$2</f>
        <v>1.2664165103189493E-2</v>
      </c>
      <c r="AL47">
        <f>(Цены!AK47-Цены!AK$2)/Цены!AK$2</f>
        <v>-0.11486746062235895</v>
      </c>
      <c r="AM47">
        <f>(Цены!AL47-Цены!AL$2)/Цены!AL$2</f>
        <v>-7.2321428571428523E-2</v>
      </c>
      <c r="AN47">
        <f>(Цены!AM47-Цены!AM$2)/Цены!AM$2</f>
        <v>-1.8264840182648401E-2</v>
      </c>
      <c r="AO47">
        <f>(Цены!AN47-Цены!AN$2)/Цены!AN$2</f>
        <v>-5.2173913043478258E-2</v>
      </c>
      <c r="AP47">
        <f>(Цены!AO47-Цены!AO$2)/Цены!AO$2</f>
        <v>1.0989010989011014E-2</v>
      </c>
      <c r="AQ47">
        <f>(Цены!AP47-Цены!AP$2)/Цены!AP$2</f>
        <v>-4.5871559633027525E-2</v>
      </c>
      <c r="AR47">
        <f>(Цены!AQ47-Цены!AQ$2)/Цены!AQ$2</f>
        <v>0.11561866125760649</v>
      </c>
      <c r="AS47">
        <f>(Цены!AR47-Цены!AR$2)/Цены!AR$2</f>
        <v>-0.12101390024529843</v>
      </c>
      <c r="AT47">
        <f>(Цены!AS47-Цены!AS$2)/Цены!AS$2</f>
        <v>-3.5714285714285608E-2</v>
      </c>
      <c r="AU47">
        <f>(Цены!AT47-Цены!AT$2)/Цены!AT$2</f>
        <v>-5.292479108635087E-2</v>
      </c>
      <c r="AV47">
        <f>(Цены!AU47-Цены!AU$2)/Цены!AU$2</f>
        <v>6.3189568706118318E-2</v>
      </c>
      <c r="AW47">
        <f>(Цены!AV47-Цены!AV$2)/Цены!AV$2</f>
        <v>0.10942742721073709</v>
      </c>
      <c r="AX47">
        <f>(Цены!AW47-Цены!AW$2)/Цены!AW$2</f>
        <v>-0.12999999999999998</v>
      </c>
      <c r="AY47">
        <f>(Цены!AX47-Цены!AX$2)/Цены!AX$2</f>
        <v>0.15350223546944858</v>
      </c>
    </row>
    <row r="48" spans="1:51" x14ac:dyDescent="0.2">
      <c r="A48" s="1" t="s">
        <v>113</v>
      </c>
      <c r="B48" s="2">
        <v>46</v>
      </c>
      <c r="C48">
        <f>(Цены!B48-Цены!B$2)/Цены!B$2</f>
        <v>-7.5429169791093483E-5</v>
      </c>
      <c r="D48">
        <f>(Цены!C48-Цены!C$2)/Цены!C$2</f>
        <v>-6.7488789237668212E-2</v>
      </c>
      <c r="E48">
        <f>(Цены!D48-Цены!D$2)/Цены!D$2</f>
        <v>-3.5659775218537443E-2</v>
      </c>
      <c r="F48">
        <f>(Цены!E48-Цены!E$2)/Цены!E$2</f>
        <v>5.5631953994249278E-2</v>
      </c>
      <c r="G48">
        <f>(Цены!F48-Цены!F$2)/Цены!F$2</f>
        <v>2.2099447513812154E-2</v>
      </c>
      <c r="H48">
        <f>(Цены!G48-Цены!G$2)/Цены!G$2</f>
        <v>0.13069786204114553</v>
      </c>
      <c r="I48">
        <f>(Цены!H48-Цены!H$2)/Цены!H$2</f>
        <v>-2.9401709401709383E-2</v>
      </c>
      <c r="J48">
        <f>(Цены!I48-Цены!I$2)/Цены!I$2</f>
        <v>-6.6564260112647209E-3</v>
      </c>
      <c r="K48">
        <f>(Цены!J48-Цены!J$2)/Цены!J$2</f>
        <v>1.9894099848714035E-2</v>
      </c>
      <c r="L48">
        <f>(Цены!K48-Цены!K$2)/Цены!K$2</f>
        <v>0.12022711142654371</v>
      </c>
      <c r="M48">
        <f>(Цены!L48-Цены!L$2)/Цены!L$2</f>
        <v>-2.5375343624444914E-2</v>
      </c>
      <c r="N48">
        <f>(Цены!M48-Цены!M$2)/Цены!M$2</f>
        <v>-7.843814789219071E-2</v>
      </c>
      <c r="O48">
        <f>(Цены!N48-Цены!N$2)/Цены!N$2</f>
        <v>-3.353471674984676E-2</v>
      </c>
      <c r="P48">
        <f>(Цены!O48-Цены!O$2)/Цены!O$2</f>
        <v>3.2994923857868105E-2</v>
      </c>
      <c r="Q48">
        <f>(Цены!P48-Цены!P$2)/Цены!P$2</f>
        <v>-6.1429033301003367E-3</v>
      </c>
      <c r="R48">
        <f>(Цены!Q48-Цены!Q$2)/Цены!Q$2</f>
        <v>0.11908831908831911</v>
      </c>
      <c r="S48">
        <f>(Цены!R48-Цены!R$2)/Цены!R$2</f>
        <v>-4.1338582677165447E-2</v>
      </c>
      <c r="T48">
        <f>(Цены!S48-Цены!S$2)/Цены!S$2</f>
        <v>-0.10660377358490558</v>
      </c>
      <c r="U48">
        <f>(Цены!T48-Цены!T$2)/Цены!T$2</f>
        <v>0.11573292402148874</v>
      </c>
      <c r="V48">
        <f>(Цены!U48-Цены!U$2)/Цены!U$2</f>
        <v>-5.7452123230641132E-2</v>
      </c>
      <c r="W48">
        <f>(Цены!V48-Цены!V$2)/Цены!V$2</f>
        <v>-0.20921658986175112</v>
      </c>
      <c r="X48">
        <f>(Цены!W48-Цены!W$2)/Цены!W$2</f>
        <v>-5.4750054100843999E-2</v>
      </c>
      <c r="Y48">
        <f>(Цены!X48-Цены!X$2)/Цены!X$2</f>
        <v>8.1274382314694402E-2</v>
      </c>
      <c r="Z48">
        <f>(Цены!Y48-Цены!Y$2)/Цены!Y$2</f>
        <v>-8.661735036987224E-2</v>
      </c>
      <c r="AA48">
        <f>(Цены!Z48-Цены!Z$2)/Цены!Z$2</f>
        <v>6.8299711815561964E-2</v>
      </c>
      <c r="AB48">
        <f>(Цены!AA48-Цены!AA$2)/Цены!AA$2</f>
        <v>-3.7175989085948082E-2</v>
      </c>
      <c r="AC48">
        <f>(Цены!AB48-Цены!AB$2)/Цены!AB$2</f>
        <v>1.6216216216216217E-2</v>
      </c>
      <c r="AD48">
        <f>(Цены!AC48-Цены!AC$2)/Цены!AC$2</f>
        <v>-2.2227591205605184E-2</v>
      </c>
      <c r="AE48">
        <f>(Цены!AD48-Цены!AD$2)/Цены!AD$2</f>
        <v>4.9306062819576418E-2</v>
      </c>
      <c r="AF48">
        <f>(Цены!AE48-Цены!AE$2)/Цены!AE$2</f>
        <v>4.4313146233382568E-2</v>
      </c>
      <c r="AG48">
        <f>(Цены!AF48-Цены!AF$2)/Цены!AF$2</f>
        <v>-2.6162790697674444E-2</v>
      </c>
      <c r="AH48">
        <f>(Цены!AG48-Цены!AG$2)/Цены!AG$2</f>
        <v>-9.5724313975749844E-3</v>
      </c>
      <c r="AI48">
        <f>(Цены!AH48-Цены!AH$2)/Цены!AH$2</f>
        <v>-0.20544554455445549</v>
      </c>
      <c r="AJ48">
        <f>(Цены!AI48-Цены!AI$2)/Цены!AI$2</f>
        <v>-0.12801101169993115</v>
      </c>
      <c r="AK48">
        <f>(Цены!AJ48-Цены!AJ$2)/Цены!AJ$2</f>
        <v>2.298311444652908E-2</v>
      </c>
      <c r="AL48">
        <f>(Цены!AK48-Цены!AK$2)/Цены!AK$2</f>
        <v>-0.1010372646945833</v>
      </c>
      <c r="AM48">
        <f>(Цены!AL48-Цены!AL$2)/Цены!AL$2</f>
        <v>-7.410714285714283E-2</v>
      </c>
      <c r="AN48">
        <f>(Цены!AM48-Цены!AM$2)/Цены!AM$2</f>
        <v>-2.5114155251141551E-2</v>
      </c>
      <c r="AO48">
        <f>(Цены!AN48-Цены!AN$2)/Цены!AN$2</f>
        <v>-4.9855072463768114E-2</v>
      </c>
      <c r="AP48">
        <f>(Цены!AO48-Цены!AO$2)/Цены!AO$2</f>
        <v>7.3260073260073E-3</v>
      </c>
      <c r="AQ48">
        <f>(Цены!AP48-Цены!AP$2)/Цены!AP$2</f>
        <v>-4.5871559633027525E-2</v>
      </c>
      <c r="AR48">
        <f>(Цены!AQ48-Цены!AQ$2)/Цены!AQ$2</f>
        <v>9.9391480730223122E-2</v>
      </c>
      <c r="AS48">
        <f>(Цены!AR48-Цены!AR$2)/Цены!AR$2</f>
        <v>-0.12183156173344228</v>
      </c>
      <c r="AT48">
        <f>(Цены!AS48-Цены!AS$2)/Цены!AS$2</f>
        <v>-2.8957528957528959E-2</v>
      </c>
      <c r="AU48">
        <f>(Цены!AT48-Цены!AT$2)/Цены!AT$2</f>
        <v>-5.292479108635087E-2</v>
      </c>
      <c r="AV48">
        <f>(Цены!AU48-Цены!AU$2)/Цены!AU$2</f>
        <v>6.4192577733199516E-2</v>
      </c>
      <c r="AW48">
        <f>(Цены!AV48-Цены!AV$2)/Цены!AV$2</f>
        <v>8.4316484468016081E-2</v>
      </c>
      <c r="AX48">
        <f>(Цены!AW48-Цены!AW$2)/Цены!AW$2</f>
        <v>-0.1217777777777778</v>
      </c>
      <c r="AY48">
        <f>(Цены!AX48-Цены!AX$2)/Цены!AX$2</f>
        <v>0.15946348733233978</v>
      </c>
    </row>
    <row r="49" spans="1:51" x14ac:dyDescent="0.2">
      <c r="A49" s="1" t="s">
        <v>114</v>
      </c>
      <c r="B49" s="2">
        <v>47</v>
      </c>
      <c r="C49">
        <f>(Цены!B49-Цены!B$2)/Цены!B$2</f>
        <v>-1.5573905056859233E-3</v>
      </c>
      <c r="D49">
        <f>(Цены!C49-Цены!C$2)/Цены!C$2</f>
        <v>-6.5022421524663671E-2</v>
      </c>
      <c r="E49">
        <f>(Цены!D49-Цены!D$2)/Цены!D$2</f>
        <v>-3.7324823088663771E-2</v>
      </c>
      <c r="F49">
        <f>(Цены!E49-Цены!E$2)/Цены!E$2</f>
        <v>5.775721965245656E-2</v>
      </c>
      <c r="G49">
        <f>(Цены!F49-Цены!F$2)/Цены!F$2</f>
        <v>2.3480662983425413E-2</v>
      </c>
      <c r="H49">
        <f>(Цены!G49-Цены!G$2)/Цены!G$2</f>
        <v>0.13621083770337494</v>
      </c>
      <c r="I49">
        <f>(Цены!H49-Цены!H$2)/Цены!H$2</f>
        <v>-3.4017094017094053E-2</v>
      </c>
      <c r="J49">
        <f>(Цены!I49-Цены!I$2)/Цены!I$2</f>
        <v>5.1715309779825906E-2</v>
      </c>
      <c r="K49">
        <f>(Цены!J49-Цены!J$2)/Цены!J$2</f>
        <v>-4.5385779122541605E-3</v>
      </c>
      <c r="L49">
        <f>(Цены!K49-Цены!K$2)/Цены!K$2</f>
        <v>0.12562100780695529</v>
      </c>
      <c r="M49">
        <f>(Цены!L49-Цены!L$2)/Цены!L$2</f>
        <v>-2.516388242757454E-2</v>
      </c>
      <c r="N49">
        <f>(Цены!M49-Цены!M$2)/Цены!M$2</f>
        <v>-7.6192121630960452E-2</v>
      </c>
      <c r="O49">
        <f>(Цены!N49-Цены!N$2)/Цены!N$2</f>
        <v>-4.018912529550818E-2</v>
      </c>
      <c r="P49">
        <f>(Цены!O49-Цены!O$2)/Цены!O$2</f>
        <v>3.2106598984771473E-2</v>
      </c>
      <c r="Q49">
        <f>(Цены!P49-Цены!P$2)/Цены!P$2</f>
        <v>-3.9185257032007773E-2</v>
      </c>
      <c r="R49">
        <f>(Цены!Q49-Цены!Q$2)/Цены!Q$2</f>
        <v>0.12706552706552712</v>
      </c>
      <c r="S49">
        <f>(Цены!R49-Цены!R$2)/Цены!R$2</f>
        <v>-5.677579776212191E-2</v>
      </c>
      <c r="T49">
        <f>(Цены!S49-Цены!S$2)/Цены!S$2</f>
        <v>-9.7547169811320777E-2</v>
      </c>
      <c r="U49">
        <f>(Цены!T49-Цены!T$2)/Цены!T$2</f>
        <v>0.11511895625479661</v>
      </c>
      <c r="V49">
        <f>(Цены!U49-Цены!U$2)/Цены!U$2</f>
        <v>-5.0791007493755203E-2</v>
      </c>
      <c r="W49">
        <f>(Цены!V49-Цены!V$2)/Цены!V$2</f>
        <v>-0.20322580645161292</v>
      </c>
      <c r="X49">
        <f>(Цены!W49-Цены!W$2)/Цены!W$2</f>
        <v>-8.6128543605280328E-2</v>
      </c>
      <c r="Y49">
        <f>(Цены!X49-Цены!X$2)/Цены!X$2</f>
        <v>8.4850455136540839E-2</v>
      </c>
      <c r="Z49">
        <f>(Цены!Y49-Цены!Y$2)/Цены!Y$2</f>
        <v>-9.4956287827841282E-2</v>
      </c>
      <c r="AA49">
        <f>(Цены!Z49-Цены!Z$2)/Цены!Z$2</f>
        <v>6.5417867435158497E-2</v>
      </c>
      <c r="AB49">
        <f>(Цены!AA49-Цены!AA$2)/Цены!AA$2</f>
        <v>-4.6384720327421441E-2</v>
      </c>
      <c r="AC49">
        <f>(Цены!AB49-Цены!AB$2)/Цены!AB$2</f>
        <v>1.9819819819819819E-2</v>
      </c>
      <c r="AD49">
        <f>(Цены!AC49-Цены!AC$2)/Цены!AC$2</f>
        <v>-3.5878231456873577E-2</v>
      </c>
      <c r="AE49">
        <f>(Цены!AD49-Цены!AD$2)/Цены!AD$2</f>
        <v>4.8575602629656683E-2</v>
      </c>
      <c r="AF49">
        <f>(Цены!AE49-Цены!AE$2)/Цены!AE$2</f>
        <v>4.1358936484490398E-2</v>
      </c>
      <c r="AG49">
        <f>(Цены!AF49-Цены!AF$2)/Цены!AF$2</f>
        <v>-2.4951550387596926E-2</v>
      </c>
      <c r="AH49">
        <f>(Цены!AG49-Цены!AG$2)/Цены!AG$2</f>
        <v>-8.2961072112315449E-3</v>
      </c>
      <c r="AI49">
        <f>(Цены!AH49-Цены!AH$2)/Цены!AH$2</f>
        <v>-0.20750825082508256</v>
      </c>
      <c r="AJ49">
        <f>(Цены!AI49-Цены!AI$2)/Цены!AI$2</f>
        <v>-0.14659325533379208</v>
      </c>
      <c r="AK49">
        <f>(Цены!AJ49-Цены!AJ$2)/Цены!AJ$2</f>
        <v>1.8996247654784242E-2</v>
      </c>
      <c r="AL49">
        <f>(Цены!AK49-Цены!AK$2)/Цены!AK$2</f>
        <v>-0.11755666538609298</v>
      </c>
      <c r="AM49">
        <f>(Цены!AL49-Цены!AL$2)/Цены!AL$2</f>
        <v>-7.9017857142857098E-2</v>
      </c>
      <c r="AN49">
        <f>(Цены!AM49-Цены!AM$2)/Цены!AM$2</f>
        <v>-2.1461187214611873E-2</v>
      </c>
      <c r="AO49">
        <f>(Цены!AN49-Цены!AN$2)/Цены!AN$2</f>
        <v>-4.6376811594202899E-2</v>
      </c>
      <c r="AP49">
        <f>(Цены!AO49-Цены!AO$2)/Цены!AO$2</f>
        <v>1.8315018315018575E-3</v>
      </c>
      <c r="AQ49">
        <f>(Цены!AP49-Цены!AP$2)/Цены!AP$2</f>
        <v>-4.5871559633027525E-2</v>
      </c>
      <c r="AR49">
        <f>(Цены!AQ49-Цены!AQ$2)/Цены!AQ$2</f>
        <v>8.7221095334685597E-2</v>
      </c>
      <c r="AS49">
        <f>(Цены!AR49-Цены!AR$2)/Цены!AR$2</f>
        <v>-0.12019623875715456</v>
      </c>
      <c r="AT49">
        <f>(Цены!AS49-Цены!AS$2)/Цены!AS$2</f>
        <v>-3.4749034749034693E-2</v>
      </c>
      <c r="AU49">
        <f>(Цены!AT49-Цены!AT$2)/Цены!AT$2</f>
        <v>-4.3175487465180941E-2</v>
      </c>
      <c r="AV49">
        <f>(Цены!AU49-Цены!AU$2)/Цены!AU$2</f>
        <v>6.3189568706118318E-2</v>
      </c>
      <c r="AW49">
        <f>(Цены!AV49-Цены!AV$2)/Цены!AV$2</f>
        <v>0.11050979543240604</v>
      </c>
      <c r="AX49">
        <f>(Цены!AW49-Цены!AW$2)/Цены!AW$2</f>
        <v>-0.11711111111111117</v>
      </c>
      <c r="AY49">
        <f>(Цены!AX49-Цены!AX$2)/Цены!AX$2</f>
        <v>0.15946348733233978</v>
      </c>
    </row>
    <row r="50" spans="1:51" x14ac:dyDescent="0.2">
      <c r="A50" s="1" t="s">
        <v>115</v>
      </c>
      <c r="B50" s="2">
        <v>48</v>
      </c>
      <c r="C50">
        <f>(Цены!B50-Цены!B$2)/Цены!B$2</f>
        <v>1.8715308128158525E-2</v>
      </c>
      <c r="D50">
        <f>(Цены!C50-Цены!C$2)/Цены!C$2</f>
        <v>-2.2421524663677129E-2</v>
      </c>
      <c r="E50">
        <f>(Цены!D50-Цены!D$2)/Цены!D$2</f>
        <v>-2.1714999306230026E-2</v>
      </c>
      <c r="F50">
        <f>(Цены!E50-Цены!E$2)/Цены!E$2</f>
        <v>8.7635954494311788E-2</v>
      </c>
      <c r="G50">
        <f>(Цены!F50-Цены!F$2)/Цены!F$2</f>
        <v>4.9631675874769798E-2</v>
      </c>
      <c r="H50">
        <f>(Цены!G50-Цены!G$2)/Цены!G$2</f>
        <v>0.14669893774371373</v>
      </c>
      <c r="I50">
        <f>(Цены!H50-Цены!H$2)/Цены!H$2</f>
        <v>-2.6324786324786312E-2</v>
      </c>
      <c r="J50">
        <f>(Цены!I50-Цены!I$2)/Цены!I$2</f>
        <v>7.6804915514592939E-2</v>
      </c>
      <c r="K50">
        <f>(Цены!J50-Цены!J$2)/Цены!J$2</f>
        <v>2.2617246596066634E-2</v>
      </c>
      <c r="L50">
        <f>(Цены!K50-Цены!K$2)/Цены!K$2</f>
        <v>0.12462739531582677</v>
      </c>
      <c r="M50">
        <f>(Цены!L50-Цены!L$2)/Цены!L$2</f>
        <v>-2.7278494396278281E-2</v>
      </c>
      <c r="N50">
        <f>(Цены!M50-Цены!M$2)/Цены!M$2</f>
        <v>-3.9046302695231357E-2</v>
      </c>
      <c r="O50">
        <f>(Цены!N50-Цены!N$2)/Цены!N$2</f>
        <v>-4.929515804220292E-2</v>
      </c>
      <c r="P50">
        <f>(Цены!O50-Цены!O$2)/Цены!O$2</f>
        <v>4.0609137055837484E-2</v>
      </c>
      <c r="Q50">
        <f>(Цены!P50-Цены!P$2)/Цены!P$2</f>
        <v>-1.8170061429033314E-2</v>
      </c>
      <c r="R50">
        <f>(Цены!Q50-Цены!Q$2)/Цены!Q$2</f>
        <v>0.1396011396011396</v>
      </c>
      <c r="S50">
        <f>(Цены!R50-Цены!R$2)/Цены!R$2</f>
        <v>-3.6365520099461271E-2</v>
      </c>
      <c r="T50">
        <f>(Цены!S50-Цены!S$2)/Цены!S$2</f>
        <v>-9.4150943396226441E-2</v>
      </c>
      <c r="U50">
        <f>(Цены!T50-Цены!T$2)/Цены!T$2</f>
        <v>0.12386799693016105</v>
      </c>
      <c r="V50">
        <f>(Цены!U50-Цены!U$2)/Цены!U$2</f>
        <v>-5.4954204829308906E-2</v>
      </c>
      <c r="W50">
        <f>(Цены!V50-Цены!V$2)/Цены!V$2</f>
        <v>-0.18801843317972344</v>
      </c>
      <c r="X50">
        <f>(Цены!W50-Цены!W$2)/Цены!W$2</f>
        <v>-7.9203635576715073E-2</v>
      </c>
      <c r="Y50">
        <f>(Цены!X50-Цены!X$2)/Цены!X$2</f>
        <v>8.5825747724317211E-2</v>
      </c>
      <c r="Z50">
        <f>(Цены!Y50-Цены!Y$2)/Цены!Y$2</f>
        <v>-9.1324815063887108E-2</v>
      </c>
      <c r="AA50">
        <f>(Цены!Z50-Цены!Z$2)/Цены!Z$2</f>
        <v>8.0691642651296913E-2</v>
      </c>
      <c r="AB50">
        <f>(Цены!AA50-Цены!AA$2)/Цены!AA$2</f>
        <v>-4.6384720327421441E-2</v>
      </c>
      <c r="AC50">
        <f>(Цены!AB50-Цены!AB$2)/Цены!AB$2</f>
        <v>1.9819819819819819E-2</v>
      </c>
      <c r="AD50">
        <f>(Цены!AC50-Цены!AC$2)/Цены!AC$2</f>
        <v>-4.4455182411210506E-2</v>
      </c>
      <c r="AE50">
        <f>(Цены!AD50-Цены!AD$2)/Цены!AD$2</f>
        <v>6.1723886048210386E-2</v>
      </c>
      <c r="AF50">
        <f>(Цены!AE50-Цены!AE$2)/Цены!AE$2</f>
        <v>3.3973412112259974E-2</v>
      </c>
      <c r="AG50">
        <f>(Цены!AF50-Цены!AF$2)/Цены!AF$2</f>
        <v>-1.937984496124031E-2</v>
      </c>
      <c r="AH50">
        <f>(Цены!AG50-Цены!AG$2)/Цены!AG$2</f>
        <v>-2.8079132099553143E-2</v>
      </c>
      <c r="AI50">
        <f>(Цены!AH50-Цены!AH$2)/Цены!AH$2</f>
        <v>-0.19100660066006606</v>
      </c>
      <c r="AJ50">
        <f>(Цены!AI50-Цены!AI$2)/Цены!AI$2</f>
        <v>-0.10529938059187884</v>
      </c>
      <c r="AK50">
        <f>(Цены!AJ50-Цены!AJ$2)/Цены!AJ$2</f>
        <v>2.0168855534709193E-2</v>
      </c>
      <c r="AL50">
        <f>(Цены!AK50-Цены!AK$2)/Цены!AK$2</f>
        <v>-0.10026892047637345</v>
      </c>
      <c r="AM50">
        <f>(Цены!AL50-Цены!AL$2)/Цены!AL$2</f>
        <v>-7.0982142857142883E-2</v>
      </c>
      <c r="AN50">
        <f>(Цены!AM50-Цены!AM$2)/Цены!AM$2</f>
        <v>-1.9178082191780823E-2</v>
      </c>
      <c r="AO50">
        <f>(Цены!AN50-Цены!AN$2)/Цены!AN$2</f>
        <v>-4.811594202898551E-2</v>
      </c>
      <c r="AP50">
        <f>(Цены!AO50-Цены!AO$2)/Цены!AO$2</f>
        <v>1.0989010989011014E-2</v>
      </c>
      <c r="AQ50">
        <f>(Цены!AP50-Цены!AP$2)/Цены!AP$2</f>
        <v>-4.5871559633027525E-2</v>
      </c>
      <c r="AR50">
        <f>(Цены!AQ50-Цены!AQ$2)/Цены!AQ$2</f>
        <v>4.8681541582150101E-2</v>
      </c>
      <c r="AS50">
        <f>(Цены!AR50-Цены!AR$2)/Цены!AR$2</f>
        <v>-0.12510220768601796</v>
      </c>
      <c r="AT50">
        <f>(Цены!AS50-Цены!AS$2)/Цены!AS$2</f>
        <v>-3.2818532818532739E-2</v>
      </c>
      <c r="AU50">
        <f>(Цены!AT50-Цены!AT$2)/Цены!AT$2</f>
        <v>-3.621169916434528E-2</v>
      </c>
      <c r="AV50">
        <f>(Цены!AU50-Цены!AU$2)/Цены!AU$2</f>
        <v>8.0240722166499495E-2</v>
      </c>
      <c r="AW50">
        <f>(Цены!AV50-Цены!AV$2)/Цены!AV$2</f>
        <v>0.10845329581123493</v>
      </c>
      <c r="AX50">
        <f>(Цены!AW50-Цены!AW$2)/Цены!AW$2</f>
        <v>-0.1297777777777778</v>
      </c>
      <c r="AY50">
        <f>(Цены!AX50-Цены!AX$2)/Цены!AX$2</f>
        <v>0.16244411326378538</v>
      </c>
    </row>
    <row r="51" spans="1:51" x14ac:dyDescent="0.2">
      <c r="A51" s="1" t="s">
        <v>116</v>
      </c>
      <c r="B51" s="2">
        <v>49</v>
      </c>
      <c r="C51">
        <f>(Цены!B51-Цены!B$2)/Цены!B$2</f>
        <v>2.908016345944793E-2</v>
      </c>
      <c r="D51">
        <f>(Цены!C51-Цены!C$2)/Цены!C$2</f>
        <v>-8.9237668161435378E-3</v>
      </c>
      <c r="E51">
        <f>(Цены!D51-Цены!D$2)/Цены!D$2</f>
        <v>-9.7127792424022731E-4</v>
      </c>
      <c r="F51">
        <f>(Цены!E51-Цены!E$2)/Цены!E$2</f>
        <v>9.4136767095886989E-2</v>
      </c>
      <c r="G51">
        <f>(Цены!F51-Цены!F$2)/Цены!F$2</f>
        <v>6.8139963167587483E-2</v>
      </c>
      <c r="H51">
        <f>(Цены!G51-Цены!G$2)/Цены!G$2</f>
        <v>0.1823315853166598</v>
      </c>
      <c r="I51">
        <f>(Цены!H51-Цены!H$2)/Цены!H$2</f>
        <v>-2.06837606837607E-2</v>
      </c>
      <c r="J51">
        <f>(Цены!I51-Цены!I$2)/Цены!I$2</f>
        <v>6.7588325652841785E-2</v>
      </c>
      <c r="K51">
        <f>(Цены!J51-Цены!J$2)/Цены!J$2</f>
        <v>2.4508320726172535E-2</v>
      </c>
      <c r="L51">
        <f>(Цены!K51-Цены!K$2)/Цены!K$2</f>
        <v>0.12051100070972318</v>
      </c>
      <c r="M51">
        <f>(Цены!L51-Цены!L$2)/Цены!L$2</f>
        <v>-2.2414886868259674E-2</v>
      </c>
      <c r="N51">
        <f>(Цены!M51-Цены!M$2)/Цены!M$2</f>
        <v>-1.8313752591568606E-2</v>
      </c>
      <c r="O51">
        <f>(Цены!N51-Цены!N$2)/Цены!N$2</f>
        <v>-5.559933455914539E-2</v>
      </c>
      <c r="P51">
        <f>(Цены!O51-Цены!O$2)/Цены!O$2</f>
        <v>3.3375634517766595E-2</v>
      </c>
      <c r="Q51">
        <f>(Цены!P51-Цены!P$2)/Цены!P$2</f>
        <v>3.2331070158411214E-4</v>
      </c>
      <c r="R51">
        <f>(Цены!Q51-Цены!Q$2)/Цены!Q$2</f>
        <v>0.16581196581196578</v>
      </c>
      <c r="S51">
        <f>(Цены!R51-Цены!R$2)/Цены!R$2</f>
        <v>-3.543307086614178E-2</v>
      </c>
      <c r="T51">
        <f>(Цены!S51-Цены!S$2)/Цены!S$2</f>
        <v>-8.8113207547169822E-2</v>
      </c>
      <c r="U51">
        <f>(Цены!T51-Цены!T$2)/Цены!T$2</f>
        <v>0.14428242517267828</v>
      </c>
      <c r="V51">
        <f>(Цены!U51-Цены!U$2)/Цены!U$2</f>
        <v>-4.6627810158201499E-2</v>
      </c>
      <c r="W51">
        <f>(Цены!V51-Цены!V$2)/Цены!V$2</f>
        <v>-0.16313364055299537</v>
      </c>
      <c r="X51">
        <f>(Цены!W51-Цены!W$2)/Цены!W$2</f>
        <v>-7.8121618697251663E-2</v>
      </c>
      <c r="Y51">
        <f>(Цены!X51-Цены!X$2)/Цены!X$2</f>
        <v>8.9076723016904988E-2</v>
      </c>
      <c r="Z51">
        <f>(Цены!Y51-Цены!Y$2)/Цены!Y$2</f>
        <v>-8.3254875588433169E-2</v>
      </c>
      <c r="AA51">
        <f>(Цены!Z51-Цены!Z$2)/Цены!Z$2</f>
        <v>8.213256484149864E-2</v>
      </c>
      <c r="AB51">
        <f>(Цены!AA51-Цены!AA$2)/Цены!AA$2</f>
        <v>-4.399727148703949E-2</v>
      </c>
      <c r="AC51">
        <f>(Цены!AB51-Цены!AB$2)/Цены!AB$2</f>
        <v>1.7417417417417418E-2</v>
      </c>
      <c r="AD51">
        <f>(Цены!AC51-Цены!AC$2)/Цены!AC$2</f>
        <v>-3.9260690988161359E-2</v>
      </c>
      <c r="AE51">
        <f>(Цены!AD51-Цены!AD$2)/Цены!AD$2</f>
        <v>2.4470416362308317E-2</v>
      </c>
      <c r="AF51">
        <f>(Цены!AE51-Цены!AE$2)/Цены!AE$2</f>
        <v>3.6927621861152143E-2</v>
      </c>
      <c r="AG51">
        <f>(Цены!AF51-Цены!AF$2)/Цены!AF$2</f>
        <v>-2.5436046511627907E-2</v>
      </c>
      <c r="AH51">
        <f>(Цены!AG51-Цены!AG$2)/Цены!AG$2</f>
        <v>-3.126994256541147E-2</v>
      </c>
      <c r="AI51">
        <f>(Цены!AH51-Цены!AH$2)/Цены!AH$2</f>
        <v>-0.16377887788778883</v>
      </c>
      <c r="AJ51">
        <f>(Цены!AI51-Цены!AI$2)/Цены!AI$2</f>
        <v>-0.10736407432897445</v>
      </c>
      <c r="AK51">
        <f>(Цены!AJ51-Цены!AJ$2)/Цены!AJ$2</f>
        <v>2.0168855534709193E-2</v>
      </c>
      <c r="AL51">
        <f>(Цены!AK51-Цены!AK$2)/Цены!AK$2</f>
        <v>-0.10161352285824064</v>
      </c>
      <c r="AM51">
        <f>(Цены!AL51-Цены!AL$2)/Цены!AL$2</f>
        <v>-8.0803571428571405E-2</v>
      </c>
      <c r="AN51">
        <f>(Цены!AM51-Цены!AM$2)/Цены!AM$2</f>
        <v>-1.3698630136986301E-2</v>
      </c>
      <c r="AO51">
        <f>(Цены!AN51-Цены!AN$2)/Цены!AN$2</f>
        <v>-4.6956521739130432E-2</v>
      </c>
      <c r="AP51">
        <f>(Цены!AO51-Цены!AO$2)/Цены!AO$2</f>
        <v>1.6483516483516456E-2</v>
      </c>
      <c r="AQ51">
        <f>(Цены!AP51-Цены!AP$2)/Цены!AP$2</f>
        <v>-4.5871559633027525E-2</v>
      </c>
      <c r="AR51">
        <f>(Цены!AQ51-Цены!AQ$2)/Цены!AQ$2</f>
        <v>3.4482758620689655E-2</v>
      </c>
      <c r="AS51">
        <f>(Цены!AR51-Цены!AR$2)/Цены!AR$2</f>
        <v>-0.13573180703188875</v>
      </c>
      <c r="AT51">
        <f>(Цены!AS51-Цены!AS$2)/Цены!AS$2</f>
        <v>-3.7644787644787563E-2</v>
      </c>
      <c r="AU51">
        <f>(Цены!AT51-Цены!AT$2)/Цены!AT$2</f>
        <v>-4.735376044568234E-2</v>
      </c>
      <c r="AV51">
        <f>(Цены!AU51-Цены!AU$2)/Цены!AU$2</f>
        <v>0.10030090270812438</v>
      </c>
      <c r="AW51">
        <f>(Цены!AV51-Цены!AV$2)/Цены!AV$2</f>
        <v>0.13053360753328286</v>
      </c>
      <c r="AX51">
        <f>(Цены!AW51-Цены!AW$2)/Цены!AW$2</f>
        <v>-0.12422222222222223</v>
      </c>
      <c r="AY51">
        <f>(Цены!AX51-Цены!AX$2)/Цены!AX$2</f>
        <v>0.15648286140089418</v>
      </c>
    </row>
    <row r="52" spans="1:51" x14ac:dyDescent="0.2">
      <c r="A52" s="1" t="s">
        <v>117</v>
      </c>
      <c r="B52" s="2">
        <v>50</v>
      </c>
      <c r="C52">
        <f>(Цены!B52-Цены!B$2)/Цены!B$2</f>
        <v>2.124440382115305E-2</v>
      </c>
      <c r="D52">
        <f>(Цены!C52-Цены!C$2)/Цены!C$2</f>
        <v>-2.0403587443946238E-2</v>
      </c>
      <c r="E52">
        <f>(Цены!D52-Цены!D$2)/Цены!D$2</f>
        <v>-1.1447204107117923E-2</v>
      </c>
      <c r="F52">
        <f>(Цены!E52-Цены!E$2)/Цены!E$2</f>
        <v>8.1385173146643328E-2</v>
      </c>
      <c r="G52">
        <f>(Цены!F52-Цены!F$2)/Цены!F$2</f>
        <v>6.2615101289134445E-2</v>
      </c>
      <c r="H52">
        <f>(Цены!G52-Цены!G$2)/Цены!G$2</f>
        <v>0.18313836224283975</v>
      </c>
      <c r="I52">
        <f>(Цены!H52-Цены!H$2)/Цены!H$2</f>
        <v>-3.9145299145299128E-2</v>
      </c>
      <c r="J52">
        <f>(Цены!I52-Цены!I$2)/Цены!I$2</f>
        <v>5.5555555555555552E-2</v>
      </c>
      <c r="K52">
        <f>(Цены!J52-Цены!J$2)/Цены!J$2</f>
        <v>2.5718608169440244E-2</v>
      </c>
      <c r="L52">
        <f>(Цены!K52-Цены!K$2)/Цены!K$2</f>
        <v>0.10702625975869408</v>
      </c>
      <c r="M52">
        <f>(Цены!L52-Цены!L$2)/Цены!L$2</f>
        <v>-2.3049270458870796E-2</v>
      </c>
      <c r="N52">
        <f>(Цены!M52-Цены!M$2)/Цены!M$2</f>
        <v>-2.8680027643399983E-2</v>
      </c>
      <c r="O52">
        <f>(Цены!N52-Цены!N$2)/Цены!N$2</f>
        <v>-5.5249102530426308E-2</v>
      </c>
      <c r="P52">
        <f>(Цены!O52-Цены!O$2)/Цены!O$2</f>
        <v>2.7664974619289E-2</v>
      </c>
      <c r="Q52">
        <f>(Цены!P52-Цены!P$2)/Цены!P$2</f>
        <v>-1.0604591011962591E-2</v>
      </c>
      <c r="R52">
        <f>(Цены!Q52-Цены!Q$2)/Цены!Q$2</f>
        <v>0.17333333333333326</v>
      </c>
      <c r="S52">
        <f>(Цены!R52-Цены!R$2)/Цены!R$2</f>
        <v>-3.1599668462494818E-2</v>
      </c>
      <c r="T52">
        <f>(Цены!S52-Цены!S$2)/Цены!S$2</f>
        <v>-8.71698113207547E-2</v>
      </c>
      <c r="U52">
        <f>(Цены!T52-Цены!T$2)/Цены!T$2</f>
        <v>0.13660782808902519</v>
      </c>
      <c r="V52">
        <f>(Цены!U52-Цены!U$2)/Цены!U$2</f>
        <v>-5.4121565362198171E-2</v>
      </c>
      <c r="W52">
        <f>(Цены!V52-Цены!V$2)/Цены!V$2</f>
        <v>-0.18202764976958521</v>
      </c>
      <c r="X52">
        <f>(Цены!W52-Цены!W$2)/Цены!W$2</f>
        <v>-7.4009954555291094E-2</v>
      </c>
      <c r="Y52">
        <f>(Цены!X52-Цены!X$2)/Цены!X$2</f>
        <v>8.9076723016904988E-2</v>
      </c>
      <c r="Z52">
        <f>(Цены!Y52-Цены!Y$2)/Цены!Y$2</f>
        <v>-8.3254875588433169E-2</v>
      </c>
      <c r="AA52">
        <f>(Цены!Z52-Цены!Z$2)/Цены!Z$2</f>
        <v>8.0979827089337222E-2</v>
      </c>
      <c r="AB52">
        <f>(Цены!AA52-Цены!AA$2)/Цены!AA$2</f>
        <v>-2.4215552523874372E-2</v>
      </c>
      <c r="AC52">
        <f>(Цены!AB52-Цены!AB$2)/Цены!AB$2</f>
        <v>1.3213213213213212E-2</v>
      </c>
      <c r="AD52">
        <f>(Цены!AC52-Цены!AC$2)/Цены!AC$2</f>
        <v>-4.3126359023918766E-2</v>
      </c>
      <c r="AE52">
        <f>(Цены!AD52-Цены!AD$2)/Цены!AD$2</f>
        <v>1.1687363038714401E-2</v>
      </c>
      <c r="AF52">
        <f>(Цены!AE52-Цены!AE$2)/Цены!AE$2</f>
        <v>3.10192023633678E-2</v>
      </c>
      <c r="AG52">
        <f>(Цены!AF52-Цены!AF$2)/Цены!AF$2</f>
        <v>-2.8585271317829484E-2</v>
      </c>
      <c r="AH52">
        <f>(Цены!AG52-Цены!AG$2)/Цены!AG$2</f>
        <v>-3.318442884492654E-2</v>
      </c>
      <c r="AI52">
        <f>(Цены!AH52-Цены!AH$2)/Цены!AH$2</f>
        <v>-0.17161716171617158</v>
      </c>
      <c r="AJ52">
        <f>(Цены!AI52-Цены!AI$2)/Цены!AI$2</f>
        <v>-9.1534755677907781E-2</v>
      </c>
      <c r="AK52">
        <f>(Цены!AJ52-Цены!AJ$2)/Цены!AJ$2</f>
        <v>2.0872420262664164E-2</v>
      </c>
      <c r="AL52">
        <f>(Цены!AK52-Цены!AK$2)/Цены!AK$2</f>
        <v>-0.11986169804072234</v>
      </c>
      <c r="AM52">
        <f>(Цены!AL52-Цены!AL$2)/Цены!AL$2</f>
        <v>-8.9285714285714288E-2</v>
      </c>
      <c r="AN52">
        <f>(Цены!AM52-Цены!AM$2)/Цены!AM$2</f>
        <v>-2.6484018264840183E-2</v>
      </c>
      <c r="AO52">
        <f>(Цены!AN52-Цены!AN$2)/Цены!AN$2</f>
        <v>-4.9855072463768114E-2</v>
      </c>
      <c r="AP52">
        <f>(Цены!AO52-Цены!AO$2)/Цены!AO$2</f>
        <v>1.46520146520146E-2</v>
      </c>
      <c r="AQ52">
        <f>(Цены!AP52-Цены!AP$2)/Цены!AP$2</f>
        <v>-4.1284403669724773E-2</v>
      </c>
      <c r="AR52">
        <f>(Цены!AQ52-Цены!AQ$2)/Цены!AQ$2</f>
        <v>4.0567951318458417E-2</v>
      </c>
      <c r="AS52">
        <f>(Цены!AR52-Цены!AR$2)/Цены!AR$2</f>
        <v>-0.13327882256745704</v>
      </c>
      <c r="AT52">
        <f>(Цены!AS52-Цены!AS$2)/Цены!AS$2</f>
        <v>-3.5714285714285608E-2</v>
      </c>
      <c r="AU52">
        <f>(Цены!AT52-Цены!AT$2)/Цены!AT$2</f>
        <v>-4.178272980501397E-2</v>
      </c>
      <c r="AV52">
        <f>(Цены!AU52-Цены!AU$2)/Цены!AU$2</f>
        <v>8.8264794383149422E-2</v>
      </c>
      <c r="AW52">
        <f>(Цены!AV52-Цены!AV$2)/Цены!AV$2</f>
        <v>0.12176642493776382</v>
      </c>
      <c r="AX52">
        <f>(Цены!AW52-Цены!AW$2)/Цены!AW$2</f>
        <v>-0.12622222222222226</v>
      </c>
      <c r="AY52">
        <f>(Цены!AX52-Цены!AX$2)/Цены!AX$2</f>
        <v>0.18926974664679583</v>
      </c>
    </row>
    <row r="53" spans="1:51" x14ac:dyDescent="0.2">
      <c r="A53" s="1" t="s">
        <v>118</v>
      </c>
      <c r="B53" s="2">
        <v>51</v>
      </c>
      <c r="C53">
        <f>(Цены!B53-Цены!B$2)/Цены!B$2</f>
        <v>2.231372322819097E-2</v>
      </c>
      <c r="D53">
        <f>(Цены!C53-Цены!C$2)/Цены!C$2</f>
        <v>-2.376681614349781E-2</v>
      </c>
      <c r="E53">
        <f>(Цены!D53-Цены!D$2)/Цены!D$2</f>
        <v>-1.3181628971832783E-2</v>
      </c>
      <c r="F53">
        <f>(Цены!E53-Цены!E$2)/Цены!E$2</f>
        <v>8.376047005875735E-2</v>
      </c>
      <c r="G53">
        <f>(Цены!F53-Цены!F$2)/Цены!F$2</f>
        <v>5.5064456721915282E-2</v>
      </c>
      <c r="H53">
        <f>(Цены!G53-Цены!G$2)/Цены!G$2</f>
        <v>0.1761462955492806</v>
      </c>
      <c r="I53">
        <f>(Цены!H53-Цены!H$2)/Цены!H$2</f>
        <v>-3.98290598290598E-2</v>
      </c>
      <c r="J53">
        <f>(Цены!I53-Цены!I$2)/Цены!I$2</f>
        <v>5.7603686635944701E-2</v>
      </c>
      <c r="K53">
        <f>(Цены!J53-Цены!J$2)/Цены!J$2</f>
        <v>3.5022692889561238E-2</v>
      </c>
      <c r="L53">
        <f>(Цены!K53-Цены!K$2)/Цены!K$2</f>
        <v>0.11639460610361958</v>
      </c>
      <c r="M53">
        <f>(Цены!L53-Цены!L$2)/Цены!L$2</f>
        <v>-2.0934658490167055E-2</v>
      </c>
      <c r="N53">
        <f>(Цены!M53-Цены!M$2)/Цены!M$2</f>
        <v>-1.8659295093296398E-2</v>
      </c>
      <c r="O53">
        <f>(Цены!N53-Цены!N$2)/Цены!N$2</f>
        <v>-7.0921985815602787E-2</v>
      </c>
      <c r="P53">
        <f>(Цены!O53-Цены!O$2)/Цены!O$2</f>
        <v>4.5685279187817299E-2</v>
      </c>
      <c r="Q53">
        <f>(Цены!P53-Цены!P$2)/Цены!P$2</f>
        <v>-2.0174587778855509E-2</v>
      </c>
      <c r="R53">
        <f>(Цены!Q53-Цены!Q$2)/Цены!Q$2</f>
        <v>0.19874643874643871</v>
      </c>
      <c r="S53">
        <f>(Цены!R53-Цены!R$2)/Цены!R$2</f>
        <v>-3.5536676336510635E-2</v>
      </c>
      <c r="T53">
        <f>(Цены!S53-Цены!S$2)/Цены!S$2</f>
        <v>-8.3773584905660364E-2</v>
      </c>
      <c r="U53">
        <f>(Цены!T53-Цены!T$2)/Цены!T$2</f>
        <v>0.14965464313123561</v>
      </c>
      <c r="V53">
        <f>(Цены!U53-Цены!U$2)/Цены!U$2</f>
        <v>-5.5786844296419648E-2</v>
      </c>
      <c r="W53">
        <f>(Цены!V53-Цены!V$2)/Цены!V$2</f>
        <v>-0.15944700460829497</v>
      </c>
      <c r="X53">
        <f>(Цены!W53-Цены!W$2)/Цены!W$2</f>
        <v>-6.6219433023155208E-2</v>
      </c>
      <c r="Y53">
        <f>(Цены!X53-Цены!X$2)/Цены!X$2</f>
        <v>8.74512353706111E-2</v>
      </c>
      <c r="Z53">
        <f>(Цены!Y53-Цены!Y$2)/Цены!Y$2</f>
        <v>-7.9488903833221297E-2</v>
      </c>
      <c r="AA53">
        <f>(Цены!Z53-Цены!Z$2)/Цены!Z$2</f>
        <v>8.3573487031700366E-2</v>
      </c>
      <c r="AB53">
        <f>(Цены!AA53-Цены!AA$2)/Цены!AA$2</f>
        <v>-4.5020463847203235E-2</v>
      </c>
      <c r="AC53">
        <f>(Цены!AB53-Цены!AB$2)/Цены!AB$2</f>
        <v>2.4624624624624624E-2</v>
      </c>
      <c r="AD53">
        <f>(Цены!AC53-Цены!AC$2)/Цены!AC$2</f>
        <v>-4.6508818555206548E-2</v>
      </c>
      <c r="AE53">
        <f>(Цены!AD53-Цены!AD$2)/Цены!AD$2</f>
        <v>3.94448502556611E-2</v>
      </c>
      <c r="AF53">
        <f>(Цены!AE53-Цены!AE$2)/Цены!AE$2</f>
        <v>2.6587887740029542E-2</v>
      </c>
      <c r="AG53">
        <f>(Цены!AF53-Цены!AF$2)/Цены!AF$2</f>
        <v>-2.3498062015503848E-2</v>
      </c>
      <c r="AH53">
        <f>(Цены!AG53-Цены!AG$2)/Цены!AG$2</f>
        <v>-3.5098915124441611E-2</v>
      </c>
      <c r="AI53">
        <f>(Цены!AH53-Цены!AH$2)/Цены!AH$2</f>
        <v>-0.15841584158415845</v>
      </c>
      <c r="AJ53">
        <f>(Цены!AI53-Цены!AI$2)/Цены!AI$2</f>
        <v>-9.5664143152099021E-2</v>
      </c>
      <c r="AK53">
        <f>(Цены!AJ53-Цены!AJ$2)/Цены!AJ$2</f>
        <v>2.0872420262664164E-2</v>
      </c>
      <c r="AL53">
        <f>(Цены!AK53-Цены!AK$2)/Цены!AK$2</f>
        <v>-0.11179408374951992</v>
      </c>
      <c r="AM53">
        <f>(Цены!AL53-Цены!AL$2)/Цены!AL$2</f>
        <v>-9.5089285714285765E-2</v>
      </c>
      <c r="AN53">
        <f>(Цены!AM53-Цены!AM$2)/Цены!AM$2</f>
        <v>-2.2374429223744292E-2</v>
      </c>
      <c r="AO53">
        <f>(Цены!AN53-Цены!AN$2)/Цены!AN$2</f>
        <v>-4.9855072463768114E-2</v>
      </c>
      <c r="AP53">
        <f>(Цены!AO53-Цены!AO$2)/Цены!AO$2</f>
        <v>2.19780219780219E-2</v>
      </c>
      <c r="AQ53">
        <f>(Цены!AP53-Цены!AP$2)/Цены!AP$2</f>
        <v>-5.0458715596330278E-2</v>
      </c>
      <c r="AR53">
        <f>(Цены!AQ53-Цены!AQ$2)/Цены!AQ$2</f>
        <v>1.8255578093306288E-2</v>
      </c>
      <c r="AS53">
        <f>(Цены!AR53-Цены!AR$2)/Цены!AR$2</f>
        <v>-0.13082583810302534</v>
      </c>
      <c r="AT53">
        <f>(Цены!AS53-Цены!AS$2)/Цены!AS$2</f>
        <v>-3.4749034749034693E-2</v>
      </c>
      <c r="AU53">
        <f>(Цены!AT53-Цены!AT$2)/Цены!AT$2</f>
        <v>-4.4568245125348231E-2</v>
      </c>
      <c r="AV53">
        <f>(Цены!AU53-Цены!AU$2)/Цены!AU$2</f>
        <v>0.10330992978936808</v>
      </c>
      <c r="AW53">
        <f>(Цены!AV53-Цены!AV$2)/Цены!AV$2</f>
        <v>0.12577118735793921</v>
      </c>
      <c r="AX53">
        <f>(Цены!AW53-Цены!AW$2)/Цены!AW$2</f>
        <v>-0.12044444444444449</v>
      </c>
      <c r="AY53">
        <f>(Цены!AX53-Цены!AX$2)/Цены!AX$2</f>
        <v>0.13263785394932937</v>
      </c>
    </row>
    <row r="54" spans="1:51" x14ac:dyDescent="0.2">
      <c r="A54" s="1" t="s">
        <v>119</v>
      </c>
      <c r="B54" s="2">
        <v>52</v>
      </c>
      <c r="C54">
        <f>(Цены!B54-Цены!B$2)/Цены!B$2</f>
        <v>4.1304125975587636E-2</v>
      </c>
      <c r="D54">
        <f>(Цены!C54-Цены!C$2)/Цены!C$2</f>
        <v>6.9058295964125205E-3</v>
      </c>
      <c r="E54">
        <f>(Цены!D54-Цены!D$2)/Цены!D$2</f>
        <v>9.7821562369919887E-3</v>
      </c>
      <c r="F54">
        <f>(Цены!E54-Цены!E$2)/Цены!E$2</f>
        <v>0.11563945493186649</v>
      </c>
      <c r="G54">
        <f>(Цены!F54-Цены!F$2)/Цены!F$2</f>
        <v>6.5009208103130753E-2</v>
      </c>
      <c r="H54">
        <f>(Цены!G54-Цены!G$2)/Цены!G$2</f>
        <v>0.21514051364797632</v>
      </c>
      <c r="I54">
        <f>(Цены!H54-Цены!H$2)/Цены!H$2</f>
        <v>-2.8376068376068316E-2</v>
      </c>
      <c r="J54">
        <f>(Цены!I54-Цены!I$2)/Цены!I$2</f>
        <v>7.3220686123911929E-2</v>
      </c>
      <c r="K54">
        <f>(Цены!J54-Цены!J$2)/Цены!J$2</f>
        <v>3.7821482602118005E-2</v>
      </c>
      <c r="L54">
        <f>(Цены!K54-Цены!K$2)/Цены!K$2</f>
        <v>0.1527324343506033</v>
      </c>
      <c r="M54">
        <f>(Цены!L54-Цены!L$2)/Цены!L$2</f>
        <v>-4.2503700570945234E-2</v>
      </c>
      <c r="N54">
        <f>(Цены!M54-Цены!M$2)/Цены!M$2</f>
        <v>-4.8375950241878966E-3</v>
      </c>
      <c r="O54">
        <f>(Цены!N54-Цены!N$2)/Цены!N$2</f>
        <v>-6.8382803607389797E-2</v>
      </c>
      <c r="P54">
        <f>(Цены!O54-Цены!O$2)/Цены!O$2</f>
        <v>4.9238578680202698E-2</v>
      </c>
      <c r="Q54">
        <f>(Цены!P54-Цены!P$2)/Цены!P$2</f>
        <v>-2.4571613320400611E-3</v>
      </c>
      <c r="R54">
        <f>(Цены!Q54-Цены!Q$2)/Цены!Q$2</f>
        <v>0.22735042735042738</v>
      </c>
      <c r="S54">
        <f>(Цены!R54-Цены!R$2)/Цены!R$2</f>
        <v>-2.3725652714463415E-2</v>
      </c>
      <c r="T54">
        <f>(Цены!S54-Цены!S$2)/Цены!S$2</f>
        <v>-8.1886792452830134E-2</v>
      </c>
      <c r="U54">
        <f>(Цены!T54-Цены!T$2)/Цены!T$2</f>
        <v>0.1128165771297006</v>
      </c>
      <c r="V54">
        <f>(Цены!U54-Цены!U$2)/Цены!U$2</f>
        <v>-5.2039966694421312E-2</v>
      </c>
      <c r="W54">
        <f>(Цены!V54-Цены!V$2)/Цены!V$2</f>
        <v>-0.15391705069124423</v>
      </c>
      <c r="X54">
        <f>(Цены!W54-Цены!W$2)/Цены!W$2</f>
        <v>-3.6247565462021299E-2</v>
      </c>
      <c r="Y54">
        <f>(Цены!X54-Цены!X$2)/Цены!X$2</f>
        <v>8.9076723016904988E-2</v>
      </c>
      <c r="Z54">
        <f>(Цены!Y54-Цены!Y$2)/Цены!Y$2</f>
        <v>-8.0026899798251505E-2</v>
      </c>
      <c r="AA54">
        <f>(Цены!Z54-Цены!Z$2)/Цены!Z$2</f>
        <v>9.5100864553314207E-2</v>
      </c>
      <c r="AB54">
        <f>(Цены!AA54-Цены!AA$2)/Цены!AA$2</f>
        <v>-0.11869031377899049</v>
      </c>
      <c r="AC54">
        <f>(Цены!AB54-Цены!AB$2)/Цены!AB$2</f>
        <v>1.3813813813813814E-2</v>
      </c>
      <c r="AD54">
        <f>(Цены!AC54-Цены!AC$2)/Цены!AC$2</f>
        <v>-4.3730369654505934E-2</v>
      </c>
      <c r="AE54">
        <f>(Цены!AD54-Цены!AD$2)/Цены!AD$2</f>
        <v>5.734112490869249E-2</v>
      </c>
      <c r="AF54">
        <f>(Цены!AE54-Цены!AE$2)/Цены!AE$2</f>
        <v>1.4771048744460856E-2</v>
      </c>
      <c r="AG54">
        <f>(Цены!AF54-Цены!AF$2)/Цены!AF$2</f>
        <v>-2.0348837209302407E-2</v>
      </c>
      <c r="AH54">
        <f>(Цены!AG54-Цены!AG$2)/Цены!AG$2</f>
        <v>-3.6375239310784867E-2</v>
      </c>
      <c r="AI54">
        <f>(Цены!AH54-Цены!AH$2)/Цены!AH$2</f>
        <v>-0.12953795379537955</v>
      </c>
      <c r="AJ54">
        <f>(Цены!AI54-Цены!AI$2)/Цены!AI$2</f>
        <v>-9.1534755677907781E-2</v>
      </c>
      <c r="AK54">
        <f>(Цены!AJ54-Цены!AJ$2)/Цены!AJ$2</f>
        <v>2.6969981238273922E-2</v>
      </c>
      <c r="AL54">
        <f>(Цены!AK54-Цены!AK$2)/Цены!AK$2</f>
        <v>-0.11947752593161751</v>
      </c>
      <c r="AM54">
        <f>(Цены!AL54-Цены!AL$2)/Цены!AL$2</f>
        <v>-9.1964285714285693E-2</v>
      </c>
      <c r="AN54">
        <f>(Цены!AM54-Цены!AM$2)/Цены!AM$2</f>
        <v>-2.3744292237442923E-2</v>
      </c>
      <c r="AO54">
        <f>(Цены!AN54-Цены!AN$2)/Цены!AN$2</f>
        <v>-5.1594202898550726E-2</v>
      </c>
      <c r="AP54">
        <f>(Цены!AO54-Цены!AO$2)/Цены!AO$2</f>
        <v>6.0439560439560384E-2</v>
      </c>
      <c r="AQ54">
        <f>(Цены!AP54-Цены!AP$2)/Цены!AP$2</f>
        <v>-4.1284403669724773E-2</v>
      </c>
      <c r="AR54">
        <f>(Цены!AQ54-Цены!AQ$2)/Цены!AQ$2</f>
        <v>1.4198782961460446E-2</v>
      </c>
      <c r="AS54">
        <f>(Цены!AR54-Цены!AR$2)/Цены!AR$2</f>
        <v>-0.1340964840556009</v>
      </c>
      <c r="AT54">
        <f>(Цены!AS54-Цены!AS$2)/Цены!AS$2</f>
        <v>-3.4749034749034693E-2</v>
      </c>
      <c r="AU54">
        <f>(Цены!AT54-Цены!AT$2)/Цены!AT$2</f>
        <v>-3.8997214484679701E-2</v>
      </c>
      <c r="AV54">
        <f>(Цены!AU54-Цены!AU$2)/Цены!AU$2</f>
        <v>0.12136409227683043</v>
      </c>
      <c r="AW54">
        <f>(Цены!AV54-Цены!AV$2)/Цены!AV$2</f>
        <v>0.117112241584587</v>
      </c>
      <c r="AX54">
        <f>(Цены!AW54-Цены!AW$2)/Цены!AW$2</f>
        <v>-0.11777777777777776</v>
      </c>
      <c r="AY54">
        <f>(Цены!AX54-Цены!AX$2)/Цены!AX$2</f>
        <v>0.17734724292101342</v>
      </c>
    </row>
    <row r="55" spans="1:51" x14ac:dyDescent="0.2">
      <c r="A55" s="1" t="s">
        <v>120</v>
      </c>
      <c r="B55" s="2">
        <v>53</v>
      </c>
      <c r="C55">
        <f>(Цены!B55-Цены!B$2)/Цены!B$2</f>
        <v>4.0647448497406626E-2</v>
      </c>
      <c r="D55">
        <f>(Цены!C55-Цены!C$2)/Цены!C$2</f>
        <v>1.6636771300448466E-2</v>
      </c>
      <c r="E55">
        <f>(Цены!D55-Цены!D$2)/Цены!D$2</f>
        <v>5.688913556264893E-3</v>
      </c>
      <c r="F55">
        <f>(Цены!E55-Цены!E$2)/Цены!E$2</f>
        <v>0.10401300162520315</v>
      </c>
      <c r="G55">
        <f>(Цены!F55-Цены!F$2)/Цены!F$2</f>
        <v>7.7163904235727443E-2</v>
      </c>
      <c r="H55">
        <f>(Цены!G55-Цены!G$2)/Цены!G$2</f>
        <v>0.21984671238402581</v>
      </c>
      <c r="I55">
        <f>(Цены!H55-Цены!H$2)/Цены!H$2</f>
        <v>-2.6666666666666707E-2</v>
      </c>
      <c r="J55">
        <f>(Цены!I55-Цены!I$2)/Цены!I$2</f>
        <v>7.1684587813620068E-2</v>
      </c>
      <c r="K55">
        <f>(Цены!J55-Цены!J$2)/Цены!J$2</f>
        <v>2.6853252647503781E-2</v>
      </c>
      <c r="L55">
        <f>(Цены!K55-Цены!K$2)/Цены!K$2</f>
        <v>0.14520936834634487</v>
      </c>
      <c r="M55">
        <f>(Цены!L55-Цены!L$2)/Цены!L$2</f>
        <v>-3.7851554239796997E-2</v>
      </c>
      <c r="N55">
        <f>(Цены!M55-Цены!M$2)/Цены!M$2</f>
        <v>-4.3020041465100169E-2</v>
      </c>
      <c r="O55">
        <f>(Цены!N55-Цены!N$2)/Цены!N$2</f>
        <v>-5.4373522458628788E-2</v>
      </c>
      <c r="P55">
        <f>(Цены!O55-Цены!O$2)/Цены!O$2</f>
        <v>6.8020304568527978E-2</v>
      </c>
      <c r="Q55">
        <f>(Цены!P55-Цены!P$2)/Цены!P$2</f>
        <v>-2.4571613320400611E-3</v>
      </c>
      <c r="R55">
        <f>(Цены!Q55-Цены!Q$2)/Цены!Q$2</f>
        <v>0.19999999999999996</v>
      </c>
      <c r="S55">
        <f>(Цены!R55-Цены!R$2)/Цены!R$2</f>
        <v>-2.4140074595938737E-2</v>
      </c>
      <c r="T55">
        <f>(Цены!S55-Цены!S$2)/Цены!S$2</f>
        <v>-8.4905660377358444E-2</v>
      </c>
      <c r="U55">
        <f>(Цены!T55-Цены!T$2)/Цены!T$2</f>
        <v>0.10821181887950877</v>
      </c>
      <c r="V55">
        <f>(Цены!U55-Цены!U$2)/Цены!U$2</f>
        <v>-3.4138218151540382E-2</v>
      </c>
      <c r="W55">
        <f>(Цены!V55-Цены!V$2)/Цены!V$2</f>
        <v>-0.14976958525345624</v>
      </c>
      <c r="X55">
        <f>(Цены!W55-Цены!W$2)/Цены!W$2</f>
        <v>-3.8195195845055194E-2</v>
      </c>
      <c r="Y55">
        <f>(Цены!X55-Цены!X$2)/Цены!X$2</f>
        <v>0.10338101430429113</v>
      </c>
      <c r="Z55">
        <f>(Цены!Y55-Цены!Y$2)/Цены!Y$2</f>
        <v>-8.5406859448554126E-2</v>
      </c>
      <c r="AA55">
        <f>(Цены!Z55-Цены!Z$2)/Цены!Z$2</f>
        <v>9.4236311239193113E-2</v>
      </c>
      <c r="AB55">
        <f>(Цены!AA55-Цены!AA$2)/Цены!AA$2</f>
        <v>-0.11630286493860835</v>
      </c>
      <c r="AC55">
        <f>(Цены!AB55-Цены!AB$2)/Цены!AB$2</f>
        <v>2.1021021021021023E-2</v>
      </c>
      <c r="AD55">
        <f>(Цены!AC55-Цены!AC$2)/Цены!AC$2</f>
        <v>-5.2669726987194944E-2</v>
      </c>
      <c r="AE55">
        <f>(Цены!AD55-Цены!AD$2)/Цены!AD$2</f>
        <v>5.8802045288531786E-2</v>
      </c>
      <c r="AF55">
        <f>(Цены!AE55-Цены!AE$2)/Цены!AE$2</f>
        <v>4.4313146233382573E-3</v>
      </c>
      <c r="AG55">
        <f>(Цены!AF55-Цены!AF$2)/Цены!AF$2</f>
        <v>-2.2286821705426327E-2</v>
      </c>
      <c r="AH55">
        <f>(Цены!AG55-Цены!AG$2)/Цены!AG$2</f>
        <v>-4.0204211869814828E-2</v>
      </c>
      <c r="AI55">
        <f>(Цены!AH55-Цены!AH$2)/Цены!AH$2</f>
        <v>-0.12623762376237621</v>
      </c>
      <c r="AJ55">
        <f>(Цены!AI55-Цены!AI$2)/Цены!AI$2</f>
        <v>-0.10598761183757738</v>
      </c>
      <c r="AK55">
        <f>(Цены!AJ55-Цены!AJ$2)/Цены!AJ$2</f>
        <v>2.7908067542213883E-2</v>
      </c>
      <c r="AL55">
        <f>(Цены!AK55-Цены!AK$2)/Цены!AK$2</f>
        <v>-0.11659623511333081</v>
      </c>
      <c r="AM55">
        <f>(Цены!AL55-Цены!AL$2)/Цены!AL$2</f>
        <v>-9.4196428571428542E-2</v>
      </c>
      <c r="AN55">
        <f>(Цены!AM55-Цены!AM$2)/Цены!AM$2</f>
        <v>-7.031963470319634E-2</v>
      </c>
      <c r="AO55">
        <f>(Цены!AN55-Цены!AN$2)/Цены!AN$2</f>
        <v>-5.4492753623188409E-2</v>
      </c>
      <c r="AP55">
        <f>(Цены!AO55-Цены!AO$2)/Цены!AO$2</f>
        <v>4.0293040293040212E-2</v>
      </c>
      <c r="AQ55">
        <f>(Цены!AP55-Цены!AP$2)/Цены!AP$2</f>
        <v>-3.669724770642202E-2</v>
      </c>
      <c r="AR55">
        <f>(Цены!AQ55-Цены!AQ$2)/Цены!AQ$2</f>
        <v>1.2170385395537525E-2</v>
      </c>
      <c r="AS55">
        <f>(Цены!AR55-Цены!AR$2)/Цены!AR$2</f>
        <v>-0.13327882256745704</v>
      </c>
      <c r="AT55">
        <f>(Цены!AS55-Цены!AS$2)/Цены!AS$2</f>
        <v>-3.2818532818532739E-2</v>
      </c>
      <c r="AU55">
        <f>(Цены!AT55-Цены!AT$2)/Цены!AT$2</f>
        <v>-3.3426183844011019E-2</v>
      </c>
      <c r="AV55">
        <f>(Цены!AU55-Цены!AU$2)/Цены!AU$2</f>
        <v>0.15847542627883648</v>
      </c>
      <c r="AW55">
        <f>(Цены!AV55-Цены!AV$2)/Цены!AV$2</f>
        <v>0.11516397878558286</v>
      </c>
      <c r="AX55">
        <f>(Цены!AW55-Цены!AW$2)/Цены!AW$2</f>
        <v>-0.11266666666666672</v>
      </c>
      <c r="AY55">
        <f>(Цены!AX55-Цены!AX$2)/Цены!AX$2</f>
        <v>0.19523099850968703</v>
      </c>
    </row>
    <row r="56" spans="1:51" x14ac:dyDescent="0.2">
      <c r="A56" s="1" t="s">
        <v>121</v>
      </c>
      <c r="B56" s="2">
        <v>54</v>
      </c>
      <c r="C56">
        <f>(Цены!B56-Цены!B$2)/Цены!B$2</f>
        <v>5.2977899253251262E-2</v>
      </c>
      <c r="D56">
        <f>(Цены!C56-Цены!C$2)/Цены!C$2</f>
        <v>3.1390134529147982E-2</v>
      </c>
      <c r="E56">
        <f>(Цены!D56-Цены!D$2)/Цены!D$2</f>
        <v>2.6779519911197543E-2</v>
      </c>
      <c r="F56">
        <f>(Цены!E56-Цены!E$2)/Цены!E$2</f>
        <v>0.1131391423927991</v>
      </c>
      <c r="G56">
        <f>(Цены!F56-Цены!F$2)/Цены!F$2</f>
        <v>8.6464088397790059E-2</v>
      </c>
      <c r="H56">
        <f>(Цены!G56-Цены!G$2)/Цены!G$2</f>
        <v>0.21850208417372596</v>
      </c>
      <c r="I56">
        <f>(Цены!H56-Цены!H$2)/Цены!H$2</f>
        <v>-8.5470085470085479E-3</v>
      </c>
      <c r="J56">
        <f>(Цены!I56-Цены!I$2)/Цены!I$2</f>
        <v>9.4726062467997946E-2</v>
      </c>
      <c r="K56">
        <f>(Цены!J56-Цены!J$2)/Цены!J$2</f>
        <v>4.3797276853252715E-2</v>
      </c>
      <c r="L56">
        <f>(Цены!K56-Цены!K$2)/Цены!K$2</f>
        <v>0.15869410929737396</v>
      </c>
      <c r="M56">
        <f>(Цены!L56-Цены!L$2)/Цены!L$2</f>
        <v>-4.3983928949037854E-2</v>
      </c>
      <c r="N56">
        <f>(Цены!M56-Цены!M$2)/Цены!M$2</f>
        <v>-3.6627505183137413E-2</v>
      </c>
      <c r="O56">
        <f>(Цены!N56-Цены!N$2)/Цены!N$2</f>
        <v>-3.773750109447499E-2</v>
      </c>
      <c r="P56">
        <f>(Цены!O56-Цены!O$2)/Цены!O$2</f>
        <v>9.1116751269035193E-2</v>
      </c>
      <c r="Q56">
        <f>(Цены!P56-Цены!P$2)/Цены!P$2</f>
        <v>1.7911412867765805E-2</v>
      </c>
      <c r="R56">
        <f>(Цены!Q56-Цены!Q$2)/Цены!Q$2</f>
        <v>0.20113960113960119</v>
      </c>
      <c r="S56">
        <f>(Цены!R56-Цены!R$2)/Цены!R$2</f>
        <v>-2.3829258184832865E-3</v>
      </c>
      <c r="T56">
        <f>(Цены!S56-Цены!S$2)/Цены!S$2</f>
        <v>-6.8113207547169721E-2</v>
      </c>
      <c r="U56">
        <f>(Цены!T56-Цены!T$2)/Цены!T$2</f>
        <v>0.11696085955487322</v>
      </c>
      <c r="V56">
        <f>(Цены!U56-Цены!U$2)/Цены!U$2</f>
        <v>-1.7901748542880933E-2</v>
      </c>
      <c r="W56">
        <f>(Цены!V56-Цены!V$2)/Цены!V$2</f>
        <v>-0.13456221198156673</v>
      </c>
      <c r="X56">
        <f>(Цены!W56-Цены!W$2)/Цены!W$2</f>
        <v>-2.3696169660246676E-2</v>
      </c>
      <c r="Y56">
        <f>(Цены!X56-Цены!X$2)/Цены!X$2</f>
        <v>9.7529258777633285E-2</v>
      </c>
      <c r="Z56">
        <f>(Цены!Y56-Цены!Y$2)/Цены!Y$2</f>
        <v>-7.5319435104236776E-2</v>
      </c>
      <c r="AA56">
        <f>(Цены!Z56-Цены!Z$2)/Цены!Z$2</f>
        <v>0.10086455331412113</v>
      </c>
      <c r="AB56">
        <f>(Цены!AA56-Цены!AA$2)/Цены!AA$2</f>
        <v>-0.1248294679399726</v>
      </c>
      <c r="AC56">
        <f>(Цены!AB56-Цены!AB$2)/Цены!AB$2</f>
        <v>-5.7657657657657659E-2</v>
      </c>
      <c r="AD56">
        <f>(Цены!AC56-Цены!AC$2)/Цены!AC$2</f>
        <v>-4.5663203672384571E-2</v>
      </c>
      <c r="AE56">
        <f>(Цены!AD56-Цены!AD$2)/Цены!AD$2</f>
        <v>5.0036523009495987E-2</v>
      </c>
      <c r="AF56">
        <f>(Цены!AE56-Цены!AE$2)/Цены!AE$2</f>
        <v>0</v>
      </c>
      <c r="AG56">
        <f>(Цены!AF56-Цены!AF$2)/Цены!AF$2</f>
        <v>-1.5988372093023312E-2</v>
      </c>
      <c r="AH56">
        <f>(Цены!AG56-Цены!AG$2)/Цены!AG$2</f>
        <v>-3.8927887683471565E-2</v>
      </c>
      <c r="AI56">
        <f>(Цены!AH56-Цены!AH$2)/Цены!AH$2</f>
        <v>-0.11303630363036306</v>
      </c>
      <c r="AJ56">
        <f>(Цены!AI56-Цены!AI$2)/Цены!AI$2</f>
        <v>-0.10529938059187884</v>
      </c>
      <c r="AK56">
        <f>(Цены!AJ56-Цены!AJ$2)/Цены!AJ$2</f>
        <v>2.5562851782363977E-2</v>
      </c>
      <c r="AL56">
        <f>(Цены!AK56-Цены!AK$2)/Цены!AK$2</f>
        <v>-7.8755282366500215E-2</v>
      </c>
      <c r="AM56">
        <f>(Цены!AL56-Цены!AL$2)/Цены!AL$2</f>
        <v>-9.5089285714285765E-2</v>
      </c>
      <c r="AN56">
        <f>(Цены!AM56-Цены!AM$2)/Цены!AM$2</f>
        <v>-6.0730593607305934E-2</v>
      </c>
      <c r="AO56">
        <f>(Цены!AN56-Цены!AN$2)/Цены!AN$2</f>
        <v>-5.9130434782608696E-2</v>
      </c>
      <c r="AP56">
        <f>(Цены!AO56-Цены!AO$2)/Цены!AO$2</f>
        <v>7.3260073260073E-3</v>
      </c>
      <c r="AQ56">
        <f>(Цены!AP56-Цены!AP$2)/Цены!AP$2</f>
        <v>-3.2110091743119268E-2</v>
      </c>
      <c r="AR56">
        <f>(Цены!AQ56-Цены!AQ$2)/Цены!AQ$2</f>
        <v>6.0851926977687626E-2</v>
      </c>
      <c r="AS56">
        <f>(Цены!AR56-Цены!AR$2)/Цены!AR$2</f>
        <v>-0.1340964840556009</v>
      </c>
      <c r="AT56">
        <f>(Цены!AS56-Цены!AS$2)/Цены!AS$2</f>
        <v>-2.7027027027027001E-2</v>
      </c>
      <c r="AU56">
        <f>(Цены!AT56-Цены!AT$2)/Цены!AT$2</f>
        <v>-3.8997214484679701E-2</v>
      </c>
      <c r="AV56">
        <f>(Цены!AU56-Цены!AU$2)/Цены!AU$2</f>
        <v>0.21263791374122371</v>
      </c>
      <c r="AW56">
        <f>(Цены!AV56-Цены!AV$2)/Цены!AV$2</f>
        <v>0.14189847386080745</v>
      </c>
      <c r="AX56">
        <f>(Цены!AW56-Цены!AW$2)/Цены!AW$2</f>
        <v>-0.11111111111111108</v>
      </c>
      <c r="AY56">
        <f>(Цены!AX56-Цены!AX$2)/Цены!AX$2</f>
        <v>0.18926974664679583</v>
      </c>
    </row>
    <row r="57" spans="1:51" x14ac:dyDescent="0.2">
      <c r="A57" s="1" t="s">
        <v>122</v>
      </c>
      <c r="B57" s="2">
        <v>55</v>
      </c>
      <c r="C57">
        <f>(Цены!B57-Цены!B$2)/Цены!B$2</f>
        <v>4.9428291263083672E-2</v>
      </c>
      <c r="D57">
        <f>(Цены!C57-Цены!C$2)/Цены!C$2</f>
        <v>3.2735426008968664E-2</v>
      </c>
      <c r="E57">
        <f>(Цены!D57-Цены!D$2)/Цены!D$2</f>
        <v>2.1923130289996012E-2</v>
      </c>
      <c r="F57">
        <f>(Цены!E57-Цены!E$2)/Цены!E$2</f>
        <v>8.8886110763845477E-2</v>
      </c>
      <c r="G57">
        <f>(Цены!F57-Цены!F$2)/Цены!F$2</f>
        <v>7.9650092081031312E-2</v>
      </c>
      <c r="H57">
        <f>(Цены!G57-Цены!G$2)/Цены!G$2</f>
        <v>0.21191340594325656</v>
      </c>
      <c r="I57">
        <f>(Цены!H57-Цены!H$2)/Цены!H$2</f>
        <v>1.5384615384615968E-3</v>
      </c>
      <c r="J57">
        <f>(Цены!I57-Цены!I$2)/Цены!I$2</f>
        <v>8.0389144905273935E-2</v>
      </c>
      <c r="K57">
        <f>(Цены!J57-Цены!J$2)/Цены!J$2</f>
        <v>5.8850226928895577E-2</v>
      </c>
      <c r="L57">
        <f>(Цены!K57-Цены!K$2)/Цены!K$2</f>
        <v>0.17303051809794176</v>
      </c>
      <c r="M57">
        <f>(Цены!L57-Цены!L$2)/Цены!L$2</f>
        <v>-5.5825755973778812E-2</v>
      </c>
      <c r="N57">
        <f>(Цены!M57-Цены!M$2)/Цены!M$2</f>
        <v>-5.4077401520386932E-2</v>
      </c>
      <c r="O57">
        <f>(Цены!N57-Цены!N$2)/Цены!N$2</f>
        <v>-4.1239821381665299E-2</v>
      </c>
      <c r="P57">
        <f>(Цены!O57-Цены!O$2)/Цены!O$2</f>
        <v>0.11167512690355329</v>
      </c>
      <c r="Q57">
        <f>(Цены!P57-Цены!P$2)/Цены!P$2</f>
        <v>4.1060459101196212E-2</v>
      </c>
      <c r="R57">
        <f>(Цены!Q57-Цены!Q$2)/Цены!Q$2</f>
        <v>0.21367521367521367</v>
      </c>
      <c r="S57">
        <f>(Цены!R57-Цены!R$2)/Цены!R$2</f>
        <v>1.8648984666389914E-3</v>
      </c>
      <c r="T57">
        <f>(Цены!S57-Цены!S$2)/Цены!S$2</f>
        <v>-7.4905660377358518E-2</v>
      </c>
      <c r="U57">
        <f>(Цены!T57-Цены!T$2)/Цены!T$2</f>
        <v>0.1128165771297006</v>
      </c>
      <c r="V57">
        <f>(Цены!U57-Цены!U$2)/Цены!U$2</f>
        <v>-2.2064945878434637E-2</v>
      </c>
      <c r="W57">
        <f>(Цены!V57-Цены!V$2)/Цены!V$2</f>
        <v>-0.15345622119815661</v>
      </c>
      <c r="X57">
        <f>(Цены!W57-Цены!W$2)/Цены!W$2</f>
        <v>-3.6355767149967536E-2</v>
      </c>
      <c r="Y57">
        <f>(Цены!X57-Цены!X$2)/Цены!X$2</f>
        <v>0.10013003901170335</v>
      </c>
      <c r="Z57">
        <f>(Цены!Y57-Цены!Y$2)/Цены!Y$2</f>
        <v>-7.2091459314055265E-2</v>
      </c>
      <c r="AA57">
        <f>(Цены!Z57-Цены!Z$2)/Цены!Z$2</f>
        <v>0.10086455331412113</v>
      </c>
      <c r="AB57">
        <f>(Цены!AA57-Цены!AA$2)/Цены!AA$2</f>
        <v>-0.13676671214188266</v>
      </c>
      <c r="AC57">
        <f>(Цены!AB57-Цены!AB$2)/Цены!AB$2</f>
        <v>-6.126126126126126E-2</v>
      </c>
      <c r="AD57">
        <f>(Цены!AC57-Цены!AC$2)/Цены!AC$2</f>
        <v>-3.6482242087460745E-2</v>
      </c>
      <c r="AE57">
        <f>(Цены!AD57-Цены!AD$2)/Цены!AD$2</f>
        <v>3.6157779401022716E-2</v>
      </c>
      <c r="AF57">
        <f>(Цены!AE57-Цены!AE$2)/Цены!AE$2</f>
        <v>-4.4313146233382573E-3</v>
      </c>
      <c r="AG57">
        <f>(Цены!AF57-Цены!AF$2)/Цены!AF$2</f>
        <v>-1.1385658914728654E-2</v>
      </c>
      <c r="AH57">
        <f>(Цены!AG57-Цены!AG$2)/Цены!AG$2</f>
        <v>-3.5098915124441611E-2</v>
      </c>
      <c r="AI57">
        <f>(Цены!AH57-Цены!AH$2)/Цены!AH$2</f>
        <v>-0.12293729372937298</v>
      </c>
      <c r="AJ57">
        <f>(Цены!AI57-Цены!AI$2)/Цены!AI$2</f>
        <v>-0.1225051617343427</v>
      </c>
      <c r="AK57">
        <f>(Цены!AJ57-Цены!AJ$2)/Цены!AJ$2</f>
        <v>2.0168855534709193E-2</v>
      </c>
      <c r="AL57">
        <f>(Цены!AK57-Цены!AK$2)/Цены!AK$2</f>
        <v>-7.3953131002689326E-2</v>
      </c>
      <c r="AM57">
        <f>(Цены!AL57-Цены!AL$2)/Цены!AL$2</f>
        <v>-9.1517857142857137E-2</v>
      </c>
      <c r="AN57">
        <f>(Цены!AM57-Цены!AM$2)/Цены!AM$2</f>
        <v>-6.4383561643835616E-2</v>
      </c>
      <c r="AO57">
        <f>(Цены!AN57-Цены!AN$2)/Цены!AN$2</f>
        <v>-6.3188405797101443E-2</v>
      </c>
      <c r="AP57">
        <f>(Цены!AO57-Цены!AO$2)/Цены!AO$2</f>
        <v>-1.2820512820512872E-2</v>
      </c>
      <c r="AQ57">
        <f>(Цены!AP57-Цены!AP$2)/Цены!AP$2</f>
        <v>-2.7522935779816515E-2</v>
      </c>
      <c r="AR57">
        <f>(Цены!AQ57-Цены!AQ$2)/Цены!AQ$2</f>
        <v>7.099391480730223E-2</v>
      </c>
      <c r="AS57">
        <f>(Цены!AR57-Цены!AR$2)/Цены!AR$2</f>
        <v>-0.13246116107931319</v>
      </c>
      <c r="AT57">
        <f>(Цены!AS57-Цены!AS$2)/Цены!AS$2</f>
        <v>-2.1235521235521127E-2</v>
      </c>
      <c r="AU57">
        <f>(Цены!AT57-Цены!AT$2)/Цены!AT$2</f>
        <v>-3.7604456824512571E-2</v>
      </c>
      <c r="AV57">
        <f>(Цены!AU57-Цены!AU$2)/Цены!AU$2</f>
        <v>0.2517552657973921</v>
      </c>
      <c r="AW57">
        <f>(Цены!AV57-Цены!AV$2)/Цены!AV$2</f>
        <v>0.14189847386080745</v>
      </c>
      <c r="AX57">
        <f>(Цены!AW57-Цены!AW$2)/Цены!AW$2</f>
        <v>-0.10888888888888885</v>
      </c>
      <c r="AY57">
        <f>(Цены!AX57-Цены!AX$2)/Цены!AX$2</f>
        <v>0.17734724292101342</v>
      </c>
    </row>
    <row r="58" spans="1:51" x14ac:dyDescent="0.2">
      <c r="A58" s="1" t="s">
        <v>123</v>
      </c>
      <c r="B58" s="2">
        <v>56</v>
      </c>
      <c r="C58">
        <f>(Цены!B58-Цены!B$2)/Цены!B$2</f>
        <v>3.6552088278750762E-2</v>
      </c>
      <c r="D58">
        <f>(Цены!C58-Цены!C$2)/Цены!C$2</f>
        <v>2.0493273542600866E-2</v>
      </c>
      <c r="E58">
        <f>(Цены!D58-Цены!D$2)/Цены!D$2</f>
        <v>4.3707506590816144E-3</v>
      </c>
      <c r="F58">
        <f>(Цены!E58-Цены!E$2)/Цены!E$2</f>
        <v>7.013376672084011E-2</v>
      </c>
      <c r="G58">
        <f>(Цены!F58-Цены!F$2)/Цены!F$2</f>
        <v>3.6832412523020261E-2</v>
      </c>
      <c r="H58">
        <f>(Цены!G58-Цены!G$2)/Цены!G$2</f>
        <v>0.22334274573080529</v>
      </c>
      <c r="I58">
        <f>(Цены!H58-Цены!H$2)/Цены!H$2</f>
        <v>-1.0427350427350417E-2</v>
      </c>
      <c r="J58">
        <f>(Цены!I58-Цены!I$2)/Цены!I$2</f>
        <v>8.1925243215565796E-2</v>
      </c>
      <c r="K58">
        <f>(Цены!J58-Цены!J$2)/Цены!J$2</f>
        <v>4.9924357034795766E-2</v>
      </c>
      <c r="L58">
        <f>(Цены!K58-Цены!K$2)/Цены!K$2</f>
        <v>0.16352022711142661</v>
      </c>
      <c r="M58">
        <f>(Цены!L58-Цены!L$2)/Цены!L$2</f>
        <v>-5.9843518714315924E-2</v>
      </c>
      <c r="N58">
        <f>(Цены!M58-Цены!M$2)/Цены!M$2</f>
        <v>-5.7014512785072566E-2</v>
      </c>
      <c r="O58">
        <f>(Цены!N58-Цены!N$2)/Цены!N$2</f>
        <v>-4.5617721740653129E-2</v>
      </c>
      <c r="P58">
        <f>(Цены!O58-Цены!O$2)/Цены!O$2</f>
        <v>0.10672588832487312</v>
      </c>
      <c r="Q58">
        <f>(Цены!P58-Цены!P$2)/Цены!P$2</f>
        <v>2.5476883284836712E-2</v>
      </c>
      <c r="R58">
        <f>(Цены!Q58-Цены!Q$2)/Цены!Q$2</f>
        <v>0.20797720797720798</v>
      </c>
      <c r="S58">
        <f>(Цены!R58-Цены!R$2)/Цены!R$2</f>
        <v>-1.0567757977621266E-2</v>
      </c>
      <c r="T58">
        <f>(Цены!S58-Цены!S$2)/Цены!S$2</f>
        <v>-8.3018867924528325E-2</v>
      </c>
      <c r="U58">
        <f>(Цены!T58-Цены!T$2)/Цены!T$2</f>
        <v>0.10667689946277802</v>
      </c>
      <c r="V58">
        <f>(Цены!U58-Цены!U$2)/Цены!U$2</f>
        <v>-3.2056619483763531E-2</v>
      </c>
      <c r="W58">
        <f>(Цены!V58-Цены!V$2)/Цены!V$2</f>
        <v>-0.16313364055299537</v>
      </c>
      <c r="X58">
        <f>(Цены!W58-Цены!W$2)/Цены!W$2</f>
        <v>-4.6743129192815487E-2</v>
      </c>
      <c r="Y58">
        <f>(Цены!X58-Цены!X$2)/Цены!X$2</f>
        <v>0.11410923276983083</v>
      </c>
      <c r="Z58">
        <f>(Цены!Y58-Цены!Y$2)/Цены!Y$2</f>
        <v>-7.5319435104236776E-2</v>
      </c>
      <c r="AA58">
        <f>(Цены!Z58-Цены!Z$2)/Цены!Z$2</f>
        <v>8.8472622478386193E-2</v>
      </c>
      <c r="AB58">
        <f>(Цены!AA58-Цены!AA$2)/Цены!AA$2</f>
        <v>-0.15211459754433831</v>
      </c>
      <c r="AC58">
        <f>(Цены!AB58-Цены!AB$2)/Цены!AB$2</f>
        <v>-6.9069069069069067E-2</v>
      </c>
      <c r="AD58">
        <f>(Цены!AC58-Цены!AC$2)/Цены!AC$2</f>
        <v>-5.7501812031891732E-2</v>
      </c>
      <c r="AE58">
        <f>(Цены!AD58-Цены!AD$2)/Цены!AD$2</f>
        <v>4.1271000730460188E-2</v>
      </c>
      <c r="AF58">
        <f>(Цены!AE58-Цены!AE$2)/Цены!AE$2</f>
        <v>-1.9202363367799114E-2</v>
      </c>
      <c r="AG58">
        <f>(Цены!AF58-Цены!AF$2)/Цены!AF$2</f>
        <v>-6.5406976744185772E-3</v>
      </c>
      <c r="AH58">
        <f>(Цены!AG58-Цены!AG$2)/Цены!AG$2</f>
        <v>-4.7223994894703115E-2</v>
      </c>
      <c r="AI58">
        <f>(Цены!AH58-Цены!AH$2)/Цены!AH$2</f>
        <v>-0.14727722772277235</v>
      </c>
      <c r="AJ58">
        <f>(Цены!AI58-Цены!AI$2)/Цены!AI$2</f>
        <v>-0.11906400550584988</v>
      </c>
      <c r="AK58">
        <f>(Цены!AJ58-Цены!AJ$2)/Цены!AJ$2</f>
        <v>2.0168855534709193E-2</v>
      </c>
      <c r="AL58">
        <f>(Цены!AK58-Цены!AK$2)/Цены!AK$2</f>
        <v>-7.1263926238955125E-2</v>
      </c>
      <c r="AM58">
        <f>(Цены!AL58-Цены!AL$2)/Цены!AL$2</f>
        <v>-9.7321428571428628E-2</v>
      </c>
      <c r="AN58">
        <f>(Цены!AM58-Цены!AM$2)/Цены!AM$2</f>
        <v>-6.8949771689497716E-2</v>
      </c>
      <c r="AO58">
        <f>(Цены!AN58-Цены!AN$2)/Цены!AN$2</f>
        <v>-6.5507246376811601E-2</v>
      </c>
      <c r="AP58">
        <f>(Цены!AO58-Цены!AO$2)/Цены!AO$2</f>
        <v>4.5787545787545784E-2</v>
      </c>
      <c r="AQ58">
        <f>(Цены!AP58-Цены!AP$2)/Цены!AP$2</f>
        <v>-3.2110091743119268E-2</v>
      </c>
      <c r="AR58">
        <f>(Цены!AQ58-Цены!AQ$2)/Цены!AQ$2</f>
        <v>4.8681541582150101E-2</v>
      </c>
      <c r="AS58">
        <f>(Цены!AR58-Цены!AR$2)/Цены!AR$2</f>
        <v>-0.14145543744889613</v>
      </c>
      <c r="AT58">
        <f>(Цены!AS58-Цены!AS$2)/Цены!AS$2</f>
        <v>-3.3783783783783786E-2</v>
      </c>
      <c r="AU58">
        <f>(Цены!AT58-Цены!AT$2)/Цены!AT$2</f>
        <v>-5.1532033426183892E-2</v>
      </c>
      <c r="AV58">
        <f>(Цены!AU58-Цены!AU$2)/Цены!AU$2</f>
        <v>0.21163490471414237</v>
      </c>
      <c r="AW58">
        <f>(Цены!AV58-Цены!AV$2)/Цены!AV$2</f>
        <v>0.13139950211061804</v>
      </c>
      <c r="AX58">
        <f>(Цены!AW58-Цены!AW$2)/Цены!AW$2</f>
        <v>-0.13111111111111109</v>
      </c>
      <c r="AY58">
        <f>(Цены!AX58-Цены!AX$2)/Цены!AX$2</f>
        <v>0.16244411326378538</v>
      </c>
    </row>
    <row r="59" spans="1:51" x14ac:dyDescent="0.2">
      <c r="A59" s="1" t="s">
        <v>124</v>
      </c>
      <c r="B59" s="2">
        <v>57</v>
      </c>
      <c r="C59">
        <f>(Цены!B59-Цены!B$2)/Цены!B$2</f>
        <v>3.0300341206068039E-2</v>
      </c>
      <c r="D59">
        <f>(Цены!C59-Цены!C$2)/Цены!C$2</f>
        <v>1.6143497757847507E-2</v>
      </c>
      <c r="E59">
        <f>(Цены!D59-Цены!D$2)/Цены!D$2</f>
        <v>6.5214374913280578E-3</v>
      </c>
      <c r="F59">
        <f>(Цены!E59-Цены!E$2)/Цены!E$2</f>
        <v>5.9132391548943619E-2</v>
      </c>
      <c r="G59">
        <f>(Цены!F59-Цены!F$2)/Цены!F$2</f>
        <v>4.5948434622467775E-2</v>
      </c>
      <c r="H59">
        <f>(Цены!G59-Цены!G$2)/Цены!G$2</f>
        <v>0.19913943794540795</v>
      </c>
      <c r="I59">
        <f>(Цены!H59-Цены!H$2)/Цены!H$2</f>
        <v>-2.7521367521367513E-2</v>
      </c>
      <c r="J59">
        <f>(Цены!I59-Цены!I$2)/Цены!I$2</f>
        <v>6.9892473118279563E-2</v>
      </c>
      <c r="K59">
        <f>(Цены!J59-Цены!J$2)/Цены!J$2</f>
        <v>5.453857791225409E-2</v>
      </c>
      <c r="L59">
        <f>(Цены!K59-Цены!K$2)/Цены!K$2</f>
        <v>0.15386799148332148</v>
      </c>
      <c r="M59">
        <f>(Цены!L59-Цены!L$2)/Цены!L$2</f>
        <v>-5.624867836751956E-2</v>
      </c>
      <c r="N59">
        <f>(Цены!M59-Цены!M$2)/Цены!M$2</f>
        <v>-6.7035245335176158E-2</v>
      </c>
      <c r="O59">
        <f>(Цены!N59-Цены!N$2)/Цены!N$2</f>
        <v>-6.7507223535592284E-2</v>
      </c>
      <c r="P59">
        <f>(Цены!O59-Цены!O$2)/Цены!O$2</f>
        <v>7.7157360406091322E-2</v>
      </c>
      <c r="Q59">
        <f>(Цены!P59-Цены!P$2)/Цены!P$2</f>
        <v>6.4662140316844481E-3</v>
      </c>
      <c r="R59">
        <f>(Цены!Q59-Цены!Q$2)/Цены!Q$2</f>
        <v>0.14245014245014245</v>
      </c>
      <c r="S59">
        <f>(Цены!R59-Цены!R$2)/Цены!R$2</f>
        <v>-5.3874844591794918E-3</v>
      </c>
      <c r="T59">
        <f>(Цены!S59-Цены!S$2)/Цены!S$2</f>
        <v>-8.8490566037735585E-2</v>
      </c>
      <c r="U59">
        <f>(Цены!T59-Цены!T$2)/Цены!T$2</f>
        <v>0.10974673829623931</v>
      </c>
      <c r="V59">
        <f>(Цены!U59-Цены!U$2)/Цены!U$2</f>
        <v>-4.6627810158201499E-2</v>
      </c>
      <c r="W59">
        <f>(Цены!V59-Цены!V$2)/Цены!V$2</f>
        <v>-0.1645161290322581</v>
      </c>
      <c r="X59">
        <f>(Цены!W59-Цены!W$2)/Цены!W$2</f>
        <v>-4.0467431291928098E-2</v>
      </c>
      <c r="Y59">
        <f>(Цены!X59-Цены!X$2)/Цены!X$2</f>
        <v>9.8504551365409462E-2</v>
      </c>
      <c r="Z59">
        <f>(Цены!Y59-Цены!Y$2)/Цены!Y$2</f>
        <v>-7.1956960322797719E-2</v>
      </c>
      <c r="AA59">
        <f>(Цены!Z59-Цены!Z$2)/Цены!Z$2</f>
        <v>7.8097982708933755E-2</v>
      </c>
      <c r="AB59">
        <f>(Цены!AA59-Цены!AA$2)/Цены!AA$2</f>
        <v>-0.14870395634379263</v>
      </c>
      <c r="AC59">
        <f>(Цены!AB59-Цены!AB$2)/Цены!AB$2</f>
        <v>-6.3063063063063057E-2</v>
      </c>
      <c r="AD59">
        <f>(Цены!AC59-Цены!AC$2)/Цены!AC$2</f>
        <v>-7.2602077796569145E-2</v>
      </c>
      <c r="AE59">
        <f>(Цены!AD59-Цены!AD$2)/Цены!AD$2</f>
        <v>5.916727538349157E-2</v>
      </c>
      <c r="AF59">
        <f>(Цены!AE59-Цены!AE$2)/Цены!AE$2</f>
        <v>-1.9202363367799114E-2</v>
      </c>
      <c r="AG59">
        <f>(Цены!AF59-Цены!AF$2)/Цены!AF$2</f>
        <v>-2.2529069767441887E-2</v>
      </c>
      <c r="AH59">
        <f>(Цены!AG59-Цены!AG$2)/Цены!AG$2</f>
        <v>-8.3599234205488163E-2</v>
      </c>
      <c r="AI59">
        <f>(Цены!AH59-Цены!AH$2)/Цены!AH$2</f>
        <v>-0.13985148514851486</v>
      </c>
      <c r="AJ59">
        <f>(Цены!AI59-Цены!AI$2)/Цены!AI$2</f>
        <v>-0.11906400550584988</v>
      </c>
      <c r="AK59">
        <f>(Цены!AJ59-Цены!AJ$2)/Цены!AJ$2</f>
        <v>2.8611632270168854E-2</v>
      </c>
      <c r="AL59">
        <f>(Цены!AK59-Цены!AK$2)/Цены!AK$2</f>
        <v>-8.509412216673079E-2</v>
      </c>
      <c r="AM59">
        <f>(Цены!AL59-Цены!AL$2)/Цены!AL$2</f>
        <v>-0.10535714285714283</v>
      </c>
      <c r="AN59">
        <f>(Цены!AM59-Цены!AM$2)/Цены!AM$2</f>
        <v>-5.4794520547945202E-2</v>
      </c>
      <c r="AO59">
        <f>(Цены!AN59-Цены!AN$2)/Цены!AN$2</f>
        <v>-6.0869565217391307E-2</v>
      </c>
      <c r="AP59">
        <f>(Цены!AO59-Цены!AO$2)/Цены!AO$2</f>
        <v>-9.1575091575091579E-3</v>
      </c>
      <c r="AQ59">
        <f>(Цены!AP59-Цены!AP$2)/Цены!AP$2</f>
        <v>-3.2110091743119268E-2</v>
      </c>
      <c r="AR59">
        <f>(Цены!AQ59-Цены!AQ$2)/Цены!AQ$2</f>
        <v>6.0851926977687626E-2</v>
      </c>
      <c r="AS59">
        <f>(Цены!AR59-Цены!AR$2)/Цены!AR$2</f>
        <v>-0.1373671300081766</v>
      </c>
      <c r="AT59">
        <f>(Цены!AS59-Цены!AS$2)/Цены!AS$2</f>
        <v>-3.0888030888030781E-2</v>
      </c>
      <c r="AU59">
        <f>(Цены!AT59-Цены!AT$2)/Цены!AT$2</f>
        <v>-5.1532033426183892E-2</v>
      </c>
      <c r="AV59">
        <f>(Цены!AU59-Цены!AU$2)/Цены!AU$2</f>
        <v>0.24373119358074219</v>
      </c>
      <c r="AW59">
        <f>(Цены!AV59-Цены!AV$2)/Цены!AV$2</f>
        <v>0.12999242342244838</v>
      </c>
      <c r="AX59">
        <f>(Цены!AW59-Цены!AW$2)/Цены!AW$2</f>
        <v>-0.14155555555555563</v>
      </c>
      <c r="AY59">
        <f>(Цены!AX59-Цены!AX$2)/Цены!AX$2</f>
        <v>0.12667660208643816</v>
      </c>
    </row>
    <row r="60" spans="1:51" x14ac:dyDescent="0.2">
      <c r="A60" s="1" t="s">
        <v>125</v>
      </c>
      <c r="B60" s="2">
        <v>58</v>
      </c>
      <c r="C60">
        <f>(Цены!B60-Цены!B$2)/Цены!B$2</f>
        <v>4.1113334546116001E-2</v>
      </c>
      <c r="D60">
        <f>(Цены!C60-Цены!C$2)/Цены!C$2</f>
        <v>3.0717488789237642E-2</v>
      </c>
      <c r="E60">
        <f>(Цены!D60-Цены!D$2)/Цены!D$2</f>
        <v>1.8939919522686404E-2</v>
      </c>
      <c r="F60">
        <f>(Цены!E60-Цены!E$2)/Цены!E$2</f>
        <v>7.9884985623202898E-2</v>
      </c>
      <c r="G60">
        <f>(Цены!F60-Цены!F$2)/Цены!F$2</f>
        <v>4.9539594843462244E-2</v>
      </c>
      <c r="H60">
        <f>(Цены!G60-Цены!G$2)/Цены!G$2</f>
        <v>0.20640043028102728</v>
      </c>
      <c r="I60">
        <f>(Цены!H60-Цены!H$2)/Цены!H$2</f>
        <v>-1.1965811965812015E-2</v>
      </c>
      <c r="J60">
        <f>(Цены!I60-Цены!I$2)/Цены!I$2</f>
        <v>9.0629800307219663E-2</v>
      </c>
      <c r="K60">
        <f>(Цены!J60-Цены!J$2)/Цены!J$2</f>
        <v>6.4599092284417611E-2</v>
      </c>
      <c r="L60">
        <f>(Цены!K60-Цены!K$2)/Цены!K$2</f>
        <v>0.15514549325762947</v>
      </c>
      <c r="M60">
        <f>(Цены!L60-Цены!L$2)/Цены!L$2</f>
        <v>-5.3922605201945445E-2</v>
      </c>
      <c r="N60">
        <f>(Цены!M60-Цены!M$2)/Цены!M$2</f>
        <v>-6.9972356599861785E-2</v>
      </c>
      <c r="O60">
        <f>(Цены!N60-Цены!N$2)/Цены!N$2</f>
        <v>-6.8295245600210122E-2</v>
      </c>
      <c r="P60">
        <f>(Цены!O60-Цены!O$2)/Цены!O$2</f>
        <v>9.5050761421319754E-2</v>
      </c>
      <c r="Q60">
        <f>(Цены!P60-Цены!P$2)/Цены!P$2</f>
        <v>2.179114128677662E-2</v>
      </c>
      <c r="R60">
        <f>(Цены!Q60-Цены!Q$2)/Цены!Q$2</f>
        <v>0.15658119658119651</v>
      </c>
      <c r="S60">
        <f>(Цены!R60-Цены!R$2)/Цены!R$2</f>
        <v>-3.7297969332781003E-3</v>
      </c>
      <c r="T60">
        <f>(Цены!S60-Цены!S$2)/Цены!S$2</f>
        <v>-6.1320754716981056E-2</v>
      </c>
      <c r="U60">
        <f>(Цены!T60-Цены!T$2)/Цены!T$2</f>
        <v>0.10391404451266302</v>
      </c>
      <c r="V60">
        <f>(Цены!U60-Цены!U$2)/Цены!U$2</f>
        <v>-3.1640299750208163E-2</v>
      </c>
      <c r="W60">
        <f>(Цены!V60-Цены!V$2)/Цены!V$2</f>
        <v>-0.1705069124423963</v>
      </c>
      <c r="X60">
        <f>(Цены!W60-Цены!W$2)/Цены!W$2</f>
        <v>-3.4191733391040861E-2</v>
      </c>
      <c r="Y60">
        <f>(Цены!X60-Цены!X$2)/Цены!X$2</f>
        <v>0.11963589076723001</v>
      </c>
      <c r="Z60">
        <f>(Цены!Y60-Цены!Y$2)/Цены!Y$2</f>
        <v>-7.0611970410222061E-2</v>
      </c>
      <c r="AA60">
        <f>(Цены!Z60-Цены!Z$2)/Цены!Z$2</f>
        <v>9.0201729106628395E-2</v>
      </c>
      <c r="AB60">
        <f>(Цены!AA60-Цены!AA$2)/Цены!AA$2</f>
        <v>-0.15927694406548429</v>
      </c>
      <c r="AC60">
        <f>(Цены!AB60-Цены!AB$2)/Цены!AB$2</f>
        <v>-6.3063063063063057E-2</v>
      </c>
      <c r="AD60">
        <f>(Цены!AC60-Цены!AC$2)/Цены!AC$2</f>
        <v>-6.7286784247402726E-2</v>
      </c>
      <c r="AE60">
        <f>(Цены!AD60-Цены!AD$2)/Цены!AD$2</f>
        <v>3.9079620160701316E-2</v>
      </c>
      <c r="AF60">
        <f>(Цены!AE60-Цены!AE$2)/Цены!AE$2</f>
        <v>-2.6587887740029542E-2</v>
      </c>
      <c r="AG60">
        <f>(Цены!AF60-Цены!AF$2)/Цены!AF$2</f>
        <v>-1.4050387596899251E-2</v>
      </c>
      <c r="AH60">
        <f>(Цены!AG60-Цены!AG$2)/Цены!AG$2</f>
        <v>-8.1046585832801471E-2</v>
      </c>
      <c r="AI60">
        <f>(Цены!AH60-Цены!AH$2)/Цены!AH$2</f>
        <v>-0.14603960396039606</v>
      </c>
      <c r="AJ60">
        <f>(Цены!AI60-Цены!AI$2)/Цены!AI$2</f>
        <v>-0.12594631796283554</v>
      </c>
      <c r="AK60">
        <f>(Цены!AJ60-Цены!AJ$2)/Цены!AJ$2</f>
        <v>3.6350844277673544E-2</v>
      </c>
      <c r="AL60">
        <f>(Цены!AK60-Цены!AK$2)/Цены!AK$2</f>
        <v>-7.3568958893584321E-2</v>
      </c>
      <c r="AM60">
        <f>(Цены!AL60-Цены!AL$2)/Цены!AL$2</f>
        <v>-8.348214285714281E-2</v>
      </c>
      <c r="AN60">
        <f>(Цены!AM60-Цены!AM$2)/Цены!AM$2</f>
        <v>-6.6210045662100453E-2</v>
      </c>
      <c r="AO60">
        <f>(Цены!AN60-Цены!AN$2)/Цены!AN$2</f>
        <v>-5.2753623188405797E-2</v>
      </c>
      <c r="AP60">
        <f>(Цены!AO60-Цены!AO$2)/Цены!AO$2</f>
        <v>7.3260073260073E-3</v>
      </c>
      <c r="AQ60">
        <f>(Цены!AP60-Цены!AP$2)/Цены!AP$2</f>
        <v>-3.669724770642202E-2</v>
      </c>
      <c r="AR60">
        <f>(Цены!AQ60-Цены!AQ$2)/Цены!AQ$2</f>
        <v>4.0567951318458417E-2</v>
      </c>
      <c r="AS60">
        <f>(Цены!AR60-Цены!AR$2)/Цены!AR$2</f>
        <v>-0.12919051512673752</v>
      </c>
      <c r="AT60">
        <f>(Цены!AS60-Цены!AS$2)/Цены!AS$2</f>
        <v>-3.2818532818532739E-2</v>
      </c>
      <c r="AU60">
        <f>(Цены!AT60-Цены!AT$2)/Цены!AT$2</f>
        <v>-3.8997214484679701E-2</v>
      </c>
      <c r="AV60">
        <f>(Цены!AU60-Цены!AU$2)/Цены!AU$2</f>
        <v>0.22968906720160473</v>
      </c>
      <c r="AW60">
        <f>(Цены!AV60-Цены!AV$2)/Цены!AV$2</f>
        <v>0.13432189630912433</v>
      </c>
      <c r="AX60">
        <f>(Цены!AW60-Цены!AW$2)/Цены!AW$2</f>
        <v>-0.15400000000000005</v>
      </c>
      <c r="AY60">
        <f>(Цены!AX60-Цены!AX$2)/Цены!AX$2</f>
        <v>0.14157973174366617</v>
      </c>
    </row>
    <row r="61" spans="1:51" x14ac:dyDescent="0.2">
      <c r="A61" s="1" t="s">
        <v>126</v>
      </c>
      <c r="B61" s="2">
        <v>59</v>
      </c>
      <c r="C61">
        <f>(Цены!B61-Цены!B$2)/Цены!B$2</f>
        <v>3.5677997311171883E-2</v>
      </c>
      <c r="D61">
        <f>(Цены!C61-Цены!C$2)/Цены!C$2</f>
        <v>2.2376681614349817E-2</v>
      </c>
      <c r="E61">
        <f>(Цены!D61-Цены!D$2)/Цены!D$2</f>
        <v>1.9841820452338101E-2</v>
      </c>
      <c r="F61">
        <f>(Цены!E61-Цены!E$2)/Цены!E$2</f>
        <v>7.5259407425928238E-2</v>
      </c>
      <c r="G61">
        <f>(Цены!F61-Цены!F$2)/Цены!F$2</f>
        <v>-1.6574585635359115E-2</v>
      </c>
      <c r="H61">
        <f>(Цены!G61-Цены!G$2)/Цены!G$2</f>
        <v>0.20747613284926711</v>
      </c>
      <c r="I61">
        <f>(Цены!H61-Цены!H$2)/Цены!H$2</f>
        <v>-8.5470085470085479E-3</v>
      </c>
      <c r="J61">
        <f>(Цены!I61-Цены!I$2)/Цены!I$2</f>
        <v>7.5268817204301078E-2</v>
      </c>
      <c r="K61">
        <f>(Цены!J61-Цены!J$2)/Цены!J$2</f>
        <v>5.8547655068078734E-2</v>
      </c>
      <c r="L61">
        <f>(Цены!K61-Цены!K$2)/Цены!K$2</f>
        <v>0.15628105039034779</v>
      </c>
      <c r="M61">
        <f>(Цены!L61-Цены!L$2)/Цены!L$2</f>
        <v>-5.7517445548741809E-2</v>
      </c>
      <c r="N61">
        <f>(Цены!M61-Цены!M$2)/Цены!M$2</f>
        <v>-6.9281271596406208E-2</v>
      </c>
      <c r="O61">
        <f>(Цены!N61-Цены!N$2)/Цены!N$2</f>
        <v>-7.0133963750984948E-2</v>
      </c>
      <c r="P61">
        <f>(Цены!O61-Цены!O$2)/Цены!O$2</f>
        <v>0.10088832487309655</v>
      </c>
      <c r="Q61">
        <f>(Цены!P61-Цены!P$2)/Цены!P$2</f>
        <v>1.4484319430973039E-2</v>
      </c>
      <c r="R61">
        <f>(Цены!Q61-Цены!Q$2)/Цены!Q$2</f>
        <v>0.150997150997151</v>
      </c>
      <c r="S61">
        <f>(Цены!R61-Цены!R$2)/Цены!R$2</f>
        <v>-1.2536261914629115E-2</v>
      </c>
      <c r="T61">
        <f>(Цены!S61-Цены!S$2)/Цены!S$2</f>
        <v>-6.7924528301886777E-2</v>
      </c>
      <c r="U61">
        <f>(Цены!T61-Цены!T$2)/Цены!T$2</f>
        <v>0.10099769762087486</v>
      </c>
      <c r="V61">
        <f>(Цены!U61-Цены!U$2)/Цены!U$2</f>
        <v>-3.8301415487094086E-2</v>
      </c>
      <c r="W61">
        <f>(Цены!V61-Цены!V$2)/Цены!V$2</f>
        <v>-0.15990783410138243</v>
      </c>
      <c r="X61">
        <f>(Цены!W61-Цены!W$2)/Цены!W$2</f>
        <v>-3.1594892880328948E-2</v>
      </c>
      <c r="Y61">
        <f>(Цены!X61-Цены!X$2)/Цены!X$2</f>
        <v>0.10273081924577361</v>
      </c>
      <c r="Z61">
        <f>(Цены!Y61-Цены!Y$2)/Цены!Y$2</f>
        <v>-7.2360457296570369E-2</v>
      </c>
      <c r="AA61">
        <f>(Цены!Z61-Цены!Z$2)/Цены!Z$2</f>
        <v>8.9337175792507287E-2</v>
      </c>
      <c r="AB61">
        <f>(Цены!AA61-Цены!AA$2)/Цены!AA$2</f>
        <v>-0.16098226466575713</v>
      </c>
      <c r="AC61">
        <f>(Цены!AB61-Цены!AB$2)/Цены!AB$2</f>
        <v>-6.4264264264264265E-2</v>
      </c>
      <c r="AD61">
        <f>(Цены!AC61-Цены!AC$2)/Цены!AC$2</f>
        <v>-3.865668035757433E-2</v>
      </c>
      <c r="AE61">
        <f>(Цены!AD61-Цены!AD$2)/Цены!AD$2</f>
        <v>2.5200876552227885E-2</v>
      </c>
      <c r="AF61">
        <f>(Цены!AE61-Цены!AE$2)/Цены!AE$2</f>
        <v>-2.5110782865583457E-2</v>
      </c>
      <c r="AG61">
        <f>(Цены!AF61-Цены!AF$2)/Цены!AF$2</f>
        <v>-6.5406976744185772E-3</v>
      </c>
      <c r="AH61">
        <f>(Цены!AG61-Цены!AG$2)/Цены!AG$2</f>
        <v>-7.6579451180599875E-2</v>
      </c>
      <c r="AI61">
        <f>(Цены!AH61-Цены!AH$2)/Цены!AH$2</f>
        <v>-0.16047854785478549</v>
      </c>
      <c r="AJ61">
        <f>(Цены!AI61-Цены!AI$2)/Цены!AI$2</f>
        <v>-0.12044046799724709</v>
      </c>
      <c r="AK61">
        <f>(Цены!AJ61-Цены!AJ$2)/Цены!AJ$2</f>
        <v>3.4240150093808631E-2</v>
      </c>
      <c r="AL61">
        <f>(Цены!AK61-Цены!AK$2)/Цены!AK$2</f>
        <v>-7.4337303111794165E-2</v>
      </c>
      <c r="AM61">
        <f>(Цены!AL61-Цены!AL$2)/Цены!AL$2</f>
        <v>-8.1696428571428628E-2</v>
      </c>
      <c r="AN61">
        <f>(Цены!AM61-Цены!AM$2)/Цены!AM$2</f>
        <v>-6.8949771689497716E-2</v>
      </c>
      <c r="AO61">
        <f>(Цены!AN61-Цены!AN$2)/Цены!AN$2</f>
        <v>-4.4057971014492756E-2</v>
      </c>
      <c r="AP61">
        <f>(Цены!AO61-Цены!AO$2)/Цены!AO$2</f>
        <v>2.0146520146520172E-2</v>
      </c>
      <c r="AQ61">
        <f>(Цены!AP61-Цены!AP$2)/Цены!AP$2</f>
        <v>-3.2110091743119268E-2</v>
      </c>
      <c r="AR61">
        <f>(Цены!AQ61-Цены!AQ$2)/Цены!AQ$2</f>
        <v>4.8681541582150101E-2</v>
      </c>
      <c r="AS61">
        <f>(Цены!AR61-Цены!AR$2)/Цены!AR$2</f>
        <v>-0.12346688470973013</v>
      </c>
      <c r="AT61">
        <f>(Цены!AS61-Цены!AS$2)/Цены!AS$2</f>
        <v>-4.0540540540540432E-2</v>
      </c>
      <c r="AU61">
        <f>(Цены!AT61-Цены!AT$2)/Цены!AT$2</f>
        <v>-5.5710306406683745E-3</v>
      </c>
      <c r="AV61">
        <f>(Цены!AU61-Цены!AU$2)/Цены!AU$2</f>
        <v>0.22266800401203612</v>
      </c>
      <c r="AW61">
        <f>(Цены!AV61-Цены!AV$2)/Цены!AV$2</f>
        <v>0.12263231951509902</v>
      </c>
      <c r="AX61">
        <f>(Цены!AW61-Цены!AW$2)/Цены!AW$2</f>
        <v>-0.15111111111111111</v>
      </c>
      <c r="AY61">
        <f>(Цены!AX61-Цены!AX$2)/Цены!AX$2</f>
        <v>0.15052160953800298</v>
      </c>
    </row>
    <row r="62" spans="1:51" x14ac:dyDescent="0.2">
      <c r="A62" s="1" t="s">
        <v>127</v>
      </c>
      <c r="B62" s="2">
        <v>60</v>
      </c>
      <c r="C62">
        <f>(Цены!B62-Цены!B$2)/Цены!B$2</f>
        <v>2.5357512079759732E-2</v>
      </c>
      <c r="D62">
        <f>(Цены!C62-Цены!C$2)/Цены!C$2</f>
        <v>-2.242152466367713E-3</v>
      </c>
      <c r="E62">
        <f>(Цены!D62-Цены!D$2)/Цены!D$2</f>
        <v>8.117108366865659E-3</v>
      </c>
      <c r="F62">
        <f>(Цены!E62-Цены!E$2)/Цены!E$2</f>
        <v>6.575821977747219E-2</v>
      </c>
      <c r="G62">
        <f>(Цены!F62-Цены!F$2)/Цены!F$2</f>
        <v>-2.3020257826887661E-2</v>
      </c>
      <c r="H62">
        <f>(Цены!G62-Цены!G$2)/Цены!G$2</f>
        <v>0.19134059432566888</v>
      </c>
      <c r="I62">
        <f>(Цены!H62-Цены!H$2)/Цены!H$2</f>
        <v>-2.2393162393162431E-2</v>
      </c>
      <c r="J62">
        <f>(Цены!I62-Цены!I$2)/Цены!I$2</f>
        <v>5.9139784946236562E-2</v>
      </c>
      <c r="K62">
        <f>(Цены!J62-Цены!J$2)/Цены!J$2</f>
        <v>4.3948562783661049E-2</v>
      </c>
      <c r="L62">
        <f>(Цены!K62-Цены!K$2)/Цены!K$2</f>
        <v>0.13413768630234207</v>
      </c>
      <c r="M62">
        <f>(Цены!L62-Цены!L$2)/Цены!L$2</f>
        <v>-6.3226897864241918E-2</v>
      </c>
      <c r="N62">
        <f>(Цены!M62-Цены!M$2)/Цены!M$2</f>
        <v>-6.5653075328265378E-2</v>
      </c>
      <c r="O62">
        <f>(Цены!N62-Цены!N$2)/Цены!N$2</f>
        <v>-7.4511864109972778E-2</v>
      </c>
      <c r="P62">
        <f>(Цены!O62-Цены!O$2)/Цены!O$2</f>
        <v>0.10723350253807104</v>
      </c>
      <c r="Q62">
        <f>(Цены!P62-Цены!P$2)/Цены!P$2</f>
        <v>1.5712900096993256E-2</v>
      </c>
      <c r="R62">
        <f>(Цены!Q62-Цены!Q$2)/Цены!Q$2</f>
        <v>0.14074074074074067</v>
      </c>
      <c r="S62">
        <f>(Цены!R62-Цены!R$2)/Цены!R$2</f>
        <v>-4.0406133443846772E-3</v>
      </c>
      <c r="T62">
        <f>(Цены!S62-Цены!S$2)/Цены!S$2</f>
        <v>-8.0754716981132055E-2</v>
      </c>
      <c r="U62">
        <f>(Цены!T62-Цены!T$2)/Цены!T$2</f>
        <v>9.9309286262471194E-2</v>
      </c>
      <c r="V62">
        <f>(Цены!U62-Цены!U$2)/Цены!U$2</f>
        <v>-3.4970857618651124E-2</v>
      </c>
      <c r="W62">
        <f>(Цены!V62-Цены!V$2)/Цены!V$2</f>
        <v>-0.1668202764976959</v>
      </c>
      <c r="X62">
        <f>(Цены!W62-Цены!W$2)/Цены!W$2</f>
        <v>-3.440813676693364E-2</v>
      </c>
      <c r="Y62">
        <f>(Цены!X62-Цены!X$2)/Цены!X$2</f>
        <v>0.12223667100130027</v>
      </c>
      <c r="Z62">
        <f>(Цены!Y62-Цены!Y$2)/Цены!Y$2</f>
        <v>-8.0161398789509203E-2</v>
      </c>
      <c r="AA62">
        <f>(Цены!Z62-Цены!Z$2)/Цены!Z$2</f>
        <v>6.0518731988473962E-3</v>
      </c>
      <c r="AB62">
        <f>(Цены!AA62-Цены!AA$2)/Цены!AA$2</f>
        <v>-0.15245566166439287</v>
      </c>
      <c r="AC62">
        <f>(Цены!AB62-Цены!AB$2)/Цены!AB$2</f>
        <v>-5.7657657657657659E-2</v>
      </c>
      <c r="AD62">
        <f>(Цены!AC62-Цены!AC$2)/Цены!AC$2</f>
        <v>-3.9623097366513579E-2</v>
      </c>
      <c r="AE62">
        <f>(Цены!AD62-Цены!AD$2)/Цены!AD$2</f>
        <v>3.36011687363039E-2</v>
      </c>
      <c r="AF62">
        <f>(Цены!AE62-Цены!AE$2)/Цены!AE$2</f>
        <v>-3.2496307237813882E-2</v>
      </c>
      <c r="AG62">
        <f>(Цены!AF62-Цены!AF$2)/Цены!AF$2</f>
        <v>-1.0174418604651136E-2</v>
      </c>
      <c r="AH62">
        <f>(Цены!AG62-Цены!AG$2)/Цены!AG$2</f>
        <v>-7.1474154435226478E-2</v>
      </c>
      <c r="AI62">
        <f>(Цены!AH62-Цены!AH$2)/Цены!AH$2</f>
        <v>-0.17863036303630367</v>
      </c>
      <c r="AJ62">
        <f>(Цены!AI62-Цены!AI$2)/Цены!AI$2</f>
        <v>-0.11768754301445279</v>
      </c>
      <c r="AK62">
        <f>(Цены!AJ62-Цены!AJ$2)/Цены!AJ$2</f>
        <v>3.5178236397748593E-2</v>
      </c>
      <c r="AL62">
        <f>(Цены!AK62-Цены!AK$2)/Цены!AK$2</f>
        <v>-7.1840184402612473E-2</v>
      </c>
      <c r="AM62">
        <f>(Цены!AL62-Цены!AL$2)/Цены!AL$2</f>
        <v>-8.1696428571428628E-2</v>
      </c>
      <c r="AN62">
        <f>(Цены!AM62-Цены!AM$2)/Цены!AM$2</f>
        <v>-7.3059360730593603E-2</v>
      </c>
      <c r="AO62">
        <f>(Цены!AN62-Цены!AN$2)/Цены!AN$2</f>
        <v>-4.6376811594202899E-2</v>
      </c>
      <c r="AP62">
        <f>(Цены!AO62-Цены!AO$2)/Цены!AO$2</f>
        <v>2.7472527472527472E-2</v>
      </c>
      <c r="AQ62">
        <f>(Цены!AP62-Цены!AP$2)/Цены!AP$2</f>
        <v>-1.834862385321101E-2</v>
      </c>
      <c r="AR62">
        <f>(Цены!AQ62-Цены!AQ$2)/Цены!AQ$2</f>
        <v>4.665314401622718E-2</v>
      </c>
      <c r="AS62">
        <f>(Цены!AR62-Цены!AR$2)/Цены!AR$2</f>
        <v>-0.11692559280457888</v>
      </c>
      <c r="AT62">
        <f>(Цены!AS62-Цены!AS$2)/Цены!AS$2</f>
        <v>-3.7644787644787563E-2</v>
      </c>
      <c r="AU62">
        <f>(Цены!AT62-Цены!AT$2)/Цены!AT$2</f>
        <v>2.0891364902506985E-2</v>
      </c>
      <c r="AV62">
        <f>(Цены!AU62-Цены!AU$2)/Цены!AU$2</f>
        <v>0.24072216649949849</v>
      </c>
      <c r="AW62">
        <f>(Цены!AV62-Цены!AV$2)/Цены!AV$2</f>
        <v>0.13269834397662089</v>
      </c>
      <c r="AX62">
        <f>(Цены!AW62-Цены!AW$2)/Цены!AW$2</f>
        <v>-0.14266666666666675</v>
      </c>
      <c r="AY62">
        <f>(Цены!AX62-Цены!AX$2)/Цены!AX$2</f>
        <v>0.14157973174366617</v>
      </c>
    </row>
    <row r="63" spans="1:51" x14ac:dyDescent="0.2">
      <c r="A63" s="1" t="s">
        <v>128</v>
      </c>
      <c r="B63" s="2">
        <v>61</v>
      </c>
      <c r="C63">
        <f>(Цены!B63-Цены!B$2)/Цены!B$2</f>
        <v>1.8196177959596684E-2</v>
      </c>
      <c r="D63">
        <f>(Цены!C63-Цены!C$2)/Цены!C$2</f>
        <v>-3.0134529147982057E-2</v>
      </c>
      <c r="E63">
        <f>(Цены!D63-Цены!D$2)/Цены!D$2</f>
        <v>-4.05855418343277E-2</v>
      </c>
      <c r="F63">
        <f>(Цены!E63-Цены!E$2)/Цены!E$2</f>
        <v>7.488436054506814E-2</v>
      </c>
      <c r="G63">
        <f>(Цены!F63-Цены!F$2)/Цены!F$2</f>
        <v>-2.6335174953959484E-2</v>
      </c>
      <c r="H63">
        <f>(Цены!G63-Цены!G$2)/Цены!G$2</f>
        <v>0.20075299179776784</v>
      </c>
      <c r="I63">
        <f>(Цены!H63-Цены!H$2)/Цены!H$2</f>
        <v>-2.4786324786324834E-2</v>
      </c>
      <c r="J63">
        <f>(Цены!I63-Цены!I$2)/Цены!I$2</f>
        <v>7.2452636968765999E-2</v>
      </c>
      <c r="K63">
        <f>(Цены!J63-Цены!J$2)/Цены!J$2</f>
        <v>6.1195158850226999E-2</v>
      </c>
      <c r="L63">
        <f>(Цены!K63-Цены!K$2)/Цены!K$2</f>
        <v>0.13811213626685587</v>
      </c>
      <c r="M63">
        <f>(Цены!L63-Цены!L$2)/Цены!L$2</f>
        <v>-6.1112285895538167E-2</v>
      </c>
      <c r="N63">
        <f>(Цены!M63-Цены!M$2)/Цены!M$2</f>
        <v>-7.049067035245328E-2</v>
      </c>
      <c r="O63">
        <f>(Цены!N63-Цены!N$2)/Цены!N$2</f>
        <v>-7.7401278346904731E-2</v>
      </c>
      <c r="P63">
        <f>(Цены!O63-Цены!O$2)/Цены!O$2</f>
        <v>0.11840101522842648</v>
      </c>
      <c r="Q63">
        <f>(Цены!P63-Цены!P$2)/Цены!P$2</f>
        <v>4.170708050436462E-2</v>
      </c>
      <c r="R63">
        <f>(Цены!Q63-Цены!Q$2)/Цены!Q$2</f>
        <v>0.14415954415954421</v>
      </c>
      <c r="S63">
        <f>(Цены!R63-Цены!R$2)/Цены!R$2</f>
        <v>1.6058847907169497E-2</v>
      </c>
      <c r="T63">
        <f>(Цены!S63-Цены!S$2)/Цены!S$2</f>
        <v>-8.4339622641509474E-2</v>
      </c>
      <c r="U63">
        <f>(Цены!T63-Цены!T$2)/Цены!T$2</f>
        <v>7.3983115886415846E-2</v>
      </c>
      <c r="V63">
        <f>(Цены!U63-Цены!U$2)/Цены!U$2</f>
        <v>-2.4562864279766863E-2</v>
      </c>
      <c r="W63">
        <f>(Цены!V63-Цены!V$2)/Цены!V$2</f>
        <v>-0.18064516129032251</v>
      </c>
      <c r="X63">
        <f>(Цены!W63-Цены!W$2)/Цены!W$2</f>
        <v>-2.8348842241939023E-2</v>
      </c>
      <c r="Y63">
        <f>(Цены!X63-Цены!X$2)/Цены!X$2</f>
        <v>9.6879063719115574E-2</v>
      </c>
      <c r="Z63">
        <f>(Цены!Y63-Цены!Y$2)/Цены!Y$2</f>
        <v>-7.222595830531281E-2</v>
      </c>
      <c r="AA63">
        <f>(Цены!Z63-Цены!Z$2)/Цены!Z$2</f>
        <v>5.7636887608069221E-3</v>
      </c>
      <c r="AB63">
        <f>(Цены!AA63-Цены!AA$2)/Цены!AA$2</f>
        <v>-0.16098226466575713</v>
      </c>
      <c r="AC63">
        <f>(Цены!AB63-Цены!AB$2)/Цены!AB$2</f>
        <v>-6.006006006006006E-2</v>
      </c>
      <c r="AD63">
        <f>(Цены!AC63-Цены!AC$2)/Цены!AC$2</f>
        <v>-5.7018603527422107E-2</v>
      </c>
      <c r="AE63">
        <f>(Цены!AD63-Цены!AD$2)/Цены!AD$2</f>
        <v>3.2870708546384172E-2</v>
      </c>
      <c r="AF63">
        <f>(Цены!AE63-Цены!AE$2)/Цены!AE$2</f>
        <v>-2.0679468242245199E-2</v>
      </c>
      <c r="AG63">
        <f>(Цены!AF63-Цены!AF$2)/Цены!AF$2</f>
        <v>-6.7829457364341362E-3</v>
      </c>
      <c r="AH63">
        <f>(Цены!AG63-Цены!AG$2)/Цены!AG$2</f>
        <v>-7.3388640714741549E-2</v>
      </c>
      <c r="AI63">
        <f>(Цены!AH63-Цены!AH$2)/Цены!AH$2</f>
        <v>-0.20585808580858087</v>
      </c>
      <c r="AJ63">
        <f>(Цены!AI63-Цены!AI$2)/Цены!AI$2</f>
        <v>-0.12112869924294561</v>
      </c>
      <c r="AK63">
        <f>(Цены!AJ63-Цены!AJ$2)/Цены!AJ$2</f>
        <v>3.5647279549718573E-2</v>
      </c>
      <c r="AL63">
        <f>(Цены!AK63-Цены!AK$2)/Цены!AK$2</f>
        <v>-7.9331540530157549E-2</v>
      </c>
      <c r="AM63">
        <f>(Цены!AL63-Цены!AL$2)/Цены!AL$2</f>
        <v>-6.7410714285714254E-2</v>
      </c>
      <c r="AN63">
        <f>(Цены!AM63-Цены!AM$2)/Цены!AM$2</f>
        <v>-6.9863013698630141E-2</v>
      </c>
      <c r="AO63">
        <f>(Цены!AN63-Цены!AN$2)/Цены!AN$2</f>
        <v>-3.826086956521739E-2</v>
      </c>
      <c r="AP63">
        <f>(Цены!AO63-Цены!AO$2)/Цены!AO$2</f>
        <v>1.46520146520146E-2</v>
      </c>
      <c r="AQ63">
        <f>(Цены!AP63-Цены!AP$2)/Цены!AP$2</f>
        <v>3.669724770642202E-2</v>
      </c>
      <c r="AR63">
        <f>(Цены!AQ63-Цены!AQ$2)/Цены!AQ$2</f>
        <v>3.0425963488843813E-2</v>
      </c>
      <c r="AS63">
        <f>(Цены!AR63-Цены!AR$2)/Цены!AR$2</f>
        <v>-8.421913327882255E-2</v>
      </c>
      <c r="AT63">
        <f>(Цены!AS63-Цены!AS$2)/Цены!AS$2</f>
        <v>-3.7644787644787563E-2</v>
      </c>
      <c r="AU63">
        <f>(Цены!AT63-Цены!AT$2)/Цены!AT$2</f>
        <v>1.6713091922005586E-2</v>
      </c>
      <c r="AV63">
        <f>(Цены!AU63-Цены!AU$2)/Цены!AU$2</f>
        <v>0.22367101303911732</v>
      </c>
      <c r="AW63">
        <f>(Цены!AV63-Цены!AV$2)/Цены!AV$2</f>
        <v>0.11592163654075109</v>
      </c>
      <c r="AX63">
        <f>(Цены!AW63-Цены!AW$2)/Цены!AW$2</f>
        <v>-0.15244444444444444</v>
      </c>
      <c r="AY63">
        <f>(Цены!AX63-Цены!AX$2)/Цены!AX$2</f>
        <v>0.13859910581222057</v>
      </c>
    </row>
    <row r="64" spans="1:51" x14ac:dyDescent="0.2">
      <c r="A64" s="1" t="s">
        <v>129</v>
      </c>
      <c r="B64" s="2">
        <v>62</v>
      </c>
      <c r="C64">
        <f>(Цены!B64-Цены!B$2)/Цены!B$2</f>
        <v>6.957231660728396E-3</v>
      </c>
      <c r="D64">
        <f>(Цены!C64-Цены!C$2)/Цены!C$2</f>
        <v>-6.9506726457399109E-2</v>
      </c>
      <c r="E64">
        <f>(Цены!D64-Цены!D$2)/Цены!D$2</f>
        <v>-4.5511308450117763E-2</v>
      </c>
      <c r="F64">
        <f>(Цены!E64-Цены!E$2)/Цены!E$2</f>
        <v>8.3635454431803979E-2</v>
      </c>
      <c r="G64">
        <f>(Цены!F64-Цены!F$2)/Цены!F$2</f>
        <v>-4.6961325966850827E-2</v>
      </c>
      <c r="H64">
        <f>(Цены!G64-Цены!G$2)/Цены!G$2</f>
        <v>0.1977948097351081</v>
      </c>
      <c r="I64">
        <f>(Цены!H64-Цены!H$2)/Цены!H$2</f>
        <v>-2.2393162393162431E-2</v>
      </c>
      <c r="J64">
        <f>(Цены!I64-Цены!I$2)/Цены!I$2</f>
        <v>6.2211981566820278E-2</v>
      </c>
      <c r="K64">
        <f>(Цены!J64-Цены!J$2)/Цены!J$2</f>
        <v>6.6490166414523516E-2</v>
      </c>
      <c r="L64">
        <f>(Цены!K64-Цены!K$2)/Цены!K$2</f>
        <v>0.13697657913413769</v>
      </c>
      <c r="M64">
        <f>(Цены!L64-Цены!L$2)/Цены!L$2</f>
        <v>-8.1835483188834851E-2</v>
      </c>
      <c r="N64">
        <f>(Цены!M64-Цены!M$2)/Цены!M$2</f>
        <v>-7.2909467864547231E-2</v>
      </c>
      <c r="O64">
        <f>(Цены!N64-Цены!N$2)/Цены!N$2</f>
        <v>-8.2216968741791449E-2</v>
      </c>
      <c r="P64">
        <f>(Цены!O64-Цены!O$2)/Цены!O$2</f>
        <v>0.11230964467005085</v>
      </c>
      <c r="Q64">
        <f>(Цены!P64-Цены!P$2)/Цены!P$2</f>
        <v>3.3818299385709599E-2</v>
      </c>
      <c r="R64">
        <f>(Цены!Q64-Цены!Q$2)/Цены!Q$2</f>
        <v>9.6752136752136689E-2</v>
      </c>
      <c r="S64">
        <f>(Цены!R64-Цены!R$2)/Цены!R$2</f>
        <v>1.947782842934102E-2</v>
      </c>
      <c r="T64">
        <f>(Цены!S64-Цены!S$2)/Цены!S$2</f>
        <v>-9.7358490566037695E-2</v>
      </c>
      <c r="U64">
        <f>(Цены!T64-Цены!T$2)/Цены!T$2</f>
        <v>5.295471987720627E-2</v>
      </c>
      <c r="V64">
        <f>(Цены!U64-Цены!U$2)/Цены!U$2</f>
        <v>-3.0807660283097418E-2</v>
      </c>
      <c r="W64">
        <f>(Цены!V64-Цены!V$2)/Цены!V$2</f>
        <v>-0.19032258064516125</v>
      </c>
      <c r="X64">
        <f>(Цены!W64-Цены!W$2)/Цены!W$2</f>
        <v>-6.4596407703960163E-2</v>
      </c>
      <c r="Y64">
        <f>(Цены!X64-Цены!X$2)/Цены!X$2</f>
        <v>0.10500650195058502</v>
      </c>
      <c r="Z64">
        <f>(Цены!Y64-Цены!Y$2)/Цены!Y$2</f>
        <v>-8.3792871553463377E-2</v>
      </c>
      <c r="AA64">
        <f>(Цены!Z64-Цены!Z$2)/Цены!Z$2</f>
        <v>-5.7636887608062824E-4</v>
      </c>
      <c r="AB64">
        <f>(Цены!AA64-Цены!AA$2)/Цены!AA$2</f>
        <v>-0.17462482946793995</v>
      </c>
      <c r="AC64">
        <f>(Цены!AB64-Цены!AB$2)/Цены!AB$2</f>
        <v>-7.2672672672672675E-2</v>
      </c>
      <c r="AD64">
        <f>(Цены!AC64-Цены!AC$2)/Цены!AC$2</f>
        <v>-4.4938390915680131E-2</v>
      </c>
      <c r="AE64">
        <f>(Цены!AD64-Цены!AD$2)/Цены!AD$2</f>
        <v>2.9948867786705569E-2</v>
      </c>
      <c r="AF64">
        <f>(Цены!AE64-Цены!AE$2)/Цены!AE$2</f>
        <v>-2.5110782865583457E-2</v>
      </c>
      <c r="AG64">
        <f>(Цены!AF64-Цены!AF$2)/Цены!AF$2</f>
        <v>-1.3081395348837292E-2</v>
      </c>
      <c r="AH64">
        <f>(Цены!AG64-Цены!AG$2)/Цены!AG$2</f>
        <v>-7.8493937460114765E-2</v>
      </c>
      <c r="AI64">
        <f>(Цены!AH64-Цены!AH$2)/Цены!AH$2</f>
        <v>-0.21452145214521451</v>
      </c>
      <c r="AJ64">
        <f>(Цены!AI64-Цены!AI$2)/Цены!AI$2</f>
        <v>-0.13695801789401241</v>
      </c>
      <c r="AK64">
        <f>(Цены!AJ64-Цены!AJ$2)/Цены!AJ$2</f>
        <v>2.4390243902439025E-2</v>
      </c>
      <c r="AL64">
        <f>(Цены!AK64-Цены!AK$2)/Цены!AK$2</f>
        <v>-8.4902036112178281E-2</v>
      </c>
      <c r="AM64">
        <f>(Цены!AL64-Цены!AL$2)/Цены!AL$2</f>
        <v>-8.9285714285714288E-2</v>
      </c>
      <c r="AN64">
        <f>(Цены!AM64-Цены!AM$2)/Цены!AM$2</f>
        <v>-7.8538812785388129E-2</v>
      </c>
      <c r="AO64">
        <f>(Цены!AN64-Цены!AN$2)/Цены!AN$2</f>
        <v>-4.4637681159420288E-2</v>
      </c>
      <c r="AP64">
        <f>(Цены!AO64-Цены!AO$2)/Цены!AO$2</f>
        <v>2.0146520146520172E-2</v>
      </c>
      <c r="AQ64">
        <f>(Цены!AP64-Цены!AP$2)/Цены!AP$2</f>
        <v>9.1743119266055051E-3</v>
      </c>
      <c r="AR64">
        <f>(Цены!AQ64-Цены!AQ$2)/Цены!AQ$2</f>
        <v>2.8397565922920892E-2</v>
      </c>
      <c r="AS64">
        <f>(Цены!AR64-Цены!AR$2)/Цены!AR$2</f>
        <v>-9.1578086672117767E-2</v>
      </c>
      <c r="AT64">
        <f>(Цены!AS64-Цены!AS$2)/Цены!AS$2</f>
        <v>-5.2123552123552047E-2</v>
      </c>
      <c r="AU64">
        <f>(Цены!AT64-Цены!AT$2)/Цены!AT$2</f>
        <v>-1.3927576601669776E-3</v>
      </c>
      <c r="AV64">
        <f>(Цены!AU64-Цены!AU$2)/Цены!AU$2</f>
        <v>0.20962888665997984</v>
      </c>
      <c r="AW64">
        <f>(Цены!AV64-Цены!AV$2)/Цены!AV$2</f>
        <v>0.12100876718259544</v>
      </c>
      <c r="AX64">
        <f>(Цены!AW64-Цены!AW$2)/Цены!AW$2</f>
        <v>-0.16444444444444448</v>
      </c>
      <c r="AY64">
        <f>(Цены!AX64-Цены!AX$2)/Цены!AX$2</f>
        <v>0.11475409836065574</v>
      </c>
    </row>
    <row r="65" spans="1:51" x14ac:dyDescent="0.2">
      <c r="A65" s="1" t="s">
        <v>130</v>
      </c>
      <c r="B65" s="2">
        <v>63</v>
      </c>
      <c r="C65">
        <f>(Цены!B65-Цены!B$2)/Цены!B$2</f>
        <v>-2.6400209426870611E-3</v>
      </c>
      <c r="D65">
        <f>(Цены!C65-Цены!C$2)/Цены!C$2</f>
        <v>-8.3677130044843034E-2</v>
      </c>
      <c r="E65">
        <f>(Цены!D65-Цены!D$2)/Цены!D$2</f>
        <v>-5.321215484945184E-2</v>
      </c>
      <c r="F65">
        <f>(Цены!E65-Цены!E$2)/Цены!E$2</f>
        <v>7.5134391798974867E-2</v>
      </c>
      <c r="G65">
        <f>(Цены!F65-Цены!F$2)/Цены!F$2</f>
        <v>-5.5709023941068143E-2</v>
      </c>
      <c r="H65">
        <f>(Цены!G65-Цены!G$2)/Цены!G$2</f>
        <v>0.18542423020034957</v>
      </c>
      <c r="I65">
        <f>(Цены!H65-Цены!H$2)/Цены!H$2</f>
        <v>-2.6837606837606841E-2</v>
      </c>
      <c r="J65">
        <f>(Цены!I65-Цены!I$2)/Цены!I$2</f>
        <v>4.377880184331797E-2</v>
      </c>
      <c r="K65">
        <f>(Цены!J65-Цены!J$2)/Цены!J$2</f>
        <v>5.9001512859304085E-2</v>
      </c>
      <c r="L65">
        <f>(Цены!K65-Цены!K$2)/Цены!K$2</f>
        <v>0.11639460610361958</v>
      </c>
      <c r="M65">
        <f>(Цены!L65-Цены!L$2)/Цены!L$2</f>
        <v>-9.071685345739057E-2</v>
      </c>
      <c r="N65">
        <f>(Цены!M65-Цены!M$2)/Цены!M$2</f>
        <v>-7.9820317899101476E-2</v>
      </c>
      <c r="O65">
        <f>(Цены!N65-Цены!N$2)/Цены!N$2</f>
        <v>-9.1585675510025347E-2</v>
      </c>
      <c r="P65">
        <f>(Цены!O65-Цены!O$2)/Цены!O$2</f>
        <v>7.6142131979695507E-2</v>
      </c>
      <c r="Q65">
        <f>(Цены!P65-Цены!P$2)/Цены!P$2</f>
        <v>3.1102489492402213E-2</v>
      </c>
      <c r="R65">
        <f>(Цены!Q65-Цены!Q$2)/Цены!Q$2</f>
        <v>9.7435897435897409E-2</v>
      </c>
      <c r="S65">
        <f>(Цены!R65-Цены!R$2)/Цены!R$2</f>
        <v>7.5631993369249424E-3</v>
      </c>
      <c r="T65">
        <f>(Цены!S65-Цены!S$2)/Цены!S$2</f>
        <v>-8.9622641509433915E-2</v>
      </c>
      <c r="U65">
        <f>(Цены!T65-Цены!T$2)/Цены!T$2</f>
        <v>4.0214888718342133E-2</v>
      </c>
      <c r="V65">
        <f>(Цены!U65-Цены!U$2)/Цены!U$2</f>
        <v>-4.2464612822647796E-2</v>
      </c>
      <c r="W65">
        <f>(Цены!V65-Цены!V$2)/Цены!V$2</f>
        <v>-0.19723502304147456</v>
      </c>
      <c r="X65">
        <f>(Цены!W65-Цены!W$2)/Цены!W$2</f>
        <v>-7.1304912356632805E-2</v>
      </c>
      <c r="Y65">
        <f>(Цены!X65-Цены!X$2)/Цены!X$2</f>
        <v>0.10175552665799724</v>
      </c>
      <c r="Z65">
        <f>(Цены!Y65-Цены!Y$2)/Цены!Y$2</f>
        <v>-8.6348352387357136E-2</v>
      </c>
      <c r="AA65">
        <f>(Цены!Z65-Цены!Z$2)/Цены!Z$2</f>
        <v>-2.824207492795382E-2</v>
      </c>
      <c r="AB65">
        <f>(Цены!AA65-Цены!AA$2)/Цены!AA$2</f>
        <v>-0.17155525238744879</v>
      </c>
      <c r="AC65">
        <f>(Цены!AB65-Цены!AB$2)/Цены!AB$2</f>
        <v>-6.4864864864864868E-2</v>
      </c>
      <c r="AD65">
        <f>(Цены!AC65-Цены!AC$2)/Цены!AC$2</f>
        <v>-5.4119352500604088E-2</v>
      </c>
      <c r="AE65">
        <f>(Цены!AD65-Цены!AD$2)/Цены!AD$2</f>
        <v>2.9948867786705569E-2</v>
      </c>
      <c r="AF65">
        <f>(Цены!AE65-Цены!AE$2)/Цены!AE$2</f>
        <v>-3.6927621861152143E-2</v>
      </c>
      <c r="AG65">
        <f>(Цены!AF65-Цены!AF$2)/Цены!AF$2</f>
        <v>-7.0251937984496951E-3</v>
      </c>
      <c r="AH65">
        <f>(Цены!AG65-Цены!AG$2)/Цены!AG$2</f>
        <v>-7.721761327377151E-2</v>
      </c>
      <c r="AI65">
        <f>(Цены!AH65-Цены!AH$2)/Цены!AH$2</f>
        <v>-0.21204620462046206</v>
      </c>
      <c r="AJ65">
        <f>(Цены!AI65-Цены!AI$2)/Цены!AI$2</f>
        <v>-0.11768754301445279</v>
      </c>
      <c r="AK65">
        <f>(Цены!AJ65-Цены!AJ$2)/Цены!AJ$2</f>
        <v>2.8142589118198873E-2</v>
      </c>
      <c r="AL65">
        <f>(Цены!AK65-Цены!AK$2)/Цены!AK$2</f>
        <v>-0.10353438340376499</v>
      </c>
      <c r="AM65">
        <f>(Цены!AL65-Цены!AL$2)/Цены!AL$2</f>
        <v>-9.0178571428571372E-2</v>
      </c>
      <c r="AN65">
        <f>(Цены!AM65-Цены!AM$2)/Цены!AM$2</f>
        <v>-8.5388127853881279E-2</v>
      </c>
      <c r="AO65">
        <f>(Цены!AN65-Цены!AN$2)/Цены!AN$2</f>
        <v>-5.0434782608695654E-2</v>
      </c>
      <c r="AP65">
        <f>(Цены!AO65-Цены!AO$2)/Цены!AO$2</f>
        <v>4.3956043956043932E-2</v>
      </c>
      <c r="AQ65">
        <f>(Цены!AP65-Цены!AP$2)/Цены!AP$2</f>
        <v>-9.1743119266055051E-3</v>
      </c>
      <c r="AR65">
        <f>(Цены!AQ65-Цены!AQ$2)/Цены!AQ$2</f>
        <v>2.231237322515213E-2</v>
      </c>
      <c r="AS65">
        <f>(Цены!AR65-Цены!AR$2)/Цены!AR$2</f>
        <v>-8.9125102207685949E-2</v>
      </c>
      <c r="AT65">
        <f>(Цены!AS65-Цены!AS$2)/Цены!AS$2</f>
        <v>-6.3706563706563649E-2</v>
      </c>
      <c r="AU65">
        <f>(Цены!AT65-Цены!AT$2)/Цены!AT$2</f>
        <v>-1.1142061281337058E-2</v>
      </c>
      <c r="AV65">
        <f>(Цены!AU65-Цены!AU$2)/Цены!AU$2</f>
        <v>0.23069207622868604</v>
      </c>
      <c r="AW65">
        <f>(Цены!AV65-Цены!AV$2)/Цены!AV$2</f>
        <v>0.10087671825955183</v>
      </c>
      <c r="AX65">
        <f>(Цены!AW65-Цены!AW$2)/Цены!AW$2</f>
        <v>-0.17244444444444446</v>
      </c>
      <c r="AY65">
        <f>(Цены!AX65-Цены!AX$2)/Цены!AX$2</f>
        <v>9.9850968703427717E-2</v>
      </c>
    </row>
    <row r="66" spans="1:51" x14ac:dyDescent="0.2">
      <c r="A66" s="1" t="s">
        <v>131</v>
      </c>
      <c r="B66" s="2">
        <v>64</v>
      </c>
      <c r="C66">
        <f>(Цены!B66-Цены!B$2)/Цены!B$2</f>
        <v>3.3188834708067008E-3</v>
      </c>
      <c r="D66">
        <f>(Цены!C66-Цены!C$2)/Цены!C$2</f>
        <v>-6.5381165919282572E-2</v>
      </c>
      <c r="E66">
        <f>(Цены!D66-Цены!D$2)/Цены!D$2</f>
        <v>-4.0030525877618857E-2</v>
      </c>
      <c r="F66">
        <f>(Цены!E66-Цены!E$2)/Цены!E$2</f>
        <v>8.5135641955244409E-2</v>
      </c>
      <c r="G66">
        <f>(Цены!F66-Цены!F$2)/Цены!F$2</f>
        <v>-5.0276243093922653E-2</v>
      </c>
      <c r="H66">
        <f>(Цены!G66-Цены!G$2)/Цены!G$2</f>
        <v>0.17117117117117109</v>
      </c>
      <c r="I66">
        <f>(Цены!H66-Цены!H$2)/Цены!H$2</f>
        <v>-3.0256410256410311E-2</v>
      </c>
      <c r="J66">
        <f>(Цены!I66-Цены!I$2)/Цены!I$2</f>
        <v>6.0419866871479773E-2</v>
      </c>
      <c r="K66">
        <f>(Цены!J66-Цены!J$2)/Цены!J$2</f>
        <v>4.8714069591528054E-2</v>
      </c>
      <c r="L66">
        <f>(Цены!K66-Цены!K$2)/Цены!K$2</f>
        <v>0.11994322214336409</v>
      </c>
      <c r="M66">
        <f>(Цены!L66-Цены!L$2)/Цены!L$2</f>
        <v>-9.3888771410446187E-2</v>
      </c>
      <c r="N66">
        <f>(Цены!M66-Цены!M$2)/Цены!M$2</f>
        <v>-9.467864547339315E-2</v>
      </c>
      <c r="O66">
        <f>(Цены!N66-Цены!N$2)/Цены!N$2</f>
        <v>-8.9309167323351632E-2</v>
      </c>
      <c r="P66">
        <f>(Цены!O66-Цены!O$2)/Цены!O$2</f>
        <v>7.7284263959390975E-2</v>
      </c>
      <c r="Q66">
        <f>(Цены!P66-Цены!P$2)/Цены!P$2</f>
        <v>3.0843840931134701E-2</v>
      </c>
      <c r="R66">
        <f>(Цены!Q66-Цены!Q$2)/Цены!Q$2</f>
        <v>9.2877492877492945E-2</v>
      </c>
      <c r="S66">
        <f>(Цены!R66-Цены!R$2)/Цены!R$2</f>
        <v>1.8441773725652668E-2</v>
      </c>
      <c r="T66">
        <f>(Цены!S66-Цены!S$2)/Цены!S$2</f>
        <v>-8.9811320754716983E-2</v>
      </c>
      <c r="U66">
        <f>(Цены!T66-Цены!T$2)/Цены!T$2</f>
        <v>4.174980813507289E-2</v>
      </c>
      <c r="V66">
        <f>(Цены!U66-Цены!U$2)/Цены!U$2</f>
        <v>-4.1215653621981679E-2</v>
      </c>
      <c r="W66">
        <f>(Цены!V66-Цены!V$2)/Цены!V$2</f>
        <v>-0.19493087557603689</v>
      </c>
      <c r="X66">
        <f>(Цены!W66-Цены!W$2)/Цены!W$2</f>
        <v>-6.5462021207530807E-2</v>
      </c>
      <c r="Y66">
        <f>(Цены!X66-Цены!X$2)/Цены!X$2</f>
        <v>0.11215864759427828</v>
      </c>
      <c r="Z66">
        <f>(Цены!Y66-Цены!Y$2)/Цены!Y$2</f>
        <v>-9.4552790854068633E-2</v>
      </c>
      <c r="AA66">
        <f>(Цены!Z66-Цены!Z$2)/Цены!Z$2</f>
        <v>-2.0461095100864541E-2</v>
      </c>
      <c r="AB66">
        <f>(Цены!AA66-Цены!AA$2)/Цены!AA$2</f>
        <v>-0.15552523874488403</v>
      </c>
      <c r="AC66">
        <f>(Цены!AB66-Цены!AB$2)/Цены!AB$2</f>
        <v>-6.3663663663663661E-2</v>
      </c>
      <c r="AD66">
        <f>(Цены!AC66-Цены!AC$2)/Цены!AC$2</f>
        <v>-4.4334380285092963E-2</v>
      </c>
      <c r="AE66">
        <f>(Цены!AD66-Цены!AD$2)/Цены!AD$2</f>
        <v>2.4470416362308317E-2</v>
      </c>
      <c r="AF66">
        <f>(Цены!AE66-Цены!AE$2)/Цены!AE$2</f>
        <v>-2.2156573116691284E-2</v>
      </c>
      <c r="AG66">
        <f>(Цены!AF66-Цены!AF$2)/Цены!AF$2</f>
        <v>-1.3565891472868272E-2</v>
      </c>
      <c r="AH66">
        <f>(Цены!AG66-Цены!AG$2)/Цены!AG$2</f>
        <v>-7.91320995532864E-2</v>
      </c>
      <c r="AI66">
        <f>(Цены!AH66-Цены!AH$2)/Цены!AH$2</f>
        <v>-0.19884488448844892</v>
      </c>
      <c r="AJ66">
        <f>(Цены!AI66-Цены!AI$2)/Цены!AI$2</f>
        <v>-8.6717136958017887E-2</v>
      </c>
      <c r="AK66">
        <f>(Цены!AJ66-Цены!AJ$2)/Цены!AJ$2</f>
        <v>2.7439024390243903E-2</v>
      </c>
      <c r="AL66">
        <f>(Цены!AK66-Цены!AK$2)/Цены!AK$2</f>
        <v>-8.7783326930464978E-2</v>
      </c>
      <c r="AM66">
        <f>(Цены!AL66-Цены!AL$2)/Цены!AL$2</f>
        <v>-8.0357142857142863E-2</v>
      </c>
      <c r="AN66">
        <f>(Цены!AM66-Цены!AM$2)/Цены!AM$2</f>
        <v>-7.9908675799086754E-2</v>
      </c>
      <c r="AO66">
        <f>(Цены!AN66-Цены!AN$2)/Цены!AN$2</f>
        <v>-4.4637681159420288E-2</v>
      </c>
      <c r="AP66">
        <f>(Цены!AO66-Цены!AO$2)/Цены!AO$2</f>
        <v>4.9450549450549372E-2</v>
      </c>
      <c r="AQ66">
        <f>(Цены!AP66-Цены!AP$2)/Цены!AP$2</f>
        <v>-4.5871559633027525E-3</v>
      </c>
      <c r="AR66">
        <f>(Цены!AQ66-Цены!AQ$2)/Цены!AQ$2</f>
        <v>2.6369168356997971E-2</v>
      </c>
      <c r="AS66">
        <f>(Цены!AR66-Цены!AR$2)/Цены!AR$2</f>
        <v>-0.11201962387571548</v>
      </c>
      <c r="AT66">
        <f>(Цены!AS66-Цены!AS$2)/Цены!AS$2</f>
        <v>-6.1776061776061694E-2</v>
      </c>
      <c r="AU66">
        <f>(Цены!AT66-Цены!AT$2)/Цены!AT$2</f>
        <v>5.5710306406685289E-3</v>
      </c>
      <c r="AV66">
        <f>(Цены!AU66-Цены!AU$2)/Цены!AU$2</f>
        <v>0.22467402206619849</v>
      </c>
      <c r="AW66">
        <f>(Цены!AV66-Цены!AV$2)/Цены!AV$2</f>
        <v>0.10834505898906814</v>
      </c>
      <c r="AX66">
        <f>(Цены!AW66-Цены!AW$2)/Цены!AW$2</f>
        <v>-0.17622222222222231</v>
      </c>
      <c r="AY66">
        <f>(Цены!AX66-Цены!AX$2)/Цены!AX$2</f>
        <v>9.0909090909090912E-2</v>
      </c>
    </row>
    <row r="67" spans="1:51" x14ac:dyDescent="0.2">
      <c r="A67" s="1" t="s">
        <v>132</v>
      </c>
      <c r="B67" s="2">
        <v>65</v>
      </c>
      <c r="C67">
        <f>(Цены!B67-Цены!B$2)/Цены!B$2</f>
        <v>1.0883985499851449E-2</v>
      </c>
      <c r="D67">
        <f>(Цены!C67-Цены!C$2)/Цены!C$2</f>
        <v>-3.3856502242152517E-2</v>
      </c>
      <c r="E67">
        <f>(Цены!D67-Цены!D$2)/Цены!D$2</f>
        <v>-3.6700430137366395E-2</v>
      </c>
      <c r="F67">
        <f>(Цены!E67-Цены!E$2)/Цены!E$2</f>
        <v>8.063507938492312E-2</v>
      </c>
      <c r="G67">
        <f>(Цены!F67-Цены!F$2)/Цены!F$2</f>
        <v>-9.2081031307550652E-3</v>
      </c>
      <c r="H67">
        <f>(Цены!G67-Цены!G$2)/Цены!G$2</f>
        <v>0.17654968401237051</v>
      </c>
      <c r="I67">
        <f>(Цены!H67-Цены!H$2)/Цены!H$2</f>
        <v>-3.4871794871794856E-2</v>
      </c>
      <c r="J67">
        <f>(Цены!I67-Цены!I$2)/Цены!I$2</f>
        <v>9.8822324628776242E-2</v>
      </c>
      <c r="K67">
        <f>(Цены!J67-Цены!J$2)/Цены!J$2</f>
        <v>4.644478063540098E-2</v>
      </c>
      <c r="L67">
        <f>(Цены!K67-Цены!K$2)/Цены!K$2</f>
        <v>0.12107877927608227</v>
      </c>
      <c r="M67">
        <f>(Цены!L67-Цены!L$2)/Цены!L$2</f>
        <v>-0.11609219708183548</v>
      </c>
      <c r="N67">
        <f>(Цены!M67-Цены!M$2)/Цены!M$2</f>
        <v>-8.9322736696613572E-2</v>
      </c>
      <c r="O67">
        <f>(Цены!N67-Цены!N$2)/Цены!N$2</f>
        <v>-9.7276945976709564E-2</v>
      </c>
      <c r="P67">
        <f>(Цены!O67-Цены!O$2)/Цены!O$2</f>
        <v>7.3604060913705707E-2</v>
      </c>
      <c r="Q67">
        <f>(Цены!P67-Цены!P$2)/Цены!P$2</f>
        <v>5.2376333656643993E-2</v>
      </c>
      <c r="R67">
        <f>(Цены!Q67-Цены!Q$2)/Цены!Q$2</f>
        <v>8.8319088319088315E-2</v>
      </c>
      <c r="S67">
        <f>(Цены!R67-Цены!R$2)/Цены!R$2</f>
        <v>2.5590551181102289E-2</v>
      </c>
      <c r="T67">
        <f>(Цены!S67-Цены!S$2)/Цены!S$2</f>
        <v>-9.018867924528301E-2</v>
      </c>
      <c r="U67">
        <f>(Цены!T67-Цены!T$2)/Цены!T$2</f>
        <v>4.9117421335379712E-2</v>
      </c>
      <c r="V67">
        <f>(Цены!U67-Цены!U$2)/Цены!U$2</f>
        <v>-4.8293089092422983E-2</v>
      </c>
      <c r="W67">
        <f>(Цены!V67-Цены!V$2)/Цены!V$2</f>
        <v>-0.19447004608294927</v>
      </c>
      <c r="X67">
        <f>(Цены!W67-Цены!W$2)/Цены!W$2</f>
        <v>-3.5490153646396898E-2</v>
      </c>
      <c r="Y67">
        <f>(Цены!X67-Цены!X$2)/Цены!X$2</f>
        <v>0.11638491547464223</v>
      </c>
      <c r="Z67">
        <f>(Цены!Y67-Цены!Y$2)/Цены!Y$2</f>
        <v>-9.3611297915265623E-2</v>
      </c>
      <c r="AA67">
        <f>(Цены!Z67-Цены!Z$2)/Цены!Z$2</f>
        <v>-1.2968299711815415E-2</v>
      </c>
      <c r="AB67">
        <f>(Цены!AA67-Цены!AA$2)/Цены!AA$2</f>
        <v>-0.16678035470668479</v>
      </c>
      <c r="AC67">
        <f>(Цены!AB67-Цены!AB$2)/Цены!AB$2</f>
        <v>-6.5465465465465472E-2</v>
      </c>
      <c r="AD67">
        <f>(Цены!AC67-Цены!AC$2)/Цены!AC$2</f>
        <v>-5.5206571635660742E-2</v>
      </c>
      <c r="AE67">
        <f>(Цены!AD67-Цены!AD$2)/Цены!AD$2</f>
        <v>2.264426588750907E-2</v>
      </c>
      <c r="AF67">
        <f>(Цены!AE67-Цены!AE$2)/Цены!AE$2</f>
        <v>-2.8064992614475627E-2</v>
      </c>
      <c r="AG67">
        <f>(Цены!AF67-Цены!AF$2)/Цены!AF$2</f>
        <v>-1.7684108527131811E-2</v>
      </c>
      <c r="AH67">
        <f>(Цены!AG67-Цены!AG$2)/Цены!AG$2</f>
        <v>-7.7855775366943131E-2</v>
      </c>
      <c r="AI67">
        <f>(Цены!AH67-Цены!AH$2)/Цены!AH$2</f>
        <v>-0.20792079207920794</v>
      </c>
      <c r="AJ67">
        <f>(Цены!AI67-Цены!AI$2)/Цены!AI$2</f>
        <v>-0.11768754301445279</v>
      </c>
      <c r="AK67">
        <f>(Цены!AJ67-Цены!AJ$2)/Цены!AJ$2</f>
        <v>3.283302063789869E-2</v>
      </c>
      <c r="AL67">
        <f>(Цены!AK67-Цены!AK$2)/Цены!AK$2</f>
        <v>-8.4133691893968604E-2</v>
      </c>
      <c r="AM67">
        <f>(Цены!AL67-Цены!AL$2)/Цены!AL$2</f>
        <v>-9.0178571428571372E-2</v>
      </c>
      <c r="AN67">
        <f>(Цены!AM67-Цены!AM$2)/Цены!AM$2</f>
        <v>-8.9041095890410954E-2</v>
      </c>
      <c r="AO67">
        <f>(Цены!AN67-Цены!AN$2)/Цены!AN$2</f>
        <v>-3.1884057971014491E-2</v>
      </c>
      <c r="AP67">
        <f>(Цены!AO67-Цены!AO$2)/Цены!AO$2</f>
        <v>3.8461538461538484E-2</v>
      </c>
      <c r="AQ67">
        <f>(Цены!AP67-Цены!AP$2)/Цены!AP$2</f>
        <v>2.7522935779816515E-2</v>
      </c>
      <c r="AR67">
        <f>(Цены!AQ67-Цены!AQ$2)/Цены!AQ$2</f>
        <v>1.0141987829614604E-2</v>
      </c>
      <c r="AS67">
        <f>(Цены!AR67-Цены!AR$2)/Цены!AR$2</f>
        <v>-9.0760425183973786E-2</v>
      </c>
      <c r="AT67">
        <f>(Цены!AS67-Цены!AS$2)/Цены!AS$2</f>
        <v>-5.5984555984555963E-2</v>
      </c>
      <c r="AU67">
        <f>(Цены!AT67-Цены!AT$2)/Цены!AT$2</f>
        <v>4.1782729805013965E-3</v>
      </c>
      <c r="AV67">
        <f>(Цены!AU67-Цены!AU$2)/Цены!AU$2</f>
        <v>0.2457372116349047</v>
      </c>
      <c r="AW67">
        <f>(Цены!AV67-Цены!AV$2)/Цены!AV$2</f>
        <v>6.7215066565645562E-2</v>
      </c>
      <c r="AX67">
        <f>(Цены!AW67-Цены!AW$2)/Цены!AW$2</f>
        <v>-0.18200000000000005</v>
      </c>
      <c r="AY67">
        <f>(Цены!AX67-Цены!AX$2)/Цены!AX$2</f>
        <v>8.4947839046199708E-2</v>
      </c>
    </row>
    <row r="68" spans="1:51" x14ac:dyDescent="0.2">
      <c r="A68" s="1" t="s">
        <v>133</v>
      </c>
      <c r="B68" s="2">
        <v>66</v>
      </c>
      <c r="C68">
        <f>(Цены!B68-Цены!B$2)/Цены!B$2</f>
        <v>1.2898388034271537E-2</v>
      </c>
      <c r="D68">
        <f>(Цены!C68-Цены!C$2)/Цены!C$2</f>
        <v>-4.1704035874439514E-2</v>
      </c>
      <c r="E68">
        <f>(Цены!D68-Цены!D$2)/Цены!D$2</f>
        <v>-4.1140557791036349E-2</v>
      </c>
      <c r="F68">
        <f>(Цены!E68-Цены!E$2)/Цены!E$2</f>
        <v>9.6387048381047627E-2</v>
      </c>
      <c r="G68">
        <f>(Цены!F68-Цены!F$2)/Цены!F$2</f>
        <v>-1.3812154696132596E-3</v>
      </c>
      <c r="H68">
        <f>(Цены!G68-Цены!G$2)/Цены!G$2</f>
        <v>0.20438348796557751</v>
      </c>
      <c r="I68">
        <f>(Цены!H68-Цены!H$2)/Цены!H$2</f>
        <v>-3.0769230769230722E-2</v>
      </c>
      <c r="J68">
        <f>(Цены!I68-Цены!I$2)/Цены!I$2</f>
        <v>0.11648745519713262</v>
      </c>
      <c r="K68">
        <f>(Цены!J68-Цены!J$2)/Цены!J$2</f>
        <v>6.6565809379727683E-2</v>
      </c>
      <c r="L68">
        <f>(Цены!K68-Цены!K$2)/Цены!K$2</f>
        <v>0.1236337828246984</v>
      </c>
      <c r="M68">
        <f>(Цены!L68-Цены!L$2)/Цены!L$2</f>
        <v>-0.14358215267498414</v>
      </c>
      <c r="N68">
        <f>(Цены!M68-Цены!M$2)/Цены!M$2</f>
        <v>-9.191430545957141E-2</v>
      </c>
      <c r="O68">
        <f>(Цены!N68-Цены!N$2)/Цены!N$2</f>
        <v>-0.11303738726906573</v>
      </c>
      <c r="P68">
        <f>(Цены!O68-Цены!O$2)/Цены!O$2</f>
        <v>6.1040609137055932E-2</v>
      </c>
      <c r="Q68">
        <f>(Цены!P68-Цены!P$2)/Цены!P$2</f>
        <v>4.1060459101196212E-2</v>
      </c>
      <c r="R68">
        <f>(Цены!Q68-Цены!Q$2)/Цены!Q$2</f>
        <v>8.4900284900284936E-2</v>
      </c>
      <c r="S68">
        <f>(Цены!R68-Цены!R$2)/Цены!R$2</f>
        <v>2.6937422295897222E-2</v>
      </c>
      <c r="T68">
        <f>(Цены!S68-Цены!S$2)/Цены!S$2</f>
        <v>-9.5283018867924507E-2</v>
      </c>
      <c r="U68">
        <f>(Цены!T68-Цены!T$2)/Цены!T$2</f>
        <v>4.6815042210283909E-2</v>
      </c>
      <c r="V68">
        <f>(Цены!U68-Цены!U$2)/Цены!U$2</f>
        <v>-5.2456286427976687E-2</v>
      </c>
      <c r="W68">
        <f>(Цены!V68-Цены!V$2)/Цены!V$2</f>
        <v>-0.19769585253456218</v>
      </c>
      <c r="X68">
        <f>(Цены!W68-Цены!W$2)/Цены!W$2</f>
        <v>-3.2676909759792212E-2</v>
      </c>
      <c r="Y68">
        <f>(Цены!X68-Цены!X$2)/Цены!X$2</f>
        <v>0.10468140442132635</v>
      </c>
      <c r="Z68">
        <f>(Цены!Y68-Цены!Y$2)/Цены!Y$2</f>
        <v>-9.6704774714189742E-2</v>
      </c>
      <c r="AA68">
        <f>(Цены!Z68-Цены!Z$2)/Цены!Z$2</f>
        <v>-1.6714697406339976E-2</v>
      </c>
      <c r="AB68">
        <f>(Цены!AA68-Цены!AA$2)/Цены!AA$2</f>
        <v>-0.17257844474761252</v>
      </c>
      <c r="AC68">
        <f>(Цены!AB68-Цены!AB$2)/Цены!AB$2</f>
        <v>-7.0870870870870864E-2</v>
      </c>
      <c r="AD68">
        <f>(Цены!AC68-Цены!AC$2)/Цены!AC$2</f>
        <v>-6.172988644600149E-2</v>
      </c>
      <c r="AE68">
        <f>(Цены!AD68-Цены!AD$2)/Цены!AD$2</f>
        <v>2.6296566837107401E-2</v>
      </c>
      <c r="AF68">
        <f>(Цены!AE68-Цены!AE$2)/Цены!AE$2</f>
        <v>-4.5790251107828653E-2</v>
      </c>
      <c r="AG68">
        <f>(Цены!AF68-Цены!AF$2)/Цены!AF$2</f>
        <v>-3.1007751937984523E-2</v>
      </c>
      <c r="AH68">
        <f>(Цены!AG68-Цены!AG$2)/Цены!AG$2</f>
        <v>-7.9770261646458201E-2</v>
      </c>
      <c r="AI68">
        <f>(Цены!AH68-Цены!AH$2)/Цены!AH$2</f>
        <v>-0.21782178217821788</v>
      </c>
      <c r="AJ68">
        <f>(Цены!AI68-Цены!AI$2)/Цены!AI$2</f>
        <v>-0.12044046799724709</v>
      </c>
      <c r="AK68">
        <f>(Цены!AJ68-Цены!AJ$2)/Цены!AJ$2</f>
        <v>3.4240150093808631E-2</v>
      </c>
      <c r="AL68">
        <f>(Цены!AK68-Цены!AK$2)/Цены!AK$2</f>
        <v>-8.951210142143684E-2</v>
      </c>
      <c r="AM68">
        <f>(Цены!AL68-Цены!AL$2)/Цены!AL$2</f>
        <v>-9.5982142857142863E-2</v>
      </c>
      <c r="AN68">
        <f>(Цены!AM68-Цены!AM$2)/Цены!AM$2</f>
        <v>-8.8584474885844755E-2</v>
      </c>
      <c r="AO68">
        <f>(Цены!AN68-Цены!AN$2)/Цены!AN$2</f>
        <v>-3.7101449275362318E-2</v>
      </c>
      <c r="AP68">
        <f>(Цены!AO68-Цены!AO$2)/Цены!AO$2</f>
        <v>3.6630036630036632E-2</v>
      </c>
      <c r="AQ68">
        <f>(Цены!AP68-Цены!AP$2)/Цены!AP$2</f>
        <v>3.2110091743119268E-2</v>
      </c>
      <c r="AR68">
        <f>(Цены!AQ68-Цены!AQ$2)/Цены!AQ$2</f>
        <v>1.4198782961460446E-2</v>
      </c>
      <c r="AS68">
        <f>(Цены!AR68-Цены!AR$2)/Цены!AR$2</f>
        <v>-9.4031071136549474E-2</v>
      </c>
      <c r="AT68">
        <f>(Цены!AS68-Цены!AS$2)/Цены!AS$2</f>
        <v>-5.7915057915057917E-2</v>
      </c>
      <c r="AU68">
        <f>(Цены!AT68-Цены!AT$2)/Цены!AT$2</f>
        <v>2.3676880222841246E-2</v>
      </c>
      <c r="AV68">
        <f>(Цены!AU68-Цены!AU$2)/Цены!AU$2</f>
        <v>0.23470411233701094</v>
      </c>
      <c r="AW68">
        <f>(Цены!AV68-Цены!AV$2)/Цены!AV$2</f>
        <v>8.7780062777356851E-2</v>
      </c>
      <c r="AX68">
        <f>(Цены!AW68-Цены!AW$2)/Цены!AW$2</f>
        <v>-0.18933333333333333</v>
      </c>
      <c r="AY68">
        <f>(Цены!AX68-Цены!AX$2)/Цены!AX$2</f>
        <v>9.0909090909090912E-2</v>
      </c>
    </row>
    <row r="69" spans="1:51" x14ac:dyDescent="0.2">
      <c r="A69" s="1" t="s">
        <v>134</v>
      </c>
      <c r="B69" s="2">
        <v>67</v>
      </c>
      <c r="C69">
        <f>(Цены!B69-Цены!B$2)/Цены!B$2</f>
        <v>1.7437449251698347E-2</v>
      </c>
      <c r="D69">
        <f>(Цены!C69-Цены!C$2)/Цены!C$2</f>
        <v>-5.829596412556054E-2</v>
      </c>
      <c r="E69">
        <f>(Цены!D69-Цены!D$2)/Цены!D$2</f>
        <v>-4.1348688774802141E-2</v>
      </c>
      <c r="F69">
        <f>(Цены!E69-Цены!E$2)/Цены!E$2</f>
        <v>0.10513814226778348</v>
      </c>
      <c r="G69">
        <f>(Цены!F69-Цены!F$2)/Цены!F$2</f>
        <v>-3.0386740331491712E-3</v>
      </c>
      <c r="H69">
        <f>(Цены!G69-Цены!G$2)/Цены!G$2</f>
        <v>0.22966249831921468</v>
      </c>
      <c r="I69">
        <f>(Цены!H69-Цены!H$2)/Цены!H$2</f>
        <v>-2.564102564102564E-2</v>
      </c>
      <c r="J69">
        <f>(Цены!I69-Цены!I$2)/Цены!I$2</f>
        <v>0.13594470046082949</v>
      </c>
      <c r="K69">
        <f>(Цены!J69-Цены!J$2)/Цены!J$2</f>
        <v>7.5189107413010658E-2</v>
      </c>
      <c r="L69">
        <f>(Цены!K69-Цены!K$2)/Цены!K$2</f>
        <v>0.1280340667139816</v>
      </c>
      <c r="M69">
        <f>(Цены!L69-Цены!L$2)/Цены!L$2</f>
        <v>-9.4946077394798059E-2</v>
      </c>
      <c r="N69">
        <f>(Цены!M69-Цены!M$2)/Цены!M$2</f>
        <v>-9.0186592950932856E-2</v>
      </c>
      <c r="O69">
        <f>(Цены!N69-Цены!N$2)/Цены!N$2</f>
        <v>-0.11653970755625592</v>
      </c>
      <c r="P69">
        <f>(Цены!O69-Цены!O$2)/Цены!O$2</f>
        <v>6.59898477157361E-2</v>
      </c>
      <c r="Q69">
        <f>(Цены!P69-Цены!P$2)/Цены!P$2</f>
        <v>5.6902683478823039E-2</v>
      </c>
      <c r="R69">
        <f>(Цены!Q69-Цены!Q$2)/Цены!Q$2</f>
        <v>0.10176638176638185</v>
      </c>
      <c r="S69">
        <f>(Цены!R69-Цены!R$2)/Цены!R$2</f>
        <v>3.3464566929133813E-2</v>
      </c>
      <c r="T69">
        <f>(Цены!S69-Цены!S$2)/Цены!S$2</f>
        <v>-0.10226415094339625</v>
      </c>
      <c r="U69">
        <f>(Цены!T69-Цены!T$2)/Цены!T$2</f>
        <v>5.7559478127398304E-2</v>
      </c>
      <c r="V69">
        <f>(Цены!U69-Цены!U$2)/Цены!U$2</f>
        <v>-5.661948376353039E-2</v>
      </c>
      <c r="W69">
        <f>(Цены!V69-Цены!V$2)/Цены!V$2</f>
        <v>-0.18894009216589852</v>
      </c>
      <c r="X69">
        <f>(Цены!W69-Цены!W$2)/Цены!W$2</f>
        <v>-1.471542956070114E-2</v>
      </c>
      <c r="Y69">
        <f>(Цены!X69-Цены!X$2)/Цены!X$2</f>
        <v>0.10793237971391413</v>
      </c>
      <c r="Z69">
        <f>(Цены!Y69-Цены!Y$2)/Цены!Y$2</f>
        <v>-8.9038332212508453E-2</v>
      </c>
      <c r="AA69">
        <f>(Цены!Z69-Цены!Z$2)/Цены!Z$2</f>
        <v>4.0345821325648776E-3</v>
      </c>
      <c r="AB69">
        <f>(Цены!AA69-Цены!AA$2)/Цены!AA$2</f>
        <v>-0.16302864938608452</v>
      </c>
      <c r="AC69">
        <f>(Цены!AB69-Цены!AB$2)/Цены!AB$2</f>
        <v>-7.0870870870870864E-2</v>
      </c>
      <c r="AD69">
        <f>(Цены!AC69-Цены!AC$2)/Цены!AC$2</f>
        <v>-5.7381009905774327E-2</v>
      </c>
      <c r="AE69">
        <f>(Цены!AD69-Цены!AD$2)/Цены!AD$2</f>
        <v>2.264426588750907E-2</v>
      </c>
      <c r="AF69">
        <f>(Цены!AE69-Цены!AE$2)/Цены!AE$2</f>
        <v>-3.8404726735598228E-2</v>
      </c>
      <c r="AG69">
        <f>(Цены!AF69-Цены!AF$2)/Цены!AF$2</f>
        <v>-5.0387596899224833E-2</v>
      </c>
      <c r="AH69">
        <f>(Цены!AG69-Цены!AG$2)/Цены!AG$2</f>
        <v>-7.4664964901084804E-2</v>
      </c>
      <c r="AI69">
        <f>(Цены!AH69-Цены!AH$2)/Цены!AH$2</f>
        <v>-0.21287128712871284</v>
      </c>
      <c r="AJ69">
        <f>(Цены!AI69-Цены!AI$2)/Цены!AI$2</f>
        <v>-0.1094287680660702</v>
      </c>
      <c r="AK69">
        <f>(Цены!AJ69-Цены!AJ$2)/Цены!AJ$2</f>
        <v>3.4474671669793622E-2</v>
      </c>
      <c r="AL69">
        <f>(Цены!AK69-Цены!AK$2)/Цены!AK$2</f>
        <v>-7.08797541298503E-2</v>
      </c>
      <c r="AM69">
        <f>(Цены!AL69-Цены!AL$2)/Цены!AL$2</f>
        <v>-9.0178571428571372E-2</v>
      </c>
      <c r="AN69">
        <f>(Цены!AM69-Цены!AM$2)/Цены!AM$2</f>
        <v>-8.5844748858447492E-2</v>
      </c>
      <c r="AO69">
        <f>(Цены!AN69-Цены!AN$2)/Цены!AN$2</f>
        <v>-3.826086956521739E-2</v>
      </c>
      <c r="AP69">
        <f>(Цены!AO69-Цены!AO$2)/Цены!AO$2</f>
        <v>2.3809523809523756E-2</v>
      </c>
      <c r="AQ69">
        <f>(Цены!AP69-Цены!AP$2)/Цены!AP$2</f>
        <v>3.2110091743119268E-2</v>
      </c>
      <c r="AR69">
        <f>(Цены!AQ69-Цены!AQ$2)/Цены!AQ$2</f>
        <v>2.0283975659229209E-3</v>
      </c>
      <c r="AS69">
        <f>(Цены!AR69-Цены!AR$2)/Цены!AR$2</f>
        <v>-7.0318887980376082E-2</v>
      </c>
      <c r="AT69">
        <f>(Цены!AS69-Цены!AS$2)/Цены!AS$2</f>
        <v>-5.6949806949806871E-2</v>
      </c>
      <c r="AU69">
        <f>(Цены!AT69-Цены!AT$2)/Цены!AT$2</f>
        <v>1.6713091922005586E-2</v>
      </c>
      <c r="AV69">
        <f>(Цены!AU69-Цены!AU$2)/Цены!AU$2</f>
        <v>0.31995987963891664</v>
      </c>
      <c r="AW69">
        <f>(Цены!AV69-Цены!AV$2)/Цены!AV$2</f>
        <v>0.11202511094274266</v>
      </c>
      <c r="AX69">
        <f>(Цены!AW69-Цены!AW$2)/Цены!AW$2</f>
        <v>-0.16000000000000025</v>
      </c>
      <c r="AY69">
        <f>(Цены!AX69-Цены!AX$2)/Цены!AX$2</f>
        <v>9.6870342771982115E-2</v>
      </c>
    </row>
    <row r="70" spans="1:51" x14ac:dyDescent="0.2">
      <c r="A70" s="1" t="s">
        <v>135</v>
      </c>
      <c r="B70" s="2">
        <v>68</v>
      </c>
      <c r="C70">
        <f>(Цены!B70-Цены!B$2)/Цены!B$2</f>
        <v>1.7282153902128353E-2</v>
      </c>
      <c r="D70">
        <f>(Цены!C70-Цены!C$2)/Цены!C$2</f>
        <v>-6.3228699551569484E-2</v>
      </c>
      <c r="E70">
        <f>(Цены!D70-Цены!D$2)/Цены!D$2</f>
        <v>-4.2666851671985417E-2</v>
      </c>
      <c r="F70">
        <f>(Цены!E70-Цены!E$2)/Цены!E$2</f>
        <v>0.10638829853731717</v>
      </c>
      <c r="G70">
        <f>(Цены!F70-Цены!F$2)/Цены!F$2</f>
        <v>-1.1049723756906078E-3</v>
      </c>
      <c r="H70">
        <f>(Цены!G70-Цены!G$2)/Цены!G$2</f>
        <v>0.23705795347586384</v>
      </c>
      <c r="I70">
        <f>(Цены!H70-Цены!H$2)/Цены!H$2</f>
        <v>-2.0512820512820561E-2</v>
      </c>
      <c r="J70">
        <f>(Цены!I70-Цены!I$2)/Цены!I$2</f>
        <v>0.14644137224782386</v>
      </c>
      <c r="K70">
        <f>(Цены!J70-Цены!J$2)/Цены!J$2</f>
        <v>7.080181543116483E-2</v>
      </c>
      <c r="L70">
        <f>(Цены!K70-Цены!K$2)/Цены!K$2</f>
        <v>0.14549325762952448</v>
      </c>
      <c r="M70">
        <f>(Цены!L70-Цены!L$2)/Цены!L$2</f>
        <v>-9.7060689363501804E-2</v>
      </c>
      <c r="N70">
        <f>(Цены!M70-Цены!M$2)/Цены!M$2</f>
        <v>-8.7940566689702807E-2</v>
      </c>
      <c r="O70">
        <f>(Цены!N70-Цены!N$2)/Цены!N$2</f>
        <v>-0.1086594869100779</v>
      </c>
      <c r="P70">
        <f>(Цены!O70-Цены!O$2)/Цены!O$2</f>
        <v>5.5964467005076124E-2</v>
      </c>
      <c r="Q70">
        <f>(Цены!P70-Цены!P$2)/Цены!P$2</f>
        <v>5.813126414484307E-2</v>
      </c>
      <c r="R70">
        <f>(Цены!Q70-Цены!Q$2)/Цены!Q$2</f>
        <v>9.8575498575498646E-2</v>
      </c>
      <c r="S70">
        <f>(Цены!R70-Цены!R$2)/Цены!R$2</f>
        <v>5.1284707832573558E-2</v>
      </c>
      <c r="T70">
        <f>(Цены!S70-Цены!S$2)/Цены!S$2</f>
        <v>-9.7735849056603721E-2</v>
      </c>
      <c r="U70">
        <f>(Цены!T70-Цены!T$2)/Цены!T$2</f>
        <v>6.0168841135840173E-2</v>
      </c>
      <c r="V70">
        <f>(Цены!U70-Цены!U$2)/Цены!U$2</f>
        <v>-5.8284762697751874E-2</v>
      </c>
      <c r="W70">
        <f>(Цены!V70-Цены!V$2)/Цены!V$2</f>
        <v>-0.18341013824884794</v>
      </c>
      <c r="X70">
        <f>(Цены!W70-Цены!W$2)/Цены!W$2</f>
        <v>1.9476303830338953E-3</v>
      </c>
      <c r="Y70">
        <f>(Цены!X70-Цены!X$2)/Цены!X$2</f>
        <v>0.11183355006501942</v>
      </c>
      <c r="Z70">
        <f>(Цены!Y70-Цены!Y$2)/Цены!Y$2</f>
        <v>-9.3745796906523321E-2</v>
      </c>
      <c r="AA70">
        <f>(Цены!Z70-Цены!Z$2)/Цены!Z$2</f>
        <v>-1.3256484149855889E-2</v>
      </c>
      <c r="AB70">
        <f>(Цены!AA70-Цены!AA$2)/Цены!AA$2</f>
        <v>-0.16643929058663023</v>
      </c>
      <c r="AC70">
        <f>(Цены!AB70-Цены!AB$2)/Цены!AB$2</f>
        <v>-7.1471471471471468E-2</v>
      </c>
      <c r="AD70">
        <f>(Цены!AC70-Цены!AC$2)/Цены!AC$2</f>
        <v>-5.3515341870016921E-2</v>
      </c>
      <c r="AE70">
        <f>(Цены!AD70-Цены!AD$2)/Цены!AD$2</f>
        <v>2.6661796932067185E-2</v>
      </c>
      <c r="AF70">
        <f>(Цены!AE70-Цены!AE$2)/Цены!AE$2</f>
        <v>-4.874446085672083E-2</v>
      </c>
      <c r="AG70">
        <f>(Цены!AF70-Цены!AF$2)/Цены!AF$2</f>
        <v>-5.0145348837209273E-2</v>
      </c>
      <c r="AH70">
        <f>(Цены!AG70-Цены!AG$2)/Цены!AG$2</f>
        <v>-7.9770261646458201E-2</v>
      </c>
      <c r="AI70">
        <f>(Цены!AH70-Цены!AH$2)/Цены!AH$2</f>
        <v>-0.21452145214521451</v>
      </c>
      <c r="AJ70">
        <f>(Цены!AI70-Цены!AI$2)/Цены!AI$2</f>
        <v>-0.10598761183757738</v>
      </c>
      <c r="AK70">
        <f>(Цены!AJ70-Цены!AJ$2)/Цены!AJ$2</f>
        <v>4.9015009380863041E-2</v>
      </c>
      <c r="AL70">
        <f>(Цены!AK70-Цены!AK$2)/Цены!AK$2</f>
        <v>-7.6258163657318523E-2</v>
      </c>
      <c r="AM70">
        <f>(Цены!AL70-Цены!AL$2)/Цены!AL$2</f>
        <v>-9.8214285714285712E-2</v>
      </c>
      <c r="AN70">
        <f>(Цены!AM70-Цены!AM$2)/Цены!AM$2</f>
        <v>-8.4931506849315067E-2</v>
      </c>
      <c r="AO70">
        <f>(Цены!AN70-Цены!AN$2)/Цены!AN$2</f>
        <v>-3.7101449275362318E-2</v>
      </c>
      <c r="AP70">
        <f>(Цены!AO70-Цены!AO$2)/Цены!AO$2</f>
        <v>2.19780219780219E-2</v>
      </c>
      <c r="AQ70">
        <f>(Цены!AP70-Цены!AP$2)/Цены!AP$2</f>
        <v>2.2935779816513763E-2</v>
      </c>
      <c r="AR70">
        <f>(Цены!AQ70-Цены!AQ$2)/Цены!AQ$2</f>
        <v>1.2170385395537525E-2</v>
      </c>
      <c r="AS70">
        <f>(Цены!AR70-Цены!AR$2)/Цены!AR$2</f>
        <v>-5.8871627146361433E-2</v>
      </c>
      <c r="AT70">
        <f>(Цены!AS70-Цены!AS$2)/Цены!AS$2</f>
        <v>-5.4054054054054002E-2</v>
      </c>
      <c r="AU70">
        <f>(Цены!AT70-Цены!AT$2)/Цены!AT$2</f>
        <v>2.0891364902506985E-2</v>
      </c>
      <c r="AV70">
        <f>(Цены!AU70-Цены!AU$2)/Цены!AU$2</f>
        <v>0.30591775325977921</v>
      </c>
      <c r="AW70">
        <f>(Цены!AV70-Цены!AV$2)/Цены!AV$2</f>
        <v>0.10185084965905397</v>
      </c>
      <c r="AX70">
        <f>(Цены!AW70-Цены!AW$2)/Цены!AW$2</f>
        <v>-0.16022222222222221</v>
      </c>
      <c r="AY70">
        <f>(Цены!AX70-Цены!AX$2)/Цены!AX$2</f>
        <v>9.0909090909090912E-2</v>
      </c>
    </row>
    <row r="71" spans="1:51" x14ac:dyDescent="0.2">
      <c r="A71" s="1" t="s">
        <v>136</v>
      </c>
      <c r="B71" s="2">
        <v>69</v>
      </c>
      <c r="C71">
        <f>(Цены!B71-Цены!B$2)/Цены!B$2</f>
        <v>1.8613256898441198E-2</v>
      </c>
      <c r="D71">
        <f>(Цены!C71-Цены!C$2)/Цены!C$2</f>
        <v>-5.2331838565022368E-2</v>
      </c>
      <c r="E71">
        <f>(Цены!D71-Цены!D$2)/Цены!D$2</f>
        <v>-3.6353545164423344E-2</v>
      </c>
      <c r="F71">
        <f>(Цены!E71-Цены!E$2)/Цены!E$2</f>
        <v>0.10263782972871609</v>
      </c>
      <c r="G71">
        <f>(Цены!F71-Цены!F$2)/Цены!F$2</f>
        <v>5.5248618784530391E-4</v>
      </c>
      <c r="H71">
        <f>(Цены!G71-Цены!G$2)/Цены!G$2</f>
        <v>0.22065348931020559</v>
      </c>
      <c r="I71">
        <f>(Цены!H71-Цены!H$2)/Цены!H$2</f>
        <v>-9.7435897435897492E-3</v>
      </c>
      <c r="J71">
        <f>(Цены!I71-Цены!I$2)/Цены!I$2</f>
        <v>0.13056835637480799</v>
      </c>
      <c r="K71">
        <f>(Цены!J71-Цены!J$2)/Цены!J$2</f>
        <v>8.6232980332829043E-2</v>
      </c>
      <c r="L71">
        <f>(Цены!K71-Цены!K$2)/Цены!K$2</f>
        <v>0.15386799148332148</v>
      </c>
      <c r="M71">
        <f>(Цены!L71-Цены!L$2)/Цены!L$2</f>
        <v>-0.10890251638824276</v>
      </c>
      <c r="N71">
        <f>(Цены!M71-Цены!M$2)/Цены!M$2</f>
        <v>-9.5196959225984645E-2</v>
      </c>
      <c r="O71">
        <f>(Цены!N71-Цены!N$2)/Цены!N$2</f>
        <v>-9.1848349531564621E-2</v>
      </c>
      <c r="P71">
        <f>(Цены!O71-Цены!O$2)/Цены!O$2</f>
        <v>4.0101522842639577E-2</v>
      </c>
      <c r="Q71">
        <f>(Цены!P71-Цены!P$2)/Цены!P$2</f>
        <v>5.5932751374070513E-2</v>
      </c>
      <c r="R71">
        <f>(Цены!Q71-Цены!Q$2)/Цены!Q$2</f>
        <v>0.10256410256410256</v>
      </c>
      <c r="S71">
        <f>(Цены!R71-Цены!R$2)/Цены!R$2</f>
        <v>4.537919602154989E-2</v>
      </c>
      <c r="T71">
        <f>(Цены!S71-Цены!S$2)/Цены!S$2</f>
        <v>-9.4905660377358494E-2</v>
      </c>
      <c r="U71">
        <f>(Цены!T71-Цены!T$2)/Цены!T$2</f>
        <v>6.0475825019186455E-2</v>
      </c>
      <c r="V71">
        <f>(Цены!U71-Цены!U$2)/Цены!U$2</f>
        <v>-5.4121565362198171E-2</v>
      </c>
      <c r="W71">
        <f>(Цены!V71-Цены!V$2)/Цены!V$2</f>
        <v>-0.14423963133640549</v>
      </c>
      <c r="X71">
        <f>(Цены!W71-Цены!W$2)/Цены!W$2</f>
        <v>4.1116641419605649E-3</v>
      </c>
      <c r="Y71">
        <f>(Цены!X71-Цены!X$2)/Цены!X$2</f>
        <v>0.10923276983094916</v>
      </c>
      <c r="Z71">
        <f>(Цены!Y71-Цены!Y$2)/Цены!Y$2</f>
        <v>-8.8769334229993349E-2</v>
      </c>
      <c r="AA71">
        <f>(Цены!Z71-Цены!Z$2)/Цены!Z$2</f>
        <v>-2.6512968299711778E-2</v>
      </c>
      <c r="AB71">
        <f>(Цены!AA71-Цены!AA$2)/Цены!AA$2</f>
        <v>-0.16984993178717595</v>
      </c>
      <c r="AC71">
        <f>(Цены!AB71-Цены!AB$2)/Цены!AB$2</f>
        <v>-7.5075075075075076E-2</v>
      </c>
      <c r="AD71">
        <f>(Цены!AC71-Цены!AC$2)/Цены!AC$2</f>
        <v>-5.4481758878956309E-2</v>
      </c>
      <c r="AE71">
        <f>(Цены!AD71-Цены!AD$2)/Цены!AD$2</f>
        <v>5.8436815193572004E-3</v>
      </c>
      <c r="AF71">
        <f>(Цены!AE71-Цены!AE$2)/Цены!AE$2</f>
        <v>-6.9423929098966025E-2</v>
      </c>
      <c r="AG71">
        <f>(Цены!AF71-Цены!AF$2)/Цены!AF$2</f>
        <v>-8.0668604651162809E-2</v>
      </c>
      <c r="AH71">
        <f>(Цены!AG71-Цены!AG$2)/Цены!AG$2</f>
        <v>-8.3599234205488163E-2</v>
      </c>
      <c r="AI71">
        <f>(Цены!AH71-Цены!AH$2)/Цены!AH$2</f>
        <v>-0.22318481848184815</v>
      </c>
      <c r="AJ71">
        <f>(Цены!AI71-Цены!AI$2)/Цены!AI$2</f>
        <v>-0.11355815554026144</v>
      </c>
      <c r="AK71">
        <f>(Цены!AJ71-Цены!AJ$2)/Цены!AJ$2</f>
        <v>6.5196998123827399E-2</v>
      </c>
      <c r="AL71">
        <f>(Цены!AK71-Цены!AK$2)/Цены!AK$2</f>
        <v>-7.4145217057241655E-2</v>
      </c>
      <c r="AM71">
        <f>(Цены!AL71-Цены!AL$2)/Цены!AL$2</f>
        <v>-9.776785714285717E-2</v>
      </c>
      <c r="AN71">
        <f>(Цены!AM71-Цены!AM$2)/Цены!AM$2</f>
        <v>-7.8995433789954342E-2</v>
      </c>
      <c r="AO71">
        <f>(Цены!AN71-Цены!AN$2)/Цены!AN$2</f>
        <v>-3.826086956521739E-2</v>
      </c>
      <c r="AP71">
        <f>(Цены!AO71-Цены!AO$2)/Цены!AO$2</f>
        <v>5.494505494505442E-3</v>
      </c>
      <c r="AQ71">
        <f>(Цены!AP71-Цены!AP$2)/Цены!AP$2</f>
        <v>4.5871559633027525E-3</v>
      </c>
      <c r="AR71">
        <f>(Цены!AQ71-Цены!AQ$2)/Цены!AQ$2</f>
        <v>1.2170385395537525E-2</v>
      </c>
      <c r="AS71">
        <f>(Цены!AR71-Цены!AR$2)/Цены!AR$2</f>
        <v>-7.2771872444807775E-2</v>
      </c>
      <c r="AT71">
        <f>(Цены!AS71-Цены!AS$2)/Цены!AS$2</f>
        <v>-5.3088803088803094E-2</v>
      </c>
      <c r="AU71">
        <f>(Цены!AT71-Цены!AT$2)/Цены!AT$2</f>
        <v>1.6713091922005586E-2</v>
      </c>
      <c r="AV71">
        <f>(Цены!AU71-Цены!AU$2)/Цены!AU$2</f>
        <v>0.31895687061183547</v>
      </c>
      <c r="AW71">
        <f>(Цены!AV71-Цены!AV$2)/Цены!AV$2</f>
        <v>0.11483926831908214</v>
      </c>
      <c r="AX71">
        <f>(Цены!AW71-Цены!AW$2)/Цены!AW$2</f>
        <v>-0.16666666666666669</v>
      </c>
      <c r="AY71">
        <f>(Цены!AX71-Цены!AX$2)/Цены!AX$2</f>
        <v>9.6870342771982115E-2</v>
      </c>
    </row>
    <row r="72" spans="1:51" x14ac:dyDescent="0.2">
      <c r="A72" s="1" t="s">
        <v>137</v>
      </c>
      <c r="B72" s="2">
        <v>70</v>
      </c>
      <c r="C72">
        <f>(Цены!B72-Цены!B$2)/Цены!B$2</f>
        <v>2.987882525723572E-2</v>
      </c>
      <c r="D72">
        <f>(Цены!C72-Цены!C$2)/Цены!C$2</f>
        <v>-3.6502242152466308E-2</v>
      </c>
      <c r="E72">
        <f>(Цены!D72-Цены!D$2)/Цены!D$2</f>
        <v>-2.4281948106007656E-3</v>
      </c>
      <c r="F72">
        <f>(Цены!E72-Цены!E$2)/Цены!E$2</f>
        <v>0.11301412676584573</v>
      </c>
      <c r="G72">
        <f>(Цены!F72-Цены!F$2)/Цены!F$2</f>
        <v>2.0257826887661143E-3</v>
      </c>
      <c r="H72">
        <f>(Цены!G72-Цены!G$2)/Цены!G$2</f>
        <v>0.24297431760118315</v>
      </c>
      <c r="I72">
        <f>(Цены!H72-Цены!H$2)/Цены!H$2</f>
        <v>-8.8888888888889427E-3</v>
      </c>
      <c r="J72">
        <f>(Цены!I72-Цены!I$2)/Цены!I$2</f>
        <v>0.14413722478238608</v>
      </c>
      <c r="K72">
        <f>(Цены!J72-Цены!J$2)/Цены!J$2</f>
        <v>9.1376701966717058E-2</v>
      </c>
      <c r="L72">
        <f>(Цены!K72-Цены!K$2)/Цены!K$2</f>
        <v>0.18949609652235627</v>
      </c>
      <c r="M72">
        <f>(Цены!L72-Цены!L$2)/Цены!L$2</f>
        <v>-0.12708817931909494</v>
      </c>
      <c r="N72">
        <f>(Цены!M72-Цены!M$2)/Цены!M$2</f>
        <v>-8.8458880442294288E-2</v>
      </c>
      <c r="O72">
        <f>(Цены!N72-Цены!N$2)/Цены!N$2</f>
        <v>-9.8152526048507091E-2</v>
      </c>
      <c r="P72">
        <f>(Цены!O72-Цены!O$2)/Цены!O$2</f>
        <v>5.1395939086294445E-2</v>
      </c>
      <c r="Q72">
        <f>(Цены!P72-Цены!P$2)/Цены!P$2</f>
        <v>5.0113158745554477E-2</v>
      </c>
      <c r="R72">
        <f>(Цены!Q72-Цены!Q$2)/Цены!Q$2</f>
        <v>0.10860398860398862</v>
      </c>
      <c r="S72">
        <f>(Цены!R72-Цены!R$2)/Цены!R$2</f>
        <v>5.7086614173228252E-2</v>
      </c>
      <c r="T72">
        <f>(Цены!S72-Цены!S$2)/Цены!S$2</f>
        <v>-8.9056603773584819E-2</v>
      </c>
      <c r="U72">
        <f>(Цены!T72-Цены!T$2)/Цены!T$2</f>
        <v>7.9048349961626879E-2</v>
      </c>
      <c r="V72">
        <f>(Цены!U72-Цены!U$2)/Цены!U$2</f>
        <v>-4.9125728559533725E-2</v>
      </c>
      <c r="W72">
        <f>(Цены!V72-Цены!V$2)/Цены!V$2</f>
        <v>-0.16405529953917045</v>
      </c>
      <c r="X72">
        <f>(Цены!W72-Цены!W$2)/Цены!W$2</f>
        <v>1.0820168794632582E-3</v>
      </c>
      <c r="Y72">
        <f>(Цены!X72-Цены!X$2)/Цены!X$2</f>
        <v>0.11345903771131331</v>
      </c>
      <c r="Z72">
        <f>(Цены!Y72-Цены!Y$2)/Цены!Y$2</f>
        <v>-8.7020847343645041E-2</v>
      </c>
      <c r="AA72">
        <f>(Цены!Z72-Цены!Z$2)/Цены!Z$2</f>
        <v>-1.7867435158501394E-2</v>
      </c>
      <c r="AB72">
        <f>(Цены!AA72-Цены!AA$2)/Цены!AA$2</f>
        <v>-0.16132332878581168</v>
      </c>
      <c r="AC72">
        <f>(Цены!AB72-Цены!AB$2)/Цены!AB$2</f>
        <v>-7.0270270270270274E-2</v>
      </c>
      <c r="AD72">
        <f>(Цены!AC72-Цены!AC$2)/Цены!AC$2</f>
        <v>-7.3206088427156299E-2</v>
      </c>
      <c r="AE72">
        <f>(Цены!AD72-Цены!AD$2)/Цены!AD$2</f>
        <v>-1.3148283418553701E-2</v>
      </c>
      <c r="AF72">
        <f>(Цены!AE72-Цены!AE$2)/Цены!AE$2</f>
        <v>-7.8286558345642535E-2</v>
      </c>
      <c r="AG72">
        <f>(Цены!AF72-Цены!AF$2)/Цены!AF$2</f>
        <v>-8.4302325581395374E-2</v>
      </c>
      <c r="AH72">
        <f>(Цены!AG72-Цены!AG$2)/Цены!AG$2</f>
        <v>-0.1021059349074665</v>
      </c>
      <c r="AI72">
        <f>(Цены!AH72-Цены!AH$2)/Цены!AH$2</f>
        <v>-0.23432343234323436</v>
      </c>
      <c r="AJ72">
        <f>(Цены!AI72-Цены!AI$2)/Цены!AI$2</f>
        <v>-0.11631108052305572</v>
      </c>
      <c r="AK72">
        <f>(Цены!AJ72-Цены!AJ$2)/Цены!AJ$2</f>
        <v>6.4727954971857404E-2</v>
      </c>
      <c r="AL72">
        <f>(Цены!AK72-Цены!AK$2)/Цены!AK$2</f>
        <v>-7.7410679984633204E-2</v>
      </c>
      <c r="AM72">
        <f>(Цены!AL72-Цены!AL$2)/Цены!AL$2</f>
        <v>-0.10223214285714288</v>
      </c>
      <c r="AN72">
        <f>(Цены!AM72-Цены!AM$2)/Цены!AM$2</f>
        <v>-8.6301369863013705E-2</v>
      </c>
      <c r="AO72">
        <f>(Цены!AN72-Цены!AN$2)/Цены!AN$2</f>
        <v>-3.826086956521739E-2</v>
      </c>
      <c r="AP72">
        <f>(Цены!AO72-Цены!AO$2)/Цены!AO$2</f>
        <v>1.2820512820512742E-2</v>
      </c>
      <c r="AQ72">
        <f>(Цены!AP72-Цены!AP$2)/Цены!AP$2</f>
        <v>1.3761467889908258E-2</v>
      </c>
      <c r="AR72">
        <f>(Цены!AQ72-Цены!AQ$2)/Цены!AQ$2</f>
        <v>1.6227180527383367E-2</v>
      </c>
      <c r="AS72">
        <f>(Цены!AR72-Цены!AR$2)/Цены!AR$2</f>
        <v>-9.4031071136549474E-2</v>
      </c>
      <c r="AT72">
        <f>(Цены!AS72-Цены!AS$2)/Цены!AS$2</f>
        <v>-4.343629343629344E-2</v>
      </c>
      <c r="AU72">
        <f>(Цены!AT72-Цены!AT$2)/Цены!AT$2</f>
        <v>3.8997214484679701E-2</v>
      </c>
      <c r="AV72">
        <f>(Цены!AU72-Цены!AU$2)/Цены!AU$2</f>
        <v>0.32497492477432288</v>
      </c>
      <c r="AW72">
        <f>(Цены!AV72-Цены!AV$2)/Цены!AV$2</f>
        <v>0.10866976945556885</v>
      </c>
      <c r="AX72">
        <f>(Цены!AW72-Цены!AW$2)/Цены!AW$2</f>
        <v>-0.18111111111111114</v>
      </c>
      <c r="AY72">
        <f>(Цены!AX72-Цены!AX$2)/Цены!AX$2</f>
        <v>7.6005961251862889E-2</v>
      </c>
    </row>
    <row r="73" spans="1:51" x14ac:dyDescent="0.2">
      <c r="A73" s="1" t="s">
        <v>138</v>
      </c>
      <c r="B73" s="2">
        <v>71</v>
      </c>
      <c r="C73">
        <f>(Цены!B73-Цены!B$2)/Цены!B$2</f>
        <v>2.7247678334523868E-2</v>
      </c>
      <c r="D73">
        <f>(Цены!C73-Цены!C$2)/Цены!C$2</f>
        <v>-5.5605381165919308E-2</v>
      </c>
      <c r="E73">
        <f>(Цены!D73-Цены!D$2)/Цены!D$2</f>
        <v>-1.3875398917718886E-2</v>
      </c>
      <c r="F73">
        <f>(Цены!E73-Цены!E$2)/Цены!E$2</f>
        <v>0.12364045505688211</v>
      </c>
      <c r="G73">
        <f>(Цены!F73-Цены!F$2)/Цены!F$2</f>
        <v>-7.1823204419889505E-3</v>
      </c>
      <c r="H73">
        <f>(Цены!G73-Цены!G$2)/Цены!G$2</f>
        <v>0.25077316122092241</v>
      </c>
      <c r="I73">
        <f>(Цены!H73-Цены!H$2)/Цены!H$2</f>
        <v>-2.5641025641025398E-3</v>
      </c>
      <c r="J73">
        <f>(Цены!I73-Цены!I$2)/Цены!I$2</f>
        <v>0.11495135688684076</v>
      </c>
      <c r="K73">
        <f>(Цены!J73-Цены!J$2)/Цены!J$2</f>
        <v>0.10272314674735246</v>
      </c>
      <c r="L73">
        <f>(Цены!K73-Цены!K$2)/Цены!K$2</f>
        <v>0.18268275372604689</v>
      </c>
      <c r="M73">
        <f>(Цены!L73-Цены!L$2)/Цены!L$2</f>
        <v>-0.11461196870374286</v>
      </c>
      <c r="N73">
        <f>(Цены!M73-Цены!M$2)/Цены!M$2</f>
        <v>-9.3642017968209978E-2</v>
      </c>
      <c r="O73">
        <f>(Цены!N73-Цены!N$2)/Цены!N$2</f>
        <v>-0.10253042640749492</v>
      </c>
      <c r="P73">
        <f>(Цены!O73-Цены!O$2)/Цены!O$2</f>
        <v>5.380710659898482E-2</v>
      </c>
      <c r="Q73">
        <f>(Цены!P73-Цены!P$2)/Цены!P$2</f>
        <v>3.6663433559650745E-2</v>
      </c>
      <c r="R73">
        <f>(Цены!Q73-Цены!Q$2)/Цены!Q$2</f>
        <v>9.3789173789173841E-2</v>
      </c>
      <c r="S73">
        <f>(Цены!R73-Цены!R$2)/Цены!R$2</f>
        <v>4.9937836717778628E-2</v>
      </c>
      <c r="T73">
        <f>(Цены!S73-Цены!S$2)/Цены!S$2</f>
        <v>-8.9056603773584819E-2</v>
      </c>
      <c r="U73">
        <f>(Цены!T73-Цены!T$2)/Цены!T$2</f>
        <v>9.8234842670759645E-2</v>
      </c>
      <c r="V73">
        <f>(Цены!U73-Цены!U$2)/Цены!U$2</f>
        <v>-4.537885095753539E-2</v>
      </c>
      <c r="W73">
        <f>(Цены!V73-Цены!V$2)/Цены!V$2</f>
        <v>-0.17235023041474648</v>
      </c>
      <c r="X73">
        <f>(Цены!W73-Цены!W$2)/Цены!W$2</f>
        <v>-1.2118589049989229E-2</v>
      </c>
      <c r="Y73">
        <f>(Цены!X73-Цены!X$2)/Цены!X$2</f>
        <v>0.10923276983094916</v>
      </c>
      <c r="Z73">
        <f>(Цены!Y73-Цены!Y$2)/Цены!Y$2</f>
        <v>-8.7693342299932794E-2</v>
      </c>
      <c r="AA73">
        <f>(Цены!Z73-Цены!Z$2)/Цены!Z$2</f>
        <v>-2.4495677233429259E-2</v>
      </c>
      <c r="AB73">
        <f>(Цены!AA73-Цены!AA$2)/Цены!AA$2</f>
        <v>-0.17462482946793995</v>
      </c>
      <c r="AC73">
        <f>(Цены!AB73-Цены!AB$2)/Цены!AB$2</f>
        <v>-7.2672672672672675E-2</v>
      </c>
      <c r="AD73">
        <f>(Цены!AC73-Цены!AC$2)/Цены!AC$2</f>
        <v>-7.4776516066682716E-2</v>
      </c>
      <c r="AE73">
        <f>(Цены!AD73-Цены!AD$2)/Цены!AD$2</f>
        <v>-1.5339663988312569E-2</v>
      </c>
      <c r="AF73">
        <f>(Цены!AE73-Цены!AE$2)/Цены!AE$2</f>
        <v>-7.2378138847858195E-2</v>
      </c>
      <c r="AG73">
        <f>(Цены!AF73-Цены!AF$2)/Цены!AF$2</f>
        <v>-6.8556201550387622E-2</v>
      </c>
      <c r="AH73">
        <f>(Цены!AG73-Цены!AG$2)/Цены!AG$2</f>
        <v>-8.9980855137204815E-2</v>
      </c>
      <c r="AI73">
        <f>(Цены!AH73-Цены!AH$2)/Цены!AH$2</f>
        <v>-0.23679867986798681</v>
      </c>
      <c r="AJ73">
        <f>(Цены!AI73-Цены!AI$2)/Цены!AI$2</f>
        <v>-0.11080523055746727</v>
      </c>
      <c r="AK73">
        <f>(Цены!AJ73-Цены!AJ$2)/Цены!AJ$2</f>
        <v>5.0656660412757973E-2</v>
      </c>
      <c r="AL73">
        <f>(Цены!AK73-Цены!AK$2)/Цены!AK$2</f>
        <v>-7.4145217057241655E-2</v>
      </c>
      <c r="AM73">
        <f>(Цены!AL73-Цены!AL$2)/Цены!AL$2</f>
        <v>-0.10223214285714288</v>
      </c>
      <c r="AN73">
        <f>(Цены!AM73-Цены!AM$2)/Цены!AM$2</f>
        <v>-8.6301369863013705E-2</v>
      </c>
      <c r="AO73">
        <f>(Цены!AN73-Цены!AN$2)/Цены!AN$2</f>
        <v>-3.7681159420289857E-2</v>
      </c>
      <c r="AP73">
        <f>(Цены!AO73-Цены!AO$2)/Цены!AO$2</f>
        <v>7.3260073260073E-3</v>
      </c>
      <c r="AQ73">
        <f>(Цены!AP73-Цены!AP$2)/Цены!AP$2</f>
        <v>2.2935779816513763E-2</v>
      </c>
      <c r="AR73">
        <f>(Цены!AQ73-Цены!AQ$2)/Цены!AQ$2</f>
        <v>1.8255578093306288E-2</v>
      </c>
      <c r="AS73">
        <f>(Цены!AR73-Цены!AR$2)/Цены!AR$2</f>
        <v>-9.2395748160261637E-2</v>
      </c>
      <c r="AT73">
        <f>(Цены!AS73-Цены!AS$2)/Цены!AS$2</f>
        <v>3.9575289575289663E-2</v>
      </c>
      <c r="AU73">
        <f>(Цены!AT73-Цены!AT$2)/Цены!AT$2</f>
        <v>1.1142061281337058E-2</v>
      </c>
      <c r="AV73">
        <f>(Цены!AU73-Цены!AU$2)/Цены!AU$2</f>
        <v>0.33801404212637914</v>
      </c>
      <c r="AW73">
        <f>(Цены!AV73-Цены!AV$2)/Цены!AV$2</f>
        <v>0.10856153263340189</v>
      </c>
      <c r="AX73">
        <f>(Цены!AW73-Цены!AW$2)/Цены!AW$2</f>
        <v>-0.18200000000000005</v>
      </c>
      <c r="AY73">
        <f>(Цены!AX73-Цены!AX$2)/Цены!AX$2</f>
        <v>8.1967213114754092E-2</v>
      </c>
    </row>
    <row r="74" spans="1:51" x14ac:dyDescent="0.2">
      <c r="A74" s="1" t="s">
        <v>139</v>
      </c>
      <c r="B74" s="2">
        <v>72</v>
      </c>
      <c r="C74">
        <f>(Цены!B74-Цены!B$2)/Цены!B$2</f>
        <v>1.8360347329141886E-2</v>
      </c>
      <c r="D74">
        <f>(Цены!C74-Цены!C$2)/Цены!C$2</f>
        <v>-7.3542600896861016E-2</v>
      </c>
      <c r="E74">
        <f>(Цены!D74-Цены!D$2)/Цены!D$2</f>
        <v>-2.6224503954488505E-2</v>
      </c>
      <c r="F74">
        <f>(Цены!E74-Цены!E$2)/Цены!E$2</f>
        <v>0.12551568946118266</v>
      </c>
      <c r="G74">
        <f>(Цены!F74-Цены!F$2)/Цены!F$2</f>
        <v>-1.4732965009208104E-2</v>
      </c>
      <c r="H74">
        <f>(Цены!G74-Цены!G$2)/Цены!G$2</f>
        <v>0.24969745865268242</v>
      </c>
      <c r="I74">
        <f>(Цены!H74-Цены!H$2)/Цены!H$2</f>
        <v>-1.4700854700854691E-2</v>
      </c>
      <c r="J74">
        <f>(Цены!I74-Цены!I$2)/Цены!I$2</f>
        <v>0.13722478238607272</v>
      </c>
      <c r="K74">
        <f>(Цены!J74-Цены!J$2)/Цены!J$2</f>
        <v>9.3948562783661149E-2</v>
      </c>
      <c r="L74">
        <f>(Цены!K74-Цены!K$2)/Цены!K$2</f>
        <v>0.18325053229240598</v>
      </c>
      <c r="M74">
        <f>(Цены!L74-Цены!L$2)/Цены!L$2</f>
        <v>-0.11630365827870585</v>
      </c>
      <c r="N74">
        <f>(Цены!M74-Цены!M$2)/Цены!M$2</f>
        <v>-9.7097442985487101E-2</v>
      </c>
      <c r="O74">
        <f>(Цены!N74-Цены!N$2)/Цены!N$2</f>
        <v>-0.12074249190088428</v>
      </c>
      <c r="P74">
        <f>(Цены!O74-Цены!O$2)/Цены!O$2</f>
        <v>4.0228426395938995E-2</v>
      </c>
      <c r="Q74">
        <f>(Цены!P74-Цены!P$2)/Цены!P$2</f>
        <v>3.3301002263174943E-2</v>
      </c>
      <c r="R74">
        <f>(Цены!Q74-Цены!Q$2)/Цены!Q$2</f>
        <v>8.8319088319088315E-2</v>
      </c>
      <c r="S74">
        <f>(Цены!R74-Цены!R$2)/Цены!R$2</f>
        <v>3.2014090343970139E-2</v>
      </c>
      <c r="T74">
        <f>(Цены!S74-Цены!S$2)/Цены!S$2</f>
        <v>-0.10226415094339625</v>
      </c>
      <c r="U74">
        <f>(Цены!T74-Цены!T$2)/Цены!T$2</f>
        <v>9.9002302379124912E-2</v>
      </c>
      <c r="V74">
        <f>(Цены!U74-Цены!U$2)/Цены!U$2</f>
        <v>-4.6627810158201499E-2</v>
      </c>
      <c r="W74">
        <f>(Цены!V74-Цены!V$2)/Цены!V$2</f>
        <v>-0.18433179723502305</v>
      </c>
      <c r="X74">
        <f>(Цены!W74-Цены!W$2)/Цены!W$2</f>
        <v>-6.7085046526726309E-3</v>
      </c>
      <c r="Y74">
        <f>(Цены!X74-Цены!X$2)/Цены!X$2</f>
        <v>0.10305591677503247</v>
      </c>
      <c r="Z74">
        <f>(Цены!Y74-Цены!Y$2)/Цены!Y$2</f>
        <v>-0.10195023537323482</v>
      </c>
      <c r="AA74">
        <f>(Цены!Z74-Цены!Z$2)/Цены!Z$2</f>
        <v>-4.5244956772334276E-2</v>
      </c>
      <c r="AB74">
        <f>(Цены!AA74-Цены!AA$2)/Цены!AA$2</f>
        <v>-0.20873124147339697</v>
      </c>
      <c r="AC74">
        <f>(Цены!AB74-Цены!AB$2)/Цены!AB$2</f>
        <v>-7.5075075075075076E-2</v>
      </c>
      <c r="AD74">
        <f>(Цены!AC74-Цены!AC$2)/Цены!AC$2</f>
        <v>-7.332689055327371E-2</v>
      </c>
      <c r="AE74">
        <f>(Цены!AD74-Цены!AD$2)/Цены!AD$2</f>
        <v>-1.2783053323593916E-2</v>
      </c>
      <c r="AF74">
        <f>(Цены!AE74-Цены!AE$2)/Цены!AE$2</f>
        <v>-8.7149187592319058E-2</v>
      </c>
      <c r="AG74">
        <f>(Цены!AF74-Цены!AF$2)/Цены!AF$2</f>
        <v>-7.0009689922480703E-2</v>
      </c>
      <c r="AH74">
        <f>(Цены!AG74-Цены!AG$2)/Цены!AG$2</f>
        <v>-8.7428206764518124E-2</v>
      </c>
      <c r="AI74">
        <f>(Цены!AH74-Цены!AH$2)/Цены!AH$2</f>
        <v>-0.2479372937293729</v>
      </c>
      <c r="AJ74">
        <f>(Цены!AI74-Цены!AI$2)/Цены!AI$2</f>
        <v>-0.12112869924294561</v>
      </c>
      <c r="AK74">
        <f>(Цены!AJ74-Цены!AJ$2)/Цены!AJ$2</f>
        <v>3.1894934333958722E-2</v>
      </c>
      <c r="AL74">
        <f>(Цены!AK74-Цены!AK$2)/Цены!AK$2</f>
        <v>-9.7195543603534426E-2</v>
      </c>
      <c r="AM74">
        <f>(Цены!AL74-Цены!AL$2)/Цены!AL$2</f>
        <v>-0.10446428571428575</v>
      </c>
      <c r="AN74">
        <f>(Цены!AM74-Цены!AM$2)/Цены!AM$2</f>
        <v>-8.9497716894977167E-2</v>
      </c>
      <c r="AO74">
        <f>(Цены!AN74-Цены!AN$2)/Цены!AN$2</f>
        <v>-4.2318840579710144E-2</v>
      </c>
      <c r="AP74">
        <f>(Цены!AO74-Цены!AO$2)/Цены!AO$2</f>
        <v>3.6630036630035849E-3</v>
      </c>
      <c r="AQ74">
        <f>(Цены!AP74-Цены!AP$2)/Цены!AP$2</f>
        <v>-4.5871559633027525E-3</v>
      </c>
      <c r="AR74">
        <f>(Цены!AQ74-Цены!AQ$2)/Цены!AQ$2</f>
        <v>4.665314401622718E-2</v>
      </c>
      <c r="AS74">
        <f>(Цены!AR74-Цены!AR$2)/Цены!AR$2</f>
        <v>-0.10139002452984458</v>
      </c>
      <c r="AT74">
        <f>(Цены!AS74-Цены!AS$2)/Цены!AS$2</f>
        <v>3.1853281853281963E-2</v>
      </c>
      <c r="AU74">
        <f>(Цены!AT74-Цены!AT$2)/Цены!AT$2</f>
        <v>1.1142061281337058E-2</v>
      </c>
      <c r="AV74">
        <f>(Цены!AU74-Цены!AU$2)/Цены!AU$2</f>
        <v>0.36810431293881646</v>
      </c>
      <c r="AW74">
        <f>(Цены!AV74-Цены!AV$2)/Цены!AV$2</f>
        <v>8.1502327091676596E-2</v>
      </c>
      <c r="AX74">
        <f>(Цены!AW74-Цены!AW$2)/Цены!AW$2</f>
        <v>-0.19244444444444447</v>
      </c>
      <c r="AY74">
        <f>(Цены!AX74-Цены!AX$2)/Цены!AX$2</f>
        <v>7.0044709388971685E-2</v>
      </c>
    </row>
    <row r="75" spans="1:51" x14ac:dyDescent="0.2">
      <c r="A75" s="1" t="s">
        <v>140</v>
      </c>
      <c r="B75" s="2">
        <v>73</v>
      </c>
      <c r="C75">
        <f>(Цены!B75-Цены!B$2)/Цены!B$2</f>
        <v>1.9620458165651243E-2</v>
      </c>
      <c r="D75">
        <f>(Цены!C75-Цены!C$2)/Цены!C$2</f>
        <v>-9.3228699551569469E-2</v>
      </c>
      <c r="E75">
        <f>(Цены!D75-Цены!D$2)/Цены!D$2</f>
        <v>-1.2140974053004025E-2</v>
      </c>
      <c r="F75">
        <f>(Цены!E75-Цены!E$2)/Цены!E$2</f>
        <v>0.12501562695336918</v>
      </c>
      <c r="G75">
        <f>(Цены!F75-Цены!F$2)/Цены!F$2</f>
        <v>-4.2357274401473299E-3</v>
      </c>
      <c r="H75">
        <f>(Цены!G75-Цены!G$2)/Цены!G$2</f>
        <v>0.24364663170633311</v>
      </c>
      <c r="I75">
        <f>(Цены!H75-Цены!H$2)/Цены!H$2</f>
        <v>-1.5384615384615968E-3</v>
      </c>
      <c r="J75">
        <f>(Цены!I75-Цены!I$2)/Цены!I$2</f>
        <v>0.11597542242703533</v>
      </c>
      <c r="K75">
        <f>(Цены!J75-Цены!J$2)/Цены!J$2</f>
        <v>0.1043872919818457</v>
      </c>
      <c r="L75">
        <f>(Цены!K75-Цены!K$2)/Цены!K$2</f>
        <v>0.16749467707594037</v>
      </c>
      <c r="M75">
        <f>(Цены!L75-Цены!L$2)/Цены!L$2</f>
        <v>-0.11080566716007613</v>
      </c>
      <c r="N75">
        <f>(Цены!M75-Цены!M$2)/Цены!M$2</f>
        <v>-9.8825155494125669E-2</v>
      </c>
      <c r="O75">
        <f>(Цены!N75-Цены!N$2)/Цены!N$2</f>
        <v>-0.10638297872340419</v>
      </c>
      <c r="P75">
        <f>(Цены!O75-Цены!O$2)/Цены!O$2</f>
        <v>3.0964467005076227E-2</v>
      </c>
      <c r="Q75">
        <f>(Цены!P75-Цены!P$2)/Цены!P$2</f>
        <v>5.4768832848367269E-2</v>
      </c>
      <c r="R75">
        <f>(Цены!Q75-Цены!Q$2)/Цены!Q$2</f>
        <v>8.4330484330484401E-2</v>
      </c>
      <c r="S75">
        <f>(Цены!R75-Цены!R$2)/Цены!R$2</f>
        <v>6.1438043928719384E-2</v>
      </c>
      <c r="T75">
        <f>(Цены!S75-Цены!S$2)/Цены!S$2</f>
        <v>-0.10660377358490558</v>
      </c>
      <c r="U75">
        <f>(Цены!T75-Цены!T$2)/Цены!T$2</f>
        <v>0.10514198004604748</v>
      </c>
      <c r="V75">
        <f>(Цены!U75-Цены!U$2)/Цены!U$2</f>
        <v>-4.7460449625312241E-2</v>
      </c>
      <c r="W75">
        <f>(Цены!V75-Цены!V$2)/Цены!V$2</f>
        <v>-0.18064516129032251</v>
      </c>
      <c r="X75">
        <f>(Цены!W75-Цены!W$2)/Цены!W$2</f>
        <v>1.742047175935944E-2</v>
      </c>
      <c r="Y75">
        <f>(Цены!X75-Цены!X$2)/Цены!X$2</f>
        <v>0.11215864759427828</v>
      </c>
      <c r="Z75">
        <f>(Цены!Y75-Цены!Y$2)/Цены!Y$2</f>
        <v>-0.10127774041694691</v>
      </c>
      <c r="AA75">
        <f>(Цены!Z75-Цены!Z$2)/Цены!Z$2</f>
        <v>-5.3890489913544656E-2</v>
      </c>
      <c r="AB75">
        <f>(Цены!AA75-Цены!AA$2)/Цены!AA$2</f>
        <v>-0.19440654843110505</v>
      </c>
      <c r="AC75">
        <f>(Цены!AB75-Цены!AB$2)/Цены!AB$2</f>
        <v>-7.3273273273273279E-2</v>
      </c>
      <c r="AD75">
        <f>(Цены!AC75-Цены!AC$2)/Цены!AC$2</f>
        <v>-7.9366996859144695E-2</v>
      </c>
      <c r="AE75">
        <f>(Цены!AD75-Цены!AD$2)/Цены!AD$2</f>
        <v>4.3827611395179005E-3</v>
      </c>
      <c r="AF75">
        <f>(Цены!AE75-Цены!AE$2)/Цены!AE$2</f>
        <v>-6.7946824224519947E-2</v>
      </c>
      <c r="AG75">
        <f>(Цены!AF75-Цены!AF$2)/Цены!AF$2</f>
        <v>-1.937984496124031E-2</v>
      </c>
      <c r="AH75">
        <f>(Цены!AG75-Цены!AG$2)/Цены!AG$2</f>
        <v>-8.4875558391831418E-2</v>
      </c>
      <c r="AI75">
        <f>(Цены!AH75-Цены!AH$2)/Цены!AH$2</f>
        <v>-0.23638613861386143</v>
      </c>
      <c r="AJ75">
        <f>(Цены!AI75-Цены!AI$2)/Цены!AI$2</f>
        <v>-0.11631108052305572</v>
      </c>
      <c r="AK75">
        <f>(Цены!AJ75-Цены!AJ$2)/Цены!AJ$2</f>
        <v>3.5412757973733583E-2</v>
      </c>
      <c r="AL75">
        <f>(Цены!AK75-Цены!AK$2)/Цены!AK$2</f>
        <v>-0.11179408374951992</v>
      </c>
      <c r="AM75">
        <f>(Цены!AL75-Цены!AL$2)/Цены!AL$2</f>
        <v>-0.11160714285714286</v>
      </c>
      <c r="AN75">
        <f>(Цены!AM75-Цены!AM$2)/Цены!AM$2</f>
        <v>-8.9041095890410954E-2</v>
      </c>
      <c r="AO75">
        <f>(Цены!AN75-Цены!AN$2)/Цены!AN$2</f>
        <v>-4.3478260869565216E-2</v>
      </c>
      <c r="AP75">
        <f>(Цены!AO75-Цены!AO$2)/Цены!AO$2</f>
        <v>2.5641025641025616E-2</v>
      </c>
      <c r="AQ75">
        <f>(Цены!AP75-Цены!AP$2)/Цены!AP$2</f>
        <v>1.3761467889908258E-2</v>
      </c>
      <c r="AR75">
        <f>(Цены!AQ75-Цены!AQ$2)/Цены!AQ$2</f>
        <v>4.4624746450304259E-2</v>
      </c>
      <c r="AS75">
        <f>(Цены!AR75-Цены!AR$2)/Цены!AR$2</f>
        <v>-0.10220768601798856</v>
      </c>
      <c r="AT75">
        <f>(Цены!AS75-Цены!AS$2)/Цены!AS$2</f>
        <v>4.8262548262548262E-3</v>
      </c>
      <c r="AU75">
        <f>(Цены!AT75-Цены!AT$2)/Цены!AT$2</f>
        <v>1.3927576601672868E-3</v>
      </c>
      <c r="AV75">
        <f>(Цены!AU75-Цены!AU$2)/Цены!AU$2</f>
        <v>0.37011033099297885</v>
      </c>
      <c r="AW75">
        <f>(Цены!AV75-Цены!AV$2)/Цены!AV$2</f>
        <v>9.3191903885701907E-2</v>
      </c>
      <c r="AX75">
        <f>(Цены!AW75-Цены!AW$2)/Цены!AW$2</f>
        <v>-0.1864444444444445</v>
      </c>
      <c r="AY75">
        <f>(Цены!AX75-Цены!AX$2)/Цены!AX$2</f>
        <v>5.8122205663189271E-2</v>
      </c>
    </row>
    <row r="76" spans="1:51" x14ac:dyDescent="0.2">
      <c r="A76" s="1" t="s">
        <v>141</v>
      </c>
      <c r="B76" s="2">
        <v>74</v>
      </c>
      <c r="C76">
        <f>(Цены!B76-Цены!B$2)/Цены!B$2</f>
        <v>2.0459053053328478E-2</v>
      </c>
      <c r="D76">
        <f>(Цены!C76-Цены!C$2)/Цены!C$2</f>
        <v>-8.5650224215246609E-2</v>
      </c>
      <c r="E76">
        <f>(Цены!D76-Цены!D$2)/Цены!D$2</f>
        <v>-1.9425558484806323E-2</v>
      </c>
      <c r="F76">
        <f>(Цены!E76-Цены!E$2)/Цены!E$2</f>
        <v>0.11988998624828104</v>
      </c>
      <c r="G76">
        <f>(Цены!F76-Цены!F$2)/Цены!F$2</f>
        <v>-8.2872928176795577E-3</v>
      </c>
      <c r="H76">
        <f>(Цены!G76-Цены!G$2)/Цены!G$2</f>
        <v>0.24512572273766295</v>
      </c>
      <c r="I76">
        <f>(Цены!H76-Цены!H$2)/Цены!H$2</f>
        <v>-7.5213675213674823E-3</v>
      </c>
      <c r="J76">
        <f>(Цены!I76-Цены!I$2)/Цены!I$2</f>
        <v>0.13287250384024576</v>
      </c>
      <c r="K76">
        <f>(Цены!J76-Цены!J$2)/Цены!J$2</f>
        <v>0.10726172465960662</v>
      </c>
      <c r="L76">
        <f>(Цены!K76-Цены!K$2)/Цены!K$2</f>
        <v>0.1904897090134848</v>
      </c>
      <c r="M76">
        <f>(Цены!L76-Цены!L$2)/Цены!L$2</f>
        <v>-0.10551913723831677</v>
      </c>
      <c r="N76">
        <f>(Цены!M76-Цены!M$2)/Цены!M$2</f>
        <v>-9.4851416724257051E-2</v>
      </c>
      <c r="O76">
        <f>(Цены!N76-Цены!N$2)/Цены!N$2</f>
        <v>-0.11128622712547058</v>
      </c>
      <c r="P76">
        <f>(Цены!O76-Цены!O$2)/Цены!O$2</f>
        <v>2.1192893401015319E-2</v>
      </c>
      <c r="Q76">
        <f>(Цены!P76-Цены!P$2)/Цены!P$2</f>
        <v>4.6362754607177412E-2</v>
      </c>
      <c r="R76">
        <f>(Цены!Q76-Цены!Q$2)/Цены!Q$2</f>
        <v>9.4017094017094016E-2</v>
      </c>
      <c r="S76">
        <f>(Цены!R76-Цены!R$2)/Цены!R$2</f>
        <v>6.0920016576875208E-2</v>
      </c>
      <c r="T76">
        <f>(Цены!S76-Цены!S$2)/Цены!S$2</f>
        <v>-0.1167924528301887</v>
      </c>
      <c r="U76">
        <f>(Цены!T76-Цены!T$2)/Цены!T$2</f>
        <v>0.10053722179585567</v>
      </c>
      <c r="V76">
        <f>(Цены!U76-Цены!U$2)/Цены!U$2</f>
        <v>-5.0791007493755203E-2</v>
      </c>
      <c r="W76">
        <f>(Цены!V76-Цены!V$2)/Цены!V$2</f>
        <v>-0.1705069124423963</v>
      </c>
      <c r="X76">
        <f>(Цены!W76-Цены!W$2)/Цены!W$2</f>
        <v>3.6572170525860155E-2</v>
      </c>
      <c r="Y76">
        <f>(Цены!X76-Цены!X$2)/Цены!X$2</f>
        <v>0.13361508452535747</v>
      </c>
      <c r="Z76">
        <f>(Цены!Y76-Цены!Y$2)/Цены!Y$2</f>
        <v>-9.9529253530598605E-2</v>
      </c>
      <c r="AA76">
        <f>(Цены!Z76-Цены!Z$2)/Цены!Z$2</f>
        <v>-6.3112391930835662E-2</v>
      </c>
      <c r="AB76">
        <f>(Цены!AA76-Цены!AA$2)/Цены!AA$2</f>
        <v>-0.22032742155525237</v>
      </c>
      <c r="AC76">
        <f>(Цены!AB76-Цены!AB$2)/Цены!AB$2</f>
        <v>-6.6666666666666666E-2</v>
      </c>
      <c r="AD76">
        <f>(Цены!AC76-Цены!AC$2)/Цены!AC$2</f>
        <v>-8.2507852138197668E-2</v>
      </c>
      <c r="AE76">
        <f>(Цены!AD76-Цены!AD$2)/Цены!AD$2</f>
        <v>-1.3148283418553701E-2</v>
      </c>
      <c r="AF76">
        <f>(Цены!AE76-Цены!AE$2)/Цены!AE$2</f>
        <v>-5.9084194977843424E-2</v>
      </c>
      <c r="AG76">
        <f>(Цены!AF76-Цены!AF$2)/Цены!AF$2</f>
        <v>-1.3081395348837292E-2</v>
      </c>
      <c r="AH76">
        <f>(Цены!AG76-Цены!AG$2)/Цены!AG$2</f>
        <v>-8.1684747925973092E-2</v>
      </c>
      <c r="AI76">
        <f>(Цены!AH76-Цены!AH$2)/Цены!AH$2</f>
        <v>-0.21782178217821788</v>
      </c>
      <c r="AJ76">
        <f>(Цены!AI76-Цены!AI$2)/Цены!AI$2</f>
        <v>-0.10323468685478321</v>
      </c>
      <c r="AK76">
        <f>(Цены!AJ76-Цены!AJ$2)/Цены!AJ$2</f>
        <v>3.7054409005628515E-2</v>
      </c>
      <c r="AL76">
        <f>(Цены!AK76-Цены!AK$2)/Цены!AK$2</f>
        <v>-0.12408759124087605</v>
      </c>
      <c r="AM76">
        <f>(Цены!AL76-Цены!AL$2)/Цены!AL$2</f>
        <v>-0.11249999999999995</v>
      </c>
      <c r="AN76">
        <f>(Цены!AM76-Цены!AM$2)/Цены!AM$2</f>
        <v>-8.8127853881278542E-2</v>
      </c>
      <c r="AO76">
        <f>(Цены!AN76-Цены!AN$2)/Цены!AN$2</f>
        <v>-4.1159420289855073E-2</v>
      </c>
      <c r="AP76">
        <f>(Цены!AO76-Цены!AO$2)/Цены!AO$2</f>
        <v>2.9304029304029328E-2</v>
      </c>
      <c r="AQ76">
        <f>(Цены!AP76-Цены!AP$2)/Цены!AP$2</f>
        <v>1.3761467889908258E-2</v>
      </c>
      <c r="AR76">
        <f>(Цены!AQ76-Цены!AQ$2)/Цены!AQ$2</f>
        <v>4.4624746450304259E-2</v>
      </c>
      <c r="AS76">
        <f>(Цены!AR76-Цены!AR$2)/Цены!AR$2</f>
        <v>-0.1087489779231398</v>
      </c>
      <c r="AT76">
        <f>(Цены!AS76-Цены!AS$2)/Цены!AS$2</f>
        <v>-7.7220077220076953E-3</v>
      </c>
      <c r="AU76">
        <f>(Цены!AT76-Цены!AT$2)/Цены!AT$2</f>
        <v>9.7493036211699254E-3</v>
      </c>
      <c r="AV76">
        <f>(Цены!AU76-Цены!AU$2)/Цены!AU$2</f>
        <v>0.36409227683049145</v>
      </c>
      <c r="AW76">
        <f>(Цены!AV76-Цены!AV$2)/Цены!AV$2</f>
        <v>9.957787639354912E-2</v>
      </c>
      <c r="AX76">
        <f>(Цены!AW76-Цены!AW$2)/Цены!AW$2</f>
        <v>-0.18777777777777782</v>
      </c>
      <c r="AY76">
        <f>(Цены!AX76-Цены!AX$2)/Цены!AX$2</f>
        <v>5.5141579731743669E-2</v>
      </c>
    </row>
    <row r="77" spans="1:51" x14ac:dyDescent="0.2">
      <c r="A77" s="1" t="s">
        <v>142</v>
      </c>
      <c r="B77" s="2">
        <v>75</v>
      </c>
      <c r="C77">
        <f>(Цены!B77-Цены!B$2)/Цены!B$2</f>
        <v>2.5921012348198828E-2</v>
      </c>
      <c r="D77">
        <f>(Цены!C77-Цены!C$2)/Цены!C$2</f>
        <v>-9.5112107623318426E-2</v>
      </c>
      <c r="E77">
        <f>(Цены!D77-Цены!D$2)/Цены!D$2</f>
        <v>-9.7127792424030624E-3</v>
      </c>
      <c r="F77">
        <f>(Цены!E77-Цены!E$2)/Цены!E$2</f>
        <v>0.13014126765845729</v>
      </c>
      <c r="G77">
        <f>(Цены!F77-Цены!F$2)/Цены!F$2</f>
        <v>-2.7624309392265192E-3</v>
      </c>
      <c r="H77">
        <f>(Цены!G77-Цены!G$2)/Цены!G$2</f>
        <v>0.26381605486083087</v>
      </c>
      <c r="I77">
        <f>(Цены!H77-Цены!H$2)/Цены!H$2</f>
        <v>-9.230769230769216E-3</v>
      </c>
      <c r="J77">
        <f>(Цены!I77-Цены!I$2)/Цены!I$2</f>
        <v>0.14695340501792115</v>
      </c>
      <c r="K77">
        <f>(Цены!J77-Цены!J$2)/Цены!J$2</f>
        <v>0.10862329803328284</v>
      </c>
      <c r="L77">
        <f>(Цены!K77-Цены!K$2)/Цены!K$2</f>
        <v>0.21476224272533706</v>
      </c>
      <c r="M77">
        <f>(Цены!L77-Цены!L$2)/Цены!L$2</f>
        <v>-0.10340452526961302</v>
      </c>
      <c r="N77">
        <f>(Цены!M77-Цены!M$2)/Цены!M$2</f>
        <v>-9.3987560469937767E-2</v>
      </c>
      <c r="O77">
        <f>(Цены!N77-Цены!N$2)/Цены!N$2</f>
        <v>-0.11636459154189645</v>
      </c>
      <c r="P77">
        <f>(Цены!O77-Цены!O$2)/Цены!O$2</f>
        <v>4.3147208121827506E-2</v>
      </c>
      <c r="Q77">
        <f>(Цены!P77-Цены!P$2)/Цены!P$2</f>
        <v>3.6663433559650745E-2</v>
      </c>
      <c r="R77">
        <f>(Цены!Q77-Цены!Q$2)/Цены!Q$2</f>
        <v>0.13618233618233622</v>
      </c>
      <c r="S77">
        <f>(Цены!R77-Цены!R$2)/Цены!R$2</f>
        <v>5.8226274347285466E-2</v>
      </c>
      <c r="T77">
        <f>(Цены!S77-Цены!S$2)/Цены!S$2</f>
        <v>-0.11698113207547164</v>
      </c>
      <c r="U77">
        <f>(Цены!T77-Цены!T$2)/Цены!T$2</f>
        <v>0.10360706062931695</v>
      </c>
      <c r="V77">
        <f>(Цены!U77-Цены!U$2)/Цены!U$2</f>
        <v>-5.78684429641965E-2</v>
      </c>
      <c r="W77">
        <f>(Цены!V77-Цены!V$2)/Цены!V$2</f>
        <v>-0.17373271889400921</v>
      </c>
      <c r="X77">
        <f>(Цены!W77-Цены!W$2)/Цены!W$2</f>
        <v>3.7329582341484556E-2</v>
      </c>
      <c r="Y77">
        <f>(Цены!X77-Цены!X$2)/Цены!X$2</f>
        <v>0.11866059817945383</v>
      </c>
      <c r="Z77">
        <f>(Цены!Y77-Цены!Y$2)/Цены!Y$2</f>
        <v>-0.11136516476126442</v>
      </c>
      <c r="AA77">
        <f>(Цены!Z77-Цены!Z$2)/Цены!Z$2</f>
        <v>-6.6858789625360238E-2</v>
      </c>
      <c r="AB77">
        <f>(Цены!AA77-Цены!AA$2)/Цены!AA$2</f>
        <v>-0.22066848567530692</v>
      </c>
      <c r="AC77">
        <f>(Цены!AB77-Цены!AB$2)/Цены!AB$2</f>
        <v>-6.6666666666666666E-2</v>
      </c>
      <c r="AD77">
        <f>(Цены!AC77-Цены!AC$2)/Цены!AC$2</f>
        <v>-8.1662237255375691E-2</v>
      </c>
      <c r="AE77">
        <f>(Цены!AD77-Цены!AD$2)/Цены!AD$2</f>
        <v>-2.8487947406866269E-2</v>
      </c>
      <c r="AF77">
        <f>(Цены!AE77-Цены!AE$2)/Цены!AE$2</f>
        <v>-6.3515509601181686E-2</v>
      </c>
      <c r="AG77">
        <f>(Цены!AF77-Цены!AF$2)/Цены!AF$2</f>
        <v>-1.0416666666666694E-2</v>
      </c>
      <c r="AH77">
        <f>(Цены!AG77-Цены!AG$2)/Цены!AG$2</f>
        <v>-7.7855775366943131E-2</v>
      </c>
      <c r="AI77">
        <f>(Цены!AH77-Цены!AH$2)/Цены!AH$2</f>
        <v>-0.21080858085808579</v>
      </c>
      <c r="AJ77">
        <f>(Цены!AI77-Цены!AI$2)/Цены!AI$2</f>
        <v>-9.8417068134893315E-2</v>
      </c>
      <c r="AK77">
        <f>(Цены!AJ77-Цены!AJ$2)/Цены!AJ$2</f>
        <v>3.6116322701688554E-2</v>
      </c>
      <c r="AL77">
        <f>(Цены!AK77-Цены!AK$2)/Цены!AK$2</f>
        <v>-0.1452170572416443</v>
      </c>
      <c r="AM77">
        <f>(Цены!AL77-Цены!AL$2)/Цены!AL$2</f>
        <v>-0.11785714285714288</v>
      </c>
      <c r="AN77">
        <f>(Цены!AM77-Цены!AM$2)/Цены!AM$2</f>
        <v>-7.0776255707762553E-2</v>
      </c>
      <c r="AO77">
        <f>(Цены!AN77-Цены!AN$2)/Цены!AN$2</f>
        <v>-4.1739130434782612E-2</v>
      </c>
      <c r="AP77">
        <f>(Цены!AO77-Цены!AO$2)/Цены!AO$2</f>
        <v>3.2967032967032912E-2</v>
      </c>
      <c r="AQ77">
        <f>(Цены!AP77-Цены!AP$2)/Цены!AP$2</f>
        <v>1.834862385321101E-2</v>
      </c>
      <c r="AR77">
        <f>(Цены!AQ77-Цены!AQ$2)/Цены!AQ$2</f>
        <v>6.8965517241379309E-2</v>
      </c>
      <c r="AS77">
        <f>(Цены!AR77-Цены!AR$2)/Цены!AR$2</f>
        <v>-0.1136549468520032</v>
      </c>
      <c r="AT77">
        <f>(Цены!AS77-Цены!AS$2)/Цены!AS$2</f>
        <v>-1.7374517374517347E-2</v>
      </c>
      <c r="AU77">
        <f>(Цены!AT77-Цены!AT$2)/Цены!AT$2</f>
        <v>1.810584958217272E-2</v>
      </c>
      <c r="AV77">
        <f>(Цены!AU77-Цены!AU$2)/Цены!AU$2</f>
        <v>0.35005015045135396</v>
      </c>
      <c r="AW77">
        <f>(Цены!AV77-Цены!AV$2)/Цены!AV$2</f>
        <v>9.6439008550708916E-2</v>
      </c>
      <c r="AX77">
        <f>(Цены!AW77-Цены!AW$2)/Цены!AW$2</f>
        <v>-0.19466666666666668</v>
      </c>
      <c r="AY77">
        <f>(Цены!AX77-Цены!AX$2)/Цены!AX$2</f>
        <v>0.11177347242921014</v>
      </c>
    </row>
    <row r="87" spans="1:51" x14ac:dyDescent="0.2">
      <c r="A87" s="3" t="s">
        <v>54</v>
      </c>
      <c r="D87">
        <f>IF(ISERROR(MATCH(D$1,Рекомы_CAPM!$B$2:$B$27,0)),IF(ISERROR(MATCH(D$1,Рекомы_CAPM!$C$2:$C$27,0)),1,0),-1)</f>
        <v>1</v>
      </c>
      <c r="E87">
        <f>IF(ISERROR(MATCH(E$1,Рекомы_CAPM!$B$2:$B$27,0)),IF(ISERROR(MATCH(E$1,Рекомы_CAPM!$C$2:$C$27,0)),1,0),-1)</f>
        <v>-1</v>
      </c>
      <c r="F87">
        <f>IF(ISERROR(MATCH(F$1,Рекомы_CAPM!$B$2:$B$27,0)),IF(ISERROR(MATCH(F$1,Рекомы_CAPM!$C$2:$C$27,0)),1,0),-1)</f>
        <v>-1</v>
      </c>
      <c r="G87">
        <f>IF(ISERROR(MATCH(G$1,Рекомы_CAPM!$B$2:$B$27,0)),IF(ISERROR(MATCH(G$1,Рекомы_CAPM!$C$2:$C$27,0)),1,0),-1)</f>
        <v>0</v>
      </c>
      <c r="H87">
        <f>IF(ISERROR(MATCH(H$1,Рекомы_CAPM!$B$2:$B$27,0)),IF(ISERROR(MATCH(H$1,Рекомы_CAPM!$C$2:$C$27,0)),1,0),-1)</f>
        <v>-1</v>
      </c>
      <c r="I87">
        <f>IF(ISERROR(MATCH(I$1,Рекомы_CAPM!$B$2:$B$27,0)),IF(ISERROR(MATCH(I$1,Рекомы_CAPM!$C$2:$C$27,0)),1,0),-1)</f>
        <v>-1</v>
      </c>
      <c r="J87">
        <f>IF(ISERROR(MATCH(J$1,Рекомы_CAPM!$B$2:$B$27,0)),IF(ISERROR(MATCH(J$1,Рекомы_CAPM!$C$2:$C$27,0)),1,0),-1)</f>
        <v>-1</v>
      </c>
      <c r="K87">
        <f>IF(ISERROR(MATCH(K$1,Рекомы_CAPM!$B$2:$B$27,0)),IF(ISERROR(MATCH(K$1,Рекомы_CAPM!$C$2:$C$27,0)),1,0),-1)</f>
        <v>-1</v>
      </c>
      <c r="L87">
        <f>IF(ISERROR(MATCH(L$1,Рекомы_CAPM!$B$2:$B$27,0)),IF(ISERROR(MATCH(L$1,Рекомы_CAPM!$C$2:$C$27,0)),1,0),-1)</f>
        <v>-1</v>
      </c>
      <c r="M87">
        <f>IF(ISERROR(MATCH(M$1,Рекомы_CAPM!$B$2:$B$27,0)),IF(ISERROR(MATCH(M$1,Рекомы_CAPM!$C$2:$C$27,0)),1,0),-1)</f>
        <v>1</v>
      </c>
      <c r="N87">
        <f>IF(ISERROR(MATCH(N$1,Рекомы_CAPM!$B$2:$B$27,0)),IF(ISERROR(MATCH(N$1,Рекомы_CAPM!$C$2:$C$27,0)),1,0),-1)</f>
        <v>1</v>
      </c>
      <c r="O87">
        <f>IF(ISERROR(MATCH(O$1,Рекомы_CAPM!$B$2:$B$27,0)),IF(ISERROR(MATCH(O$1,Рекомы_CAPM!$C$2:$C$27,0)),1,0),-1)</f>
        <v>1</v>
      </c>
      <c r="P87">
        <f>IF(ISERROR(MATCH(P$1,Рекомы_CAPM!$B$2:$B$27,0)),IF(ISERROR(MATCH(P$1,Рекомы_CAPM!$C$2:$C$27,0)),1,0),-1)</f>
        <v>1</v>
      </c>
      <c r="Q87">
        <f>IF(ISERROR(MATCH(Q$1,Рекомы_CAPM!$B$2:$B$27,0)),IF(ISERROR(MATCH(Q$1,Рекомы_CAPM!$C$2:$C$27,0)),1,0),-1)</f>
        <v>-1</v>
      </c>
      <c r="R87">
        <f>IF(ISERROR(MATCH(R$1,Рекомы_CAPM!$B$2:$B$27,0)),IF(ISERROR(MATCH(R$1,Рекомы_CAPM!$C$2:$C$27,0)),1,0),-1)</f>
        <v>-1</v>
      </c>
      <c r="S87">
        <f>IF(ISERROR(MATCH(S$1,Рекомы_CAPM!$B$2:$B$27,0)),IF(ISERROR(MATCH(S$1,Рекомы_CAPM!$C$2:$C$27,0)),1,0),-1)</f>
        <v>-1</v>
      </c>
      <c r="T87">
        <f>IF(ISERROR(MATCH(T$1,Рекомы_CAPM!$B$2:$B$27,0)),IF(ISERROR(MATCH(T$1,Рекомы_CAPM!$C$2:$C$27,0)),1,0),-1)</f>
        <v>1</v>
      </c>
      <c r="U87">
        <f>IF(ISERROR(MATCH(U$1,Рекомы_CAPM!$B$2:$B$27,0)),IF(ISERROR(MATCH(U$1,Рекомы_CAPM!$C$2:$C$27,0)),1,0),-1)</f>
        <v>-1</v>
      </c>
      <c r="V87">
        <f>IF(ISERROR(MATCH(V$1,Рекомы_CAPM!$B$2:$B$27,0)),IF(ISERROR(MATCH(V$1,Рекомы_CAPM!$C$2:$C$27,0)),1,0),-1)</f>
        <v>1</v>
      </c>
      <c r="W87">
        <f>IF(ISERROR(MATCH(W$1,Рекомы_CAPM!$B$2:$B$27,0)),IF(ISERROR(MATCH(W$1,Рекомы_CAPM!$C$2:$C$27,0)),1,0),-1)</f>
        <v>1</v>
      </c>
      <c r="X87">
        <f>IF(ISERROR(MATCH(X$1,Рекомы_CAPM!$B$2:$B$27,0)),IF(ISERROR(MATCH(X$1,Рекомы_CAPM!$C$2:$C$27,0)),1,0),-1)</f>
        <v>-1</v>
      </c>
      <c r="Y87">
        <f>IF(ISERROR(MATCH(Y$1,Рекомы_CAPM!$B$2:$B$27,0)),IF(ISERROR(MATCH(Y$1,Рекомы_CAPM!$C$2:$C$27,0)),1,0),-1)</f>
        <v>1</v>
      </c>
      <c r="Z87">
        <f>IF(ISERROR(MATCH(Z$1,Рекомы_CAPM!$B$2:$B$27,0)),IF(ISERROR(MATCH(Z$1,Рекомы_CAPM!$C$2:$C$27,0)),1,0),-1)</f>
        <v>1</v>
      </c>
      <c r="AA87">
        <f>IF(ISERROR(MATCH(AA$1,Рекомы_CAPM!$B$2:$B$27,0)),IF(ISERROR(MATCH(AA$1,Рекомы_CAPM!$C$2:$C$27,0)),1,0),-1)</f>
        <v>-1</v>
      </c>
      <c r="AB87">
        <f>IF(ISERROR(MATCH(AB$1,Рекомы_CAPM!$B$2:$B$27,0)),IF(ISERROR(MATCH(AB$1,Рекомы_CAPM!$C$2:$C$27,0)),1,0),-1)</f>
        <v>1</v>
      </c>
      <c r="AC87">
        <f>IF(ISERROR(MATCH(AC$1,Рекомы_CAPM!$B$2:$B$27,0)),IF(ISERROR(MATCH(AC$1,Рекомы_CAPM!$C$2:$C$27,0)),1,0),-1)</f>
        <v>1</v>
      </c>
      <c r="AD87">
        <f>IF(ISERROR(MATCH(AD$1,Рекомы_CAPM!$B$2:$B$27,0)),IF(ISERROR(MATCH(AD$1,Рекомы_CAPM!$C$2:$C$27,0)),1,0),-1)</f>
        <v>-1</v>
      </c>
      <c r="AE87">
        <f>IF(ISERROR(MATCH(AE$1,Рекомы_CAPM!$B$2:$B$27,0)),IF(ISERROR(MATCH(AE$1,Рекомы_CAPM!$C$2:$C$27,0)),1,0),-1)</f>
        <v>1</v>
      </c>
      <c r="AF87">
        <f>IF(ISERROR(MATCH(AF$1,Рекомы_CAPM!$B$2:$B$27,0)),IF(ISERROR(MATCH(AF$1,Рекомы_CAPM!$C$2:$C$27,0)),1,0),-1)</f>
        <v>1</v>
      </c>
      <c r="AG87">
        <f>IF(ISERROR(MATCH(AG$1,Рекомы_CAPM!$B$2:$B$27,0)),IF(ISERROR(MATCH(AG$1,Рекомы_CAPM!$C$2:$C$27,0)),1,0),-1)</f>
        <v>-1</v>
      </c>
      <c r="AH87">
        <f>IF(ISERROR(MATCH(AH$1,Рекомы_CAPM!$B$2:$B$27,0)),IF(ISERROR(MATCH(AH$1,Рекомы_CAPM!$C$2:$C$27,0)),1,0),-1)</f>
        <v>0</v>
      </c>
      <c r="AI87">
        <f>IF(ISERROR(MATCH(AI$1,Рекомы_CAPM!$B$2:$B$27,0)),IF(ISERROR(MATCH(AI$1,Рекомы_CAPM!$C$2:$C$27,0)),1,0),-1)</f>
        <v>1</v>
      </c>
      <c r="AJ87">
        <f>IF(ISERROR(MATCH(AJ$1,Рекомы_CAPM!$B$2:$B$27,0)),IF(ISERROR(MATCH(AJ$1,Рекомы_CAPM!$C$2:$C$27,0)),1,0),-1)</f>
        <v>1</v>
      </c>
      <c r="AK87">
        <f>IF(ISERROR(MATCH(AK$1,Рекомы_CAPM!$B$2:$B$27,0)),IF(ISERROR(MATCH(AK$1,Рекомы_CAPM!$C$2:$C$27,0)),1,0),-1)</f>
        <v>-1</v>
      </c>
      <c r="AL87">
        <f>IF(ISERROR(MATCH(AL$1,Рекомы_CAPM!$B$2:$B$27,0)),IF(ISERROR(MATCH(AL$1,Рекомы_CAPM!$C$2:$C$27,0)),1,0),-1)</f>
        <v>1</v>
      </c>
      <c r="AM87">
        <f>IF(ISERROR(MATCH(AM$1,Рекомы_CAPM!$B$2:$B$27,0)),IF(ISERROR(MATCH(AM$1,Рекомы_CAPM!$C$2:$C$27,0)),1,0),-1)</f>
        <v>-1</v>
      </c>
      <c r="AN87">
        <f>IF(ISERROR(MATCH(AN$1,Рекомы_CAPM!$B$2:$B$27,0)),IF(ISERROR(MATCH(AN$1,Рекомы_CAPM!$C$2:$C$27,0)),1,0),-1)</f>
        <v>1</v>
      </c>
      <c r="AO87">
        <f>IF(ISERROR(MATCH(AO$1,Рекомы_CAPM!$B$2:$B$27,0)),IF(ISERROR(MATCH(AO$1,Рекомы_CAPM!$C$2:$C$27,0)),1,0),-1)</f>
        <v>-1</v>
      </c>
      <c r="AP87">
        <f>IF(ISERROR(MATCH(AP$1,Рекомы_CAPM!$B$2:$B$27,0)),IF(ISERROR(MATCH(AP$1,Рекомы_CAPM!$C$2:$C$27,0)),1,0),-1)</f>
        <v>-1</v>
      </c>
      <c r="AQ87">
        <f>IF(ISERROR(MATCH(AQ$1,Рекомы_CAPM!$B$2:$B$27,0)),IF(ISERROR(MATCH(AQ$1,Рекомы_CAPM!$C$2:$C$27,0)),1,0),-1)</f>
        <v>1</v>
      </c>
      <c r="AR87">
        <f>IF(ISERROR(MATCH(AR$1,Рекомы_CAPM!$B$2:$B$27,0)),IF(ISERROR(MATCH(AR$1,Рекомы_CAPM!$C$2:$C$27,0)),1,0),-1)</f>
        <v>1</v>
      </c>
      <c r="AS87">
        <f>IF(ISERROR(MATCH(AS$1,Рекомы_CAPM!$B$2:$B$27,0)),IF(ISERROR(MATCH(AS$1,Рекомы_CAPM!$C$2:$C$27,0)),1,0),-1)</f>
        <v>1</v>
      </c>
      <c r="AT87">
        <f>IF(ISERROR(MATCH(AT$1,Рекомы_CAPM!$B$2:$B$27,0)),IF(ISERROR(MATCH(AT$1,Рекомы_CAPM!$C$2:$C$27,0)),1,0),-1)</f>
        <v>1</v>
      </c>
      <c r="AU87">
        <f>IF(ISERROR(MATCH(AU$1,Рекомы_CAPM!$B$2:$B$27,0)),IF(ISERROR(MATCH(AU$1,Рекомы_CAPM!$C$2:$C$27,0)),1,0),-1)</f>
        <v>-1</v>
      </c>
      <c r="AV87">
        <f>IF(ISERROR(MATCH(AV$1,Рекомы_CAPM!$B$2:$B$27,0)),IF(ISERROR(MATCH(AV$1,Рекомы_CAPM!$C$2:$C$27,0)),1,0),-1)</f>
        <v>1</v>
      </c>
      <c r="AW87">
        <f>IF(ISERROR(MATCH(AW$1,Рекомы_CAPM!$B$2:$B$27,0)),IF(ISERROR(MATCH(AW$1,Рекомы_CAPM!$C$2:$C$27,0)),1,0),-1)</f>
        <v>1</v>
      </c>
      <c r="AX87">
        <f>IF(ISERROR(MATCH(AX$1,Рекомы_CAPM!$B$2:$B$27,0)),IF(ISERROR(MATCH(AX$1,Рекомы_CAPM!$C$2:$C$27,0)),1,0),-1)</f>
        <v>1</v>
      </c>
      <c r="AY87">
        <f>IF(ISERROR(MATCH(AY$1,Рекомы_CAPM!$B$2:$B$27,0)),IF(ISERROR(MATCH(AY$1,Рекомы_CAPM!$C$2:$C$27,0)),1,0),-1)</f>
        <v>1</v>
      </c>
    </row>
    <row r="88" spans="1:51" x14ac:dyDescent="0.2">
      <c r="A88" s="3" t="s">
        <v>55</v>
      </c>
      <c r="D88">
        <f>IF(ISERROR(MATCH(D$1,Рекомы_Фама_Френч!$B$2:$B$27,0)),IF(ISERROR(MATCH(D$1,Рекомы_Фама_Френч!$C$2:$C$27,0)),1,0),-1)</f>
        <v>1</v>
      </c>
      <c r="E88">
        <f>IF(ISERROR(MATCH(E$1,Рекомы_Фама_Френч!$B$2:$B$27,0)),IF(ISERROR(MATCH(E$1,Рекомы_Фама_Френч!$C$2:$C$27,0)),1,0),-1)</f>
        <v>-1</v>
      </c>
      <c r="F88">
        <f>IF(ISERROR(MATCH(F$1,Рекомы_Фама_Френч!$B$2:$B$27,0)),IF(ISERROR(MATCH(F$1,Рекомы_Фама_Френч!$C$2:$C$27,0)),1,0),-1)</f>
        <v>-1</v>
      </c>
      <c r="G88">
        <f>IF(ISERROR(MATCH(G$1,Рекомы_Фама_Френч!$B$2:$B$27,0)),IF(ISERROR(MATCH(G$1,Рекомы_Фама_Френч!$C$2:$C$27,0)),1,0),-1)</f>
        <v>0</v>
      </c>
      <c r="H88">
        <f>IF(ISERROR(MATCH(H$1,Рекомы_Фама_Френч!$B$2:$B$27,0)),IF(ISERROR(MATCH(H$1,Рекомы_Фама_Френч!$C$2:$C$27,0)),1,0),-1)</f>
        <v>-1</v>
      </c>
      <c r="I88">
        <f>IF(ISERROR(MATCH(I$1,Рекомы_Фама_Френч!$B$2:$B$27,0)),IF(ISERROR(MATCH(I$1,Рекомы_Фама_Френч!$C$2:$C$27,0)),1,0),-1)</f>
        <v>-1</v>
      </c>
      <c r="J88">
        <f>IF(ISERROR(MATCH(J$1,Рекомы_Фама_Френч!$B$2:$B$27,0)),IF(ISERROR(MATCH(J$1,Рекомы_Фама_Френч!$C$2:$C$27,0)),1,0),-1)</f>
        <v>-1</v>
      </c>
      <c r="K88">
        <f>IF(ISERROR(MATCH(K$1,Рекомы_Фама_Френч!$B$2:$B$27,0)),IF(ISERROR(MATCH(K$1,Рекомы_Фама_Френч!$C$2:$C$27,0)),1,0),-1)</f>
        <v>-1</v>
      </c>
      <c r="L88">
        <f>IF(ISERROR(MATCH(L$1,Рекомы_Фама_Френч!$B$2:$B$27,0)),IF(ISERROR(MATCH(L$1,Рекомы_Фама_Френч!$C$2:$C$27,0)),1,0),-1)</f>
        <v>-1</v>
      </c>
      <c r="M88">
        <f>IF(ISERROR(MATCH(M$1,Рекомы_Фама_Френч!$B$2:$B$27,0)),IF(ISERROR(MATCH(M$1,Рекомы_Фама_Френч!$C$2:$C$27,0)),1,0),-1)</f>
        <v>1</v>
      </c>
      <c r="N88">
        <f>IF(ISERROR(MATCH(N$1,Рекомы_Фама_Френч!$B$2:$B$27,0)),IF(ISERROR(MATCH(N$1,Рекомы_Фама_Френч!$C$2:$C$27,0)),1,0),-1)</f>
        <v>1</v>
      </c>
      <c r="O88">
        <f>IF(ISERROR(MATCH(O$1,Рекомы_Фама_Френч!$B$2:$B$27,0)),IF(ISERROR(MATCH(O$1,Рекомы_Фама_Френч!$C$2:$C$27,0)),1,0),-1)</f>
        <v>1</v>
      </c>
      <c r="P88">
        <f>IF(ISERROR(MATCH(P$1,Рекомы_Фама_Френч!$B$2:$B$27,0)),IF(ISERROR(MATCH(P$1,Рекомы_Фама_Френч!$C$2:$C$27,0)),1,0),-1)</f>
        <v>0</v>
      </c>
      <c r="Q88">
        <f>IF(ISERROR(MATCH(Q$1,Рекомы_Фама_Френч!$B$2:$B$27,0)),IF(ISERROR(MATCH(Q$1,Рекомы_Фама_Френч!$C$2:$C$27,0)),1,0),-1)</f>
        <v>-1</v>
      </c>
      <c r="R88">
        <f>IF(ISERROR(MATCH(R$1,Рекомы_Фама_Френч!$B$2:$B$27,0)),IF(ISERROR(MATCH(R$1,Рекомы_Фама_Френч!$C$2:$C$27,0)),1,0),-1)</f>
        <v>-1</v>
      </c>
      <c r="S88">
        <f>IF(ISERROR(MATCH(S$1,Рекомы_Фама_Френч!$B$2:$B$27,0)),IF(ISERROR(MATCH(S$1,Рекомы_Фама_Френч!$C$2:$C$27,0)),1,0),-1)</f>
        <v>-1</v>
      </c>
      <c r="T88">
        <f>IF(ISERROR(MATCH(T$1,Рекомы_Фама_Френч!$B$2:$B$27,0)),IF(ISERROR(MATCH(T$1,Рекомы_Фама_Френч!$C$2:$C$27,0)),1,0),-1)</f>
        <v>1</v>
      </c>
      <c r="U88">
        <f>IF(ISERROR(MATCH(U$1,Рекомы_Фама_Френч!$B$2:$B$27,0)),IF(ISERROR(MATCH(U$1,Рекомы_Фама_Френч!$C$2:$C$27,0)),1,0),-1)</f>
        <v>-1</v>
      </c>
      <c r="V88">
        <f>IF(ISERROR(MATCH(V$1,Рекомы_Фама_Френч!$B$2:$B$27,0)),IF(ISERROR(MATCH(V$1,Рекомы_Фама_Френч!$C$2:$C$27,0)),1,0),-1)</f>
        <v>1</v>
      </c>
      <c r="W88">
        <f>IF(ISERROR(MATCH(W$1,Рекомы_Фама_Френч!$B$2:$B$27,0)),IF(ISERROR(MATCH(W$1,Рекомы_Фама_Френч!$C$2:$C$27,0)),1,0),-1)</f>
        <v>-1</v>
      </c>
      <c r="X88">
        <f>IF(ISERROR(MATCH(X$1,Рекомы_Фама_Френч!$B$2:$B$27,0)),IF(ISERROR(MATCH(X$1,Рекомы_Фама_Френч!$C$2:$C$27,0)),1,0),-1)</f>
        <v>-1</v>
      </c>
      <c r="Y88">
        <f>IF(ISERROR(MATCH(Y$1,Рекомы_Фама_Френч!$B$2:$B$27,0)),IF(ISERROR(MATCH(Y$1,Рекомы_Фама_Френч!$C$2:$C$27,0)),1,0),-1)</f>
        <v>1</v>
      </c>
      <c r="Z88">
        <f>IF(ISERROR(MATCH(Z$1,Рекомы_Фама_Френч!$B$2:$B$27,0)),IF(ISERROR(MATCH(Z$1,Рекомы_Фама_Френч!$C$2:$C$27,0)),1,0),-1)</f>
        <v>0</v>
      </c>
      <c r="AA88">
        <f>IF(ISERROR(MATCH(AA$1,Рекомы_Фама_Френч!$B$2:$B$27,0)),IF(ISERROR(MATCH(AA$1,Рекомы_Фама_Френч!$C$2:$C$27,0)),1,0),-1)</f>
        <v>-1</v>
      </c>
      <c r="AB88">
        <f>IF(ISERROR(MATCH(AB$1,Рекомы_Фама_Френч!$B$2:$B$27,0)),IF(ISERROR(MATCH(AB$1,Рекомы_Фама_Френч!$C$2:$C$27,0)),1,0),-1)</f>
        <v>1</v>
      </c>
      <c r="AC88">
        <f>IF(ISERROR(MATCH(AC$1,Рекомы_Фама_Френч!$B$2:$B$27,0)),IF(ISERROR(MATCH(AC$1,Рекомы_Фама_Френч!$C$2:$C$27,0)),1,0),-1)</f>
        <v>1</v>
      </c>
      <c r="AD88">
        <f>IF(ISERROR(MATCH(AD$1,Рекомы_Фама_Френч!$B$2:$B$27,0)),IF(ISERROR(MATCH(AD$1,Рекомы_Фама_Френч!$C$2:$C$27,0)),1,0),-1)</f>
        <v>-1</v>
      </c>
      <c r="AE88">
        <f>IF(ISERROR(MATCH(AE$1,Рекомы_Фама_Френч!$B$2:$B$27,0)),IF(ISERROR(MATCH(AE$1,Рекомы_Фама_Френч!$C$2:$C$27,0)),1,0),-1)</f>
        <v>1</v>
      </c>
      <c r="AF88">
        <f>IF(ISERROR(MATCH(AF$1,Рекомы_Фама_Френч!$B$2:$B$27,0)),IF(ISERROR(MATCH(AF$1,Рекомы_Фама_Френч!$C$2:$C$27,0)),1,0),-1)</f>
        <v>1</v>
      </c>
      <c r="AG88">
        <f>IF(ISERROR(MATCH(AG$1,Рекомы_Фама_Френч!$B$2:$B$27,0)),IF(ISERROR(MATCH(AG$1,Рекомы_Фама_Френч!$C$2:$C$27,0)),1,0),-1)</f>
        <v>-1</v>
      </c>
      <c r="AH88">
        <f>IF(ISERROR(MATCH(AH$1,Рекомы_Фама_Френч!$B$2:$B$27,0)),IF(ISERROR(MATCH(AH$1,Рекомы_Фама_Френч!$C$2:$C$27,0)),1,0),-1)</f>
        <v>0</v>
      </c>
      <c r="AI88">
        <f>IF(ISERROR(MATCH(AI$1,Рекомы_Фама_Френч!$B$2:$B$27,0)),IF(ISERROR(MATCH(AI$1,Рекомы_Фама_Френч!$C$2:$C$27,0)),1,0),-1)</f>
        <v>1</v>
      </c>
      <c r="AJ88">
        <f>IF(ISERROR(MATCH(AJ$1,Рекомы_Фама_Френч!$B$2:$B$27,0)),IF(ISERROR(MATCH(AJ$1,Рекомы_Фама_Френч!$C$2:$C$27,0)),1,0),-1)</f>
        <v>1</v>
      </c>
      <c r="AK88">
        <f>IF(ISERROR(MATCH(AK$1,Рекомы_Фама_Френч!$B$2:$B$27,0)),IF(ISERROR(MATCH(AK$1,Рекомы_Фама_Френч!$C$2:$C$27,0)),1,0),-1)</f>
        <v>-1</v>
      </c>
      <c r="AL88">
        <f>IF(ISERROR(MATCH(AL$1,Рекомы_Фама_Френч!$B$2:$B$27,0)),IF(ISERROR(MATCH(AL$1,Рекомы_Фама_Френч!$C$2:$C$27,0)),1,0),-1)</f>
        <v>1</v>
      </c>
      <c r="AM88">
        <f>IF(ISERROR(MATCH(AM$1,Рекомы_Фама_Френч!$B$2:$B$27,0)),IF(ISERROR(MATCH(AM$1,Рекомы_Фама_Френч!$C$2:$C$27,0)),1,0),-1)</f>
        <v>-1</v>
      </c>
      <c r="AN88">
        <f>IF(ISERROR(MATCH(AN$1,Рекомы_Фама_Френч!$B$2:$B$27,0)),IF(ISERROR(MATCH(AN$1,Рекомы_Фама_Френч!$C$2:$C$27,0)),1,0),-1)</f>
        <v>1</v>
      </c>
      <c r="AO88">
        <f>IF(ISERROR(MATCH(AO$1,Рекомы_Фама_Френч!$B$2:$B$27,0)),IF(ISERROR(MATCH(AO$1,Рекомы_Фама_Френч!$C$2:$C$27,0)),1,0),-1)</f>
        <v>-1</v>
      </c>
      <c r="AP88">
        <f>IF(ISERROR(MATCH(AP$1,Рекомы_Фама_Френч!$B$2:$B$27,0)),IF(ISERROR(MATCH(AP$1,Рекомы_Фама_Френч!$C$2:$C$27,0)),1,0),-1)</f>
        <v>-1</v>
      </c>
      <c r="AQ88">
        <f>IF(ISERROR(MATCH(AQ$1,Рекомы_Фама_Френч!$B$2:$B$27,0)),IF(ISERROR(MATCH(AQ$1,Рекомы_Фама_Френч!$C$2:$C$27,0)),1,0),-1)</f>
        <v>1</v>
      </c>
      <c r="AR88">
        <f>IF(ISERROR(MATCH(AR$1,Рекомы_Фама_Френч!$B$2:$B$27,0)),IF(ISERROR(MATCH(AR$1,Рекомы_Фама_Френч!$C$2:$C$27,0)),1,0),-1)</f>
        <v>1</v>
      </c>
      <c r="AS88">
        <f>IF(ISERROR(MATCH(AS$1,Рекомы_Фама_Френч!$B$2:$B$27,0)),IF(ISERROR(MATCH(AS$1,Рекомы_Фама_Френч!$C$2:$C$27,0)),1,0),-1)</f>
        <v>1</v>
      </c>
      <c r="AT88">
        <f>IF(ISERROR(MATCH(AT$1,Рекомы_Фама_Френч!$B$2:$B$27,0)),IF(ISERROR(MATCH(AT$1,Рекомы_Фама_Френч!$C$2:$C$27,0)),1,0),-1)</f>
        <v>1</v>
      </c>
      <c r="AU88">
        <f>IF(ISERROR(MATCH(AU$1,Рекомы_Фама_Френч!$B$2:$B$27,0)),IF(ISERROR(MATCH(AU$1,Рекомы_Фама_Френч!$C$2:$C$27,0)),1,0),-1)</f>
        <v>-1</v>
      </c>
      <c r="AV88">
        <f>IF(ISERROR(MATCH(AV$1,Рекомы_Фама_Френч!$B$2:$B$27,0)),IF(ISERROR(MATCH(AV$1,Рекомы_Фама_Френч!$C$2:$C$27,0)),1,0),-1)</f>
        <v>1</v>
      </c>
      <c r="AW88">
        <f>IF(ISERROR(MATCH(AW$1,Рекомы_Фама_Френч!$B$2:$B$27,0)),IF(ISERROR(MATCH(AW$1,Рекомы_Фама_Френч!$C$2:$C$27,0)),1,0),-1)</f>
        <v>1</v>
      </c>
      <c r="AX88">
        <f>IF(ISERROR(MATCH(AX$1,Рекомы_Фама_Френч!$B$2:$B$27,0)),IF(ISERROR(MATCH(AX$1,Рекомы_Фама_Френч!$C$2:$C$27,0)),1,0),-1)</f>
        <v>1</v>
      </c>
      <c r="AY88">
        <f>IF(ISERROR(MATCH(AY$1,Рекомы_Фама_Френч!$B$2:$B$27,0)),IF(ISERROR(MATCH(AY$1,Рекомы_Фама_Френч!$C$2:$C$27,0)),1,0),-1)</f>
        <v>1</v>
      </c>
    </row>
    <row r="89" spans="1:51" x14ac:dyDescent="0.2">
      <c r="A89" s="3" t="s">
        <v>56</v>
      </c>
      <c r="D89">
        <f>IF(ISERROR(MATCH(D$1,Рекомы_Лассо!$B$2:$B$27,0)),IF(ISERROR(MATCH(D$1,Рекомы_Лассо!$C$2:$C$27,0)),1,0),-1)</f>
        <v>1</v>
      </c>
      <c r="E89">
        <f>IF(ISERROR(MATCH(E$1,Рекомы_Лассо!$B$2:$B$27,0)),IF(ISERROR(MATCH(E$1,Рекомы_Лассо!$C$2:$C$27,0)),1,0),-1)</f>
        <v>-1</v>
      </c>
      <c r="F89">
        <f>IF(ISERROR(MATCH(F$1,Рекомы_Лассо!$B$2:$B$27,0)),IF(ISERROR(MATCH(F$1,Рекомы_Лассо!$C$2:$C$27,0)),1,0),-1)</f>
        <v>-1</v>
      </c>
      <c r="G89">
        <f>IF(ISERROR(MATCH(G$1,Рекомы_Лассо!$B$2:$B$27,0)),IF(ISERROR(MATCH(G$1,Рекомы_Лассо!$C$2:$C$27,0)),1,0),-1)</f>
        <v>0</v>
      </c>
      <c r="H89">
        <f>IF(ISERROR(MATCH(H$1,Рекомы_Лассо!$B$2:$B$27,0)),IF(ISERROR(MATCH(H$1,Рекомы_Лассо!$C$2:$C$27,0)),1,0),-1)</f>
        <v>1</v>
      </c>
      <c r="I89">
        <f>IF(ISERROR(MATCH(I$1,Рекомы_Лассо!$B$2:$B$27,0)),IF(ISERROR(MATCH(I$1,Рекомы_Лассо!$C$2:$C$27,0)),1,0),-1)</f>
        <v>-1</v>
      </c>
      <c r="J89">
        <f>IF(ISERROR(MATCH(J$1,Рекомы_Лассо!$B$2:$B$27,0)),IF(ISERROR(MATCH(J$1,Рекомы_Лассо!$C$2:$C$27,0)),1,0),-1)</f>
        <v>-1</v>
      </c>
      <c r="K89">
        <f>IF(ISERROR(MATCH(K$1,Рекомы_Лассо!$B$2:$B$27,0)),IF(ISERROR(MATCH(K$1,Рекомы_Лассо!$C$2:$C$27,0)),1,0),-1)</f>
        <v>-1</v>
      </c>
      <c r="L89">
        <f>IF(ISERROR(MATCH(L$1,Рекомы_Лассо!$B$2:$B$27,0)),IF(ISERROR(MATCH(L$1,Рекомы_Лассо!$C$2:$C$27,0)),1,0),-1)</f>
        <v>-1</v>
      </c>
      <c r="M89">
        <f>IF(ISERROR(MATCH(M$1,Рекомы_Лассо!$B$2:$B$27,0)),IF(ISERROR(MATCH(M$1,Рекомы_Лассо!$C$2:$C$27,0)),1,0),-1)</f>
        <v>1</v>
      </c>
      <c r="N89">
        <f>IF(ISERROR(MATCH(N$1,Рекомы_Лассо!$B$2:$B$27,0)),IF(ISERROR(MATCH(N$1,Рекомы_Лассо!$C$2:$C$27,0)),1,0),-1)</f>
        <v>1</v>
      </c>
      <c r="O89">
        <f>IF(ISERROR(MATCH(O$1,Рекомы_Лассо!$B$2:$B$27,0)),IF(ISERROR(MATCH(O$1,Рекомы_Лассо!$C$2:$C$27,0)),1,0),-1)</f>
        <v>1</v>
      </c>
      <c r="P89">
        <f>IF(ISERROR(MATCH(P$1,Рекомы_Лассо!$B$2:$B$27,0)),IF(ISERROR(MATCH(P$1,Рекомы_Лассо!$C$2:$C$27,0)),1,0),-1)</f>
        <v>1</v>
      </c>
      <c r="Q89">
        <f>IF(ISERROR(MATCH(Q$1,Рекомы_Лассо!$B$2:$B$27,0)),IF(ISERROR(MATCH(Q$1,Рекомы_Лассо!$C$2:$C$27,0)),1,0),-1)</f>
        <v>-1</v>
      </c>
      <c r="R89">
        <f>IF(ISERROR(MATCH(R$1,Рекомы_Лассо!$B$2:$B$27,0)),IF(ISERROR(MATCH(R$1,Рекомы_Лассо!$C$2:$C$27,0)),1,0),-1)</f>
        <v>-1</v>
      </c>
      <c r="S89">
        <f>IF(ISERROR(MATCH(S$1,Рекомы_Лассо!$B$2:$B$27,0)),IF(ISERROR(MATCH(S$1,Рекомы_Лассо!$C$2:$C$27,0)),1,0),-1)</f>
        <v>-1</v>
      </c>
      <c r="T89">
        <f>IF(ISERROR(MATCH(T$1,Рекомы_Лассо!$B$2:$B$27,0)),IF(ISERROR(MATCH(T$1,Рекомы_Лассо!$C$2:$C$27,0)),1,0),-1)</f>
        <v>1</v>
      </c>
      <c r="U89">
        <f>IF(ISERROR(MATCH(U$1,Рекомы_Лассо!$B$2:$B$27,0)),IF(ISERROR(MATCH(U$1,Рекомы_Лассо!$C$2:$C$27,0)),1,0),-1)</f>
        <v>-1</v>
      </c>
      <c r="V89">
        <f>IF(ISERROR(MATCH(V$1,Рекомы_Лассо!$B$2:$B$27,0)),IF(ISERROR(MATCH(V$1,Рекомы_Лассо!$C$2:$C$27,0)),1,0),-1)</f>
        <v>0</v>
      </c>
      <c r="W89">
        <f>IF(ISERROR(MATCH(W$1,Рекомы_Лассо!$B$2:$B$27,0)),IF(ISERROR(MATCH(W$1,Рекомы_Лассо!$C$2:$C$27,0)),1,0),-1)</f>
        <v>1</v>
      </c>
      <c r="X89">
        <f>IF(ISERROR(MATCH(X$1,Рекомы_Лассо!$B$2:$B$27,0)),IF(ISERROR(MATCH(X$1,Рекомы_Лассо!$C$2:$C$27,0)),1,0),-1)</f>
        <v>0</v>
      </c>
      <c r="Y89">
        <f>IF(ISERROR(MATCH(Y$1,Рекомы_Лассо!$B$2:$B$27,0)),IF(ISERROR(MATCH(Y$1,Рекомы_Лассо!$C$2:$C$27,0)),1,0),-1)</f>
        <v>1</v>
      </c>
      <c r="Z89">
        <f>IF(ISERROR(MATCH(Z$1,Рекомы_Лассо!$B$2:$B$27,0)),IF(ISERROR(MATCH(Z$1,Рекомы_Лассо!$C$2:$C$27,0)),1,0),-1)</f>
        <v>-1</v>
      </c>
      <c r="AA89">
        <f>IF(ISERROR(MATCH(AA$1,Рекомы_Лассо!$B$2:$B$27,0)),IF(ISERROR(MATCH(AA$1,Рекомы_Лассо!$C$2:$C$27,0)),1,0),-1)</f>
        <v>-1</v>
      </c>
      <c r="AB89">
        <f>IF(ISERROR(MATCH(AB$1,Рекомы_Лассо!$B$2:$B$27,0)),IF(ISERROR(MATCH(AB$1,Рекомы_Лассо!$C$2:$C$27,0)),1,0),-1)</f>
        <v>1</v>
      </c>
      <c r="AC89">
        <f>IF(ISERROR(MATCH(AC$1,Рекомы_Лассо!$B$2:$B$27,0)),IF(ISERROR(MATCH(AC$1,Рекомы_Лассо!$C$2:$C$27,0)),1,0),-1)</f>
        <v>-1</v>
      </c>
      <c r="AD89">
        <f>IF(ISERROR(MATCH(AD$1,Рекомы_Лассо!$B$2:$B$27,0)),IF(ISERROR(MATCH(AD$1,Рекомы_Лассо!$C$2:$C$27,0)),1,0),-1)</f>
        <v>-1</v>
      </c>
      <c r="AE89">
        <f>IF(ISERROR(MATCH(AE$1,Рекомы_Лассо!$B$2:$B$27,0)),IF(ISERROR(MATCH(AE$1,Рекомы_Лассо!$C$2:$C$27,0)),1,0),-1)</f>
        <v>1</v>
      </c>
      <c r="AF89">
        <f>IF(ISERROR(MATCH(AF$1,Рекомы_Лассо!$B$2:$B$27,0)),IF(ISERROR(MATCH(AF$1,Рекомы_Лассо!$C$2:$C$27,0)),1,0),-1)</f>
        <v>1</v>
      </c>
      <c r="AG89">
        <f>IF(ISERROR(MATCH(AG$1,Рекомы_Лассо!$B$2:$B$27,0)),IF(ISERROR(MATCH(AG$1,Рекомы_Лассо!$C$2:$C$27,0)),1,0),-1)</f>
        <v>-1</v>
      </c>
      <c r="AH89">
        <f>IF(ISERROR(MATCH(AH$1,Рекомы_Лассо!$B$2:$B$27,0)),IF(ISERROR(MATCH(AH$1,Рекомы_Лассо!$C$2:$C$27,0)),1,0),-1)</f>
        <v>0</v>
      </c>
      <c r="AI89">
        <f>IF(ISERROR(MATCH(AI$1,Рекомы_Лассо!$B$2:$B$27,0)),IF(ISERROR(MATCH(AI$1,Рекомы_Лассо!$C$2:$C$27,0)),1,0),-1)</f>
        <v>1</v>
      </c>
      <c r="AJ89">
        <f>IF(ISERROR(MATCH(AJ$1,Рекомы_Лассо!$B$2:$B$27,0)),IF(ISERROR(MATCH(AJ$1,Рекомы_Лассо!$C$2:$C$27,0)),1,0),-1)</f>
        <v>1</v>
      </c>
      <c r="AK89">
        <f>IF(ISERROR(MATCH(AK$1,Рекомы_Лассо!$B$2:$B$27,0)),IF(ISERROR(MATCH(AK$1,Рекомы_Лассо!$C$2:$C$27,0)),1,0),-1)</f>
        <v>0</v>
      </c>
      <c r="AL89">
        <f>IF(ISERROR(MATCH(AL$1,Рекомы_Лассо!$B$2:$B$27,0)),IF(ISERROR(MATCH(AL$1,Рекомы_Лассо!$C$2:$C$27,0)),1,0),-1)</f>
        <v>-1</v>
      </c>
      <c r="AM89">
        <f>IF(ISERROR(MATCH(AM$1,Рекомы_Лассо!$B$2:$B$27,0)),IF(ISERROR(MATCH(AM$1,Рекомы_Лассо!$C$2:$C$27,0)),1,0),-1)</f>
        <v>-1</v>
      </c>
      <c r="AN89">
        <f>IF(ISERROR(MATCH(AN$1,Рекомы_Лассо!$B$2:$B$27,0)),IF(ISERROR(MATCH(AN$1,Рекомы_Лассо!$C$2:$C$27,0)),1,0),-1)</f>
        <v>1</v>
      </c>
      <c r="AO89">
        <f>IF(ISERROR(MATCH(AO$1,Рекомы_Лассо!$B$2:$B$27,0)),IF(ISERROR(MATCH(AO$1,Рекомы_Лассо!$C$2:$C$27,0)),1,0),-1)</f>
        <v>0</v>
      </c>
      <c r="AP89">
        <f>IF(ISERROR(MATCH(AP$1,Рекомы_Лассо!$B$2:$B$27,0)),IF(ISERROR(MATCH(AP$1,Рекомы_Лассо!$C$2:$C$27,0)),1,0),-1)</f>
        <v>-1</v>
      </c>
      <c r="AQ89">
        <f>IF(ISERROR(MATCH(AQ$1,Рекомы_Лассо!$B$2:$B$27,0)),IF(ISERROR(MATCH(AQ$1,Рекомы_Лассо!$C$2:$C$27,0)),1,0),-1)</f>
        <v>1</v>
      </c>
      <c r="AR89">
        <f>IF(ISERROR(MATCH(AR$1,Рекомы_Лассо!$B$2:$B$27,0)),IF(ISERROR(MATCH(AR$1,Рекомы_Лассо!$C$2:$C$27,0)),1,0),-1)</f>
        <v>1</v>
      </c>
      <c r="AS89">
        <f>IF(ISERROR(MATCH(AS$1,Рекомы_Лассо!$B$2:$B$27,0)),IF(ISERROR(MATCH(AS$1,Рекомы_Лассо!$C$2:$C$27,0)),1,0),-1)</f>
        <v>1</v>
      </c>
      <c r="AT89">
        <f>IF(ISERROR(MATCH(AT$1,Рекомы_Лассо!$B$2:$B$27,0)),IF(ISERROR(MATCH(AT$1,Рекомы_Лассо!$C$2:$C$27,0)),1,0),-1)</f>
        <v>1</v>
      </c>
      <c r="AU89">
        <f>IF(ISERROR(MATCH(AU$1,Рекомы_Лассо!$B$2:$B$27,0)),IF(ISERROR(MATCH(AU$1,Рекомы_Лассо!$C$2:$C$27,0)),1,0),-1)</f>
        <v>-1</v>
      </c>
      <c r="AV89">
        <f>IF(ISERROR(MATCH(AV$1,Рекомы_Лассо!$B$2:$B$27,0)),IF(ISERROR(MATCH(AV$1,Рекомы_Лассо!$C$2:$C$27,0)),1,0),-1)</f>
        <v>1</v>
      </c>
      <c r="AW89">
        <f>IF(ISERROR(MATCH(AW$1,Рекомы_Лассо!$B$2:$B$27,0)),IF(ISERROR(MATCH(AW$1,Рекомы_Лассо!$C$2:$C$27,0)),1,0),-1)</f>
        <v>1</v>
      </c>
      <c r="AX89">
        <f>IF(ISERROR(MATCH(AX$1,Рекомы_Лассо!$B$2:$B$27,0)),IF(ISERROR(MATCH(AX$1,Рекомы_Лассо!$C$2:$C$27,0)),1,0),-1)</f>
        <v>-1</v>
      </c>
      <c r="AY89">
        <f>IF(ISERROR(MATCH(AY$1,Рекомы_Лассо!$B$2:$B$27,0)),IF(ISERROR(MATCH(AY$1,Рекомы_Лассо!$C$2:$C$27,0)),1,0),-1)</f>
        <v>1</v>
      </c>
    </row>
    <row r="90" spans="1:51" x14ac:dyDescent="0.2">
      <c r="A90" s="3" t="s">
        <v>65</v>
      </c>
      <c r="D90">
        <f>cell_udf(D89,IF(Summary!$B$2="CAPM",D87,D88))</f>
        <v>9</v>
      </c>
      <c r="E90">
        <f>cell_udf(E89,IF(Summary!$B$2="CAPM",E87,E88))</f>
        <v>1</v>
      </c>
      <c r="F90">
        <f>cell_udf(F89,IF(Summary!$B$2="CAPM",F87,F88))</f>
        <v>1</v>
      </c>
      <c r="G90">
        <f>cell_udf(G89,IF(Summary!$B$2="CAPM",G87,G88))</f>
        <v>5</v>
      </c>
      <c r="H90">
        <f>cell_udf(H89,IF(Summary!$B$2="CAPM",H87,H88))</f>
        <v>3</v>
      </c>
      <c r="I90">
        <f>cell_udf(I89,IF(Summary!$B$2="CAPM",I87,I88))</f>
        <v>1</v>
      </c>
      <c r="J90">
        <f>cell_udf(J89,IF(Summary!$B$2="CAPM",J87,J88))</f>
        <v>1</v>
      </c>
      <c r="K90">
        <f>cell_udf(K89,IF(Summary!$B$2="CAPM",K87,K88))</f>
        <v>1</v>
      </c>
      <c r="L90">
        <f>cell_udf(L89,IF(Summary!$B$2="CAPM",L87,L88))</f>
        <v>1</v>
      </c>
      <c r="M90">
        <f>cell_udf(M89,IF(Summary!$B$2="CAPM",M87,M88))</f>
        <v>9</v>
      </c>
      <c r="N90">
        <f>cell_udf(N89,IF(Summary!$B$2="CAPM",N87,N88))</f>
        <v>9</v>
      </c>
      <c r="O90">
        <f>cell_udf(O89,IF(Summary!$B$2="CAPM",O87,O88))</f>
        <v>9</v>
      </c>
      <c r="P90">
        <f>cell_udf(P89,IF(Summary!$B$2="CAPM",P87,P88))</f>
        <v>6</v>
      </c>
      <c r="Q90">
        <f>cell_udf(Q89,IF(Summary!$B$2="CAPM",Q87,Q88))</f>
        <v>1</v>
      </c>
      <c r="R90">
        <f>cell_udf(R89,IF(Summary!$B$2="CAPM",R87,R88))</f>
        <v>1</v>
      </c>
      <c r="S90">
        <f>cell_udf(S89,IF(Summary!$B$2="CAPM",S87,S88))</f>
        <v>1</v>
      </c>
      <c r="T90">
        <f>cell_udf(T89,IF(Summary!$B$2="CAPM",T87,T88))</f>
        <v>9</v>
      </c>
      <c r="U90">
        <f>cell_udf(U89,IF(Summary!$B$2="CAPM",U87,U88))</f>
        <v>1</v>
      </c>
      <c r="V90">
        <f>cell_udf(V89,IF(Summary!$B$2="CAPM",V87,V88))</f>
        <v>8</v>
      </c>
      <c r="W90">
        <f>cell_udf(W89,IF(Summary!$B$2="CAPM",W87,W88))</f>
        <v>3</v>
      </c>
      <c r="X90">
        <f>cell_udf(X89,IF(Summary!$B$2="CAPM",X87,X88))</f>
        <v>2</v>
      </c>
      <c r="Y90">
        <f>cell_udf(Y89,IF(Summary!$B$2="CAPM",Y87,Y88))</f>
        <v>9</v>
      </c>
      <c r="Z90">
        <f>cell_udf(Z89,IF(Summary!$B$2="CAPM",Z87,Z88))</f>
        <v>4</v>
      </c>
      <c r="AA90">
        <f>cell_udf(AA89,IF(Summary!$B$2="CAPM",AA87,AA88))</f>
        <v>1</v>
      </c>
      <c r="AB90">
        <f>cell_udf(AB89,IF(Summary!$B$2="CAPM",AB87,AB88))</f>
        <v>9</v>
      </c>
      <c r="AC90">
        <f>cell_udf(AC89,IF(Summary!$B$2="CAPM",AC87,AC88))</f>
        <v>7</v>
      </c>
      <c r="AD90">
        <f>cell_udf(AD89,IF(Summary!$B$2="CAPM",AD87,AD88))</f>
        <v>1</v>
      </c>
      <c r="AE90">
        <f>cell_udf(AE89,IF(Summary!$B$2="CAPM",AE87,AE88))</f>
        <v>9</v>
      </c>
      <c r="AF90">
        <f>cell_udf(AF89,IF(Summary!$B$2="CAPM",AF87,AF88))</f>
        <v>9</v>
      </c>
      <c r="AG90">
        <f>cell_udf(AG89,IF(Summary!$B$2="CAPM",AG87,AG88))</f>
        <v>1</v>
      </c>
      <c r="AH90">
        <f>cell_udf(AH89,IF(Summary!$B$2="CAPM",AH87,AH88))</f>
        <v>5</v>
      </c>
      <c r="AI90">
        <f>cell_udf(AI89,IF(Summary!$B$2="CAPM",AI87,AI88))</f>
        <v>9</v>
      </c>
      <c r="AJ90">
        <f>cell_udf(AJ89,IF(Summary!$B$2="CAPM",AJ87,AJ88))</f>
        <v>9</v>
      </c>
      <c r="AK90">
        <f>cell_udf(AK89,IF(Summary!$B$2="CAPM",AK87,AK88))</f>
        <v>2</v>
      </c>
      <c r="AL90">
        <f>cell_udf(AL89,IF(Summary!$B$2="CAPM",AL87,AL88))</f>
        <v>7</v>
      </c>
      <c r="AM90">
        <f>cell_udf(AM89,IF(Summary!$B$2="CAPM",AM87,AM88))</f>
        <v>1</v>
      </c>
      <c r="AN90">
        <f>cell_udf(AN89,IF(Summary!$B$2="CAPM",AN87,AN88))</f>
        <v>9</v>
      </c>
      <c r="AO90">
        <f>cell_udf(AO89,IF(Summary!$B$2="CAPM",AO87,AO88))</f>
        <v>2</v>
      </c>
      <c r="AP90">
        <f>cell_udf(AP89,IF(Summary!$B$2="CAPM",AP87,AP88))</f>
        <v>1</v>
      </c>
      <c r="AQ90">
        <f>cell_udf(AQ89,IF(Summary!$B$2="CAPM",AQ87,AQ88))</f>
        <v>9</v>
      </c>
      <c r="AR90">
        <f>cell_udf(AR89,IF(Summary!$B$2="CAPM",AR87,AR88))</f>
        <v>9</v>
      </c>
      <c r="AS90">
        <f>cell_udf(AS89,IF(Summary!$B$2="CAPM",AS87,AS88))</f>
        <v>9</v>
      </c>
      <c r="AT90">
        <f>cell_udf(AT89,IF(Summary!$B$2="CAPM",AT87,AT88))</f>
        <v>9</v>
      </c>
      <c r="AU90">
        <f>cell_udf(AU89,IF(Summary!$B$2="CAPM",AU87,AU88))</f>
        <v>1</v>
      </c>
      <c r="AV90">
        <f>cell_udf(AV89,IF(Summary!$B$2="CAPM",AV87,AV88))</f>
        <v>9</v>
      </c>
      <c r="AW90">
        <f>cell_udf(AW89,IF(Summary!$B$2="CAPM",AW87,AW88))</f>
        <v>9</v>
      </c>
      <c r="AX90">
        <f>cell_udf(AX89,IF(Summary!$B$2="CAPM",AX87,AX88))</f>
        <v>7</v>
      </c>
      <c r="AY90">
        <f>cell_udf(AY89,IF(Summary!$B$2="CAPM",AY87,AY88))</f>
        <v>9</v>
      </c>
    </row>
    <row r="91" spans="1:51" x14ac:dyDescent="0.2">
      <c r="D91" s="11">
        <f>(SUMIF(D90:AY90,9,D3:AY3)/COUNTIF(D90:AW90,1))</f>
        <v>-4.8585116359350549E-3</v>
      </c>
    </row>
    <row r="92" spans="1:51" x14ac:dyDescent="0.2">
      <c r="D92" s="12">
        <f>SUMIFS(D3:AY3,D90:AY90,1)</f>
        <v>5.0892061805099996E-2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7"/>
  <sheetViews>
    <sheetView workbookViewId="0">
      <selection activeCell="H18" sqref="H18"/>
    </sheetView>
  </sheetViews>
  <sheetFormatPr baseColWidth="10" defaultColWidth="8.83203125" defaultRowHeight="15" x14ac:dyDescent="0.2"/>
  <sheetData>
    <row r="1" spans="1:4" x14ac:dyDescent="0.2">
      <c r="B1" s="1" t="s">
        <v>51</v>
      </c>
      <c r="C1" s="1" t="s">
        <v>50</v>
      </c>
      <c r="D1" s="1" t="s">
        <v>49</v>
      </c>
    </row>
    <row r="2" spans="1:4" x14ac:dyDescent="0.2">
      <c r="A2" s="1">
        <v>0</v>
      </c>
      <c r="B2" t="s">
        <v>1</v>
      </c>
      <c r="C2" t="s">
        <v>3</v>
      </c>
      <c r="D2" t="s">
        <v>0</v>
      </c>
    </row>
    <row r="3" spans="1:4" x14ac:dyDescent="0.2">
      <c r="A3" s="1">
        <v>1</v>
      </c>
      <c r="B3" t="s">
        <v>2</v>
      </c>
      <c r="C3" t="s">
        <v>30</v>
      </c>
      <c r="D3" t="s">
        <v>9</v>
      </c>
    </row>
    <row r="4" spans="1:4" x14ac:dyDescent="0.2">
      <c r="A4" s="1">
        <v>2</v>
      </c>
      <c r="B4" t="s">
        <v>4</v>
      </c>
      <c r="D4" t="s">
        <v>10</v>
      </c>
    </row>
    <row r="5" spans="1:4" x14ac:dyDescent="0.2">
      <c r="A5" s="1">
        <v>3</v>
      </c>
      <c r="B5" t="s">
        <v>5</v>
      </c>
      <c r="D5" t="s">
        <v>11</v>
      </c>
    </row>
    <row r="6" spans="1:4" x14ac:dyDescent="0.2">
      <c r="A6" s="1">
        <v>4</v>
      </c>
      <c r="B6" t="s">
        <v>6</v>
      </c>
      <c r="D6" t="s">
        <v>12</v>
      </c>
    </row>
    <row r="7" spans="1:4" x14ac:dyDescent="0.2">
      <c r="A7" s="1">
        <v>5</v>
      </c>
      <c r="B7" t="s">
        <v>7</v>
      </c>
      <c r="D7" t="s">
        <v>16</v>
      </c>
    </row>
    <row r="8" spans="1:4" x14ac:dyDescent="0.2">
      <c r="A8" s="1">
        <v>6</v>
      </c>
      <c r="B8" t="s">
        <v>8</v>
      </c>
      <c r="D8" t="s">
        <v>18</v>
      </c>
    </row>
    <row r="9" spans="1:4" x14ac:dyDescent="0.2">
      <c r="A9" s="1">
        <v>7</v>
      </c>
      <c r="B9" t="s">
        <v>13</v>
      </c>
      <c r="D9" t="s">
        <v>19</v>
      </c>
    </row>
    <row r="10" spans="1:4" x14ac:dyDescent="0.2">
      <c r="A10" s="1">
        <v>8</v>
      </c>
      <c r="B10" t="s">
        <v>14</v>
      </c>
      <c r="D10" t="s">
        <v>21</v>
      </c>
    </row>
    <row r="11" spans="1:4" x14ac:dyDescent="0.2">
      <c r="A11" s="1">
        <v>9</v>
      </c>
      <c r="B11" t="s">
        <v>15</v>
      </c>
      <c r="D11" t="s">
        <v>22</v>
      </c>
    </row>
    <row r="12" spans="1:4" x14ac:dyDescent="0.2">
      <c r="A12" s="1">
        <v>10</v>
      </c>
      <c r="B12" t="s">
        <v>17</v>
      </c>
      <c r="D12" t="s">
        <v>24</v>
      </c>
    </row>
    <row r="13" spans="1:4" x14ac:dyDescent="0.2">
      <c r="A13" s="1">
        <v>11</v>
      </c>
      <c r="B13" t="s">
        <v>20</v>
      </c>
      <c r="D13" t="s">
        <v>25</v>
      </c>
    </row>
    <row r="14" spans="1:4" x14ac:dyDescent="0.2">
      <c r="A14" s="1">
        <v>12</v>
      </c>
      <c r="B14" t="s">
        <v>23</v>
      </c>
      <c r="D14" t="s">
        <v>27</v>
      </c>
    </row>
    <row r="15" spans="1:4" x14ac:dyDescent="0.2">
      <c r="A15" s="1">
        <v>13</v>
      </c>
      <c r="B15" t="s">
        <v>26</v>
      </c>
      <c r="D15" t="s">
        <v>28</v>
      </c>
    </row>
    <row r="16" spans="1:4" x14ac:dyDescent="0.2">
      <c r="A16" s="1">
        <v>14</v>
      </c>
      <c r="B16" t="s">
        <v>29</v>
      </c>
      <c r="D16" t="s">
        <v>31</v>
      </c>
    </row>
    <row r="17" spans="1:4" x14ac:dyDescent="0.2">
      <c r="A17" s="1">
        <v>15</v>
      </c>
      <c r="B17" t="s">
        <v>33</v>
      </c>
      <c r="D17" t="s">
        <v>32</v>
      </c>
    </row>
    <row r="18" spans="1:4" x14ac:dyDescent="0.2">
      <c r="A18" s="1">
        <v>16</v>
      </c>
      <c r="B18" t="s">
        <v>35</v>
      </c>
      <c r="D18" t="s">
        <v>34</v>
      </c>
    </row>
    <row r="19" spans="1:4" x14ac:dyDescent="0.2">
      <c r="A19" s="1">
        <v>17</v>
      </c>
      <c r="B19" t="s">
        <v>37</v>
      </c>
      <c r="D19" t="s">
        <v>36</v>
      </c>
    </row>
    <row r="20" spans="1:4" x14ac:dyDescent="0.2">
      <c r="A20" s="1">
        <v>18</v>
      </c>
      <c r="B20" t="s">
        <v>38</v>
      </c>
      <c r="D20" t="s">
        <v>39</v>
      </c>
    </row>
    <row r="21" spans="1:4" x14ac:dyDescent="0.2">
      <c r="A21" s="1">
        <v>19</v>
      </c>
      <c r="B21" t="s">
        <v>43</v>
      </c>
      <c r="D21" t="s">
        <v>40</v>
      </c>
    </row>
    <row r="22" spans="1:4" x14ac:dyDescent="0.2">
      <c r="A22" s="1">
        <v>20</v>
      </c>
      <c r="D22" t="s">
        <v>41</v>
      </c>
    </row>
    <row r="23" spans="1:4" x14ac:dyDescent="0.2">
      <c r="A23" s="1">
        <v>21</v>
      </c>
      <c r="D23" t="s">
        <v>42</v>
      </c>
    </row>
    <row r="24" spans="1:4" x14ac:dyDescent="0.2">
      <c r="A24" s="1">
        <v>22</v>
      </c>
      <c r="D24" t="s">
        <v>44</v>
      </c>
    </row>
    <row r="25" spans="1:4" x14ac:dyDescent="0.2">
      <c r="A25" s="1">
        <v>23</v>
      </c>
      <c r="D25" t="s">
        <v>45</v>
      </c>
    </row>
    <row r="26" spans="1:4" x14ac:dyDescent="0.2">
      <c r="A26" s="1">
        <v>24</v>
      </c>
      <c r="D26" t="s">
        <v>46</v>
      </c>
    </row>
    <row r="27" spans="1:4" x14ac:dyDescent="0.2">
      <c r="A27" s="1">
        <v>25</v>
      </c>
      <c r="D27" t="s">
        <v>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4"/>
  <sheetViews>
    <sheetView workbookViewId="0">
      <selection activeCell="E28" sqref="E28"/>
    </sheetView>
  </sheetViews>
  <sheetFormatPr baseColWidth="10" defaultColWidth="8.83203125" defaultRowHeight="15" x14ac:dyDescent="0.2"/>
  <sheetData>
    <row r="1" spans="1:4" x14ac:dyDescent="0.2">
      <c r="B1" s="1" t="s">
        <v>51</v>
      </c>
      <c r="C1" s="1" t="s">
        <v>50</v>
      </c>
      <c r="D1" s="1" t="s">
        <v>49</v>
      </c>
    </row>
    <row r="2" spans="1:4" x14ac:dyDescent="0.2">
      <c r="A2" s="1">
        <v>0</v>
      </c>
      <c r="B2" t="s">
        <v>1</v>
      </c>
      <c r="C2" t="s">
        <v>3</v>
      </c>
      <c r="D2" t="s">
        <v>0</v>
      </c>
    </row>
    <row r="3" spans="1:4" x14ac:dyDescent="0.2">
      <c r="A3" s="1">
        <v>1</v>
      </c>
      <c r="B3" t="s">
        <v>2</v>
      </c>
      <c r="C3" t="s">
        <v>12</v>
      </c>
      <c r="D3" t="s">
        <v>9</v>
      </c>
    </row>
    <row r="4" spans="1:4" x14ac:dyDescent="0.2">
      <c r="A4" s="1">
        <v>2</v>
      </c>
      <c r="B4" t="s">
        <v>4</v>
      </c>
      <c r="C4" t="s">
        <v>22</v>
      </c>
      <c r="D4" t="s">
        <v>10</v>
      </c>
    </row>
    <row r="5" spans="1:4" x14ac:dyDescent="0.2">
      <c r="A5" s="1">
        <v>3</v>
      </c>
      <c r="B5" t="s">
        <v>5</v>
      </c>
      <c r="C5" t="s">
        <v>30</v>
      </c>
      <c r="D5" t="s">
        <v>11</v>
      </c>
    </row>
    <row r="6" spans="1:4" x14ac:dyDescent="0.2">
      <c r="A6" s="1">
        <v>4</v>
      </c>
      <c r="B6" t="s">
        <v>6</v>
      </c>
      <c r="D6" t="s">
        <v>16</v>
      </c>
    </row>
    <row r="7" spans="1:4" x14ac:dyDescent="0.2">
      <c r="A7" s="1">
        <v>5</v>
      </c>
      <c r="B7" t="s">
        <v>7</v>
      </c>
      <c r="D7" t="s">
        <v>18</v>
      </c>
    </row>
    <row r="8" spans="1:4" x14ac:dyDescent="0.2">
      <c r="A8" s="1">
        <v>6</v>
      </c>
      <c r="B8" t="s">
        <v>8</v>
      </c>
      <c r="D8" t="s">
        <v>21</v>
      </c>
    </row>
    <row r="9" spans="1:4" x14ac:dyDescent="0.2">
      <c r="A9" s="1">
        <v>7</v>
      </c>
      <c r="B9" t="s">
        <v>13</v>
      </c>
      <c r="D9" t="s">
        <v>24</v>
      </c>
    </row>
    <row r="10" spans="1:4" x14ac:dyDescent="0.2">
      <c r="A10" s="1">
        <v>8</v>
      </c>
      <c r="B10" t="s">
        <v>14</v>
      </c>
      <c r="D10" t="s">
        <v>25</v>
      </c>
    </row>
    <row r="11" spans="1:4" x14ac:dyDescent="0.2">
      <c r="A11" s="1">
        <v>9</v>
      </c>
      <c r="B11" t="s">
        <v>15</v>
      </c>
      <c r="D11" t="s">
        <v>27</v>
      </c>
    </row>
    <row r="12" spans="1:4" x14ac:dyDescent="0.2">
      <c r="A12" s="1">
        <v>10</v>
      </c>
      <c r="B12" t="s">
        <v>17</v>
      </c>
      <c r="D12" t="s">
        <v>28</v>
      </c>
    </row>
    <row r="13" spans="1:4" x14ac:dyDescent="0.2">
      <c r="A13" s="1">
        <v>11</v>
      </c>
      <c r="B13" t="s">
        <v>19</v>
      </c>
      <c r="D13" t="s">
        <v>31</v>
      </c>
    </row>
    <row r="14" spans="1:4" x14ac:dyDescent="0.2">
      <c r="A14" s="1">
        <v>12</v>
      </c>
      <c r="B14" t="s">
        <v>20</v>
      </c>
      <c r="D14" t="s">
        <v>32</v>
      </c>
    </row>
    <row r="15" spans="1:4" x14ac:dyDescent="0.2">
      <c r="A15" s="1">
        <v>13</v>
      </c>
      <c r="B15" t="s">
        <v>23</v>
      </c>
      <c r="D15" t="s">
        <v>34</v>
      </c>
    </row>
    <row r="16" spans="1:4" x14ac:dyDescent="0.2">
      <c r="A16" s="1">
        <v>14</v>
      </c>
      <c r="B16" t="s">
        <v>26</v>
      </c>
      <c r="D16" t="s">
        <v>36</v>
      </c>
    </row>
    <row r="17" spans="1:4" x14ac:dyDescent="0.2">
      <c r="A17" s="1">
        <v>15</v>
      </c>
      <c r="B17" t="s">
        <v>29</v>
      </c>
      <c r="D17" t="s">
        <v>39</v>
      </c>
    </row>
    <row r="18" spans="1:4" x14ac:dyDescent="0.2">
      <c r="A18" s="1">
        <v>16</v>
      </c>
      <c r="B18" t="s">
        <v>33</v>
      </c>
      <c r="D18" t="s">
        <v>40</v>
      </c>
    </row>
    <row r="19" spans="1:4" x14ac:dyDescent="0.2">
      <c r="A19" s="1">
        <v>17</v>
      </c>
      <c r="B19" t="s">
        <v>35</v>
      </c>
      <c r="D19" t="s">
        <v>41</v>
      </c>
    </row>
    <row r="20" spans="1:4" x14ac:dyDescent="0.2">
      <c r="A20" s="1">
        <v>18</v>
      </c>
      <c r="B20" t="s">
        <v>37</v>
      </c>
      <c r="D20" t="s">
        <v>42</v>
      </c>
    </row>
    <row r="21" spans="1:4" x14ac:dyDescent="0.2">
      <c r="A21" s="1">
        <v>19</v>
      </c>
      <c r="B21" t="s">
        <v>38</v>
      </c>
      <c r="D21" t="s">
        <v>44</v>
      </c>
    </row>
    <row r="22" spans="1:4" x14ac:dyDescent="0.2">
      <c r="A22" s="1">
        <v>20</v>
      </c>
      <c r="B22" t="s">
        <v>43</v>
      </c>
      <c r="D22" t="s">
        <v>45</v>
      </c>
    </row>
    <row r="23" spans="1:4" x14ac:dyDescent="0.2">
      <c r="A23" s="1">
        <v>21</v>
      </c>
      <c r="D23" t="s">
        <v>46</v>
      </c>
    </row>
    <row r="24" spans="1:4" x14ac:dyDescent="0.2">
      <c r="A24" s="1">
        <v>22</v>
      </c>
      <c r="D24" t="s">
        <v>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23"/>
  <sheetViews>
    <sheetView workbookViewId="0">
      <selection activeCell="F8" sqref="F8"/>
    </sheetView>
  </sheetViews>
  <sheetFormatPr baseColWidth="10" defaultColWidth="8.83203125" defaultRowHeight="15" x14ac:dyDescent="0.2"/>
  <sheetData>
    <row r="1" spans="1:4" x14ac:dyDescent="0.2">
      <c r="B1" s="1" t="s">
        <v>51</v>
      </c>
      <c r="C1" s="1" t="s">
        <v>50</v>
      </c>
      <c r="D1" s="1" t="s">
        <v>49</v>
      </c>
    </row>
    <row r="2" spans="1:4" x14ac:dyDescent="0.2">
      <c r="A2" s="1">
        <v>0</v>
      </c>
      <c r="B2" t="s">
        <v>1</v>
      </c>
      <c r="C2" t="s">
        <v>3</v>
      </c>
      <c r="D2" t="s">
        <v>0</v>
      </c>
    </row>
    <row r="3" spans="1:4" x14ac:dyDescent="0.2">
      <c r="A3" s="1">
        <v>1</v>
      </c>
      <c r="B3" t="s">
        <v>2</v>
      </c>
      <c r="C3" t="s">
        <v>18</v>
      </c>
      <c r="D3" t="s">
        <v>4</v>
      </c>
    </row>
    <row r="4" spans="1:4" x14ac:dyDescent="0.2">
      <c r="A4" s="1">
        <v>2</v>
      </c>
      <c r="B4" t="s">
        <v>5</v>
      </c>
      <c r="C4" t="s">
        <v>20</v>
      </c>
      <c r="D4" t="s">
        <v>9</v>
      </c>
    </row>
    <row r="5" spans="1:4" x14ac:dyDescent="0.2">
      <c r="A5" s="1">
        <v>3</v>
      </c>
      <c r="B5" t="s">
        <v>6</v>
      </c>
      <c r="C5" t="s">
        <v>30</v>
      </c>
      <c r="D5" t="s">
        <v>10</v>
      </c>
    </row>
    <row r="6" spans="1:4" x14ac:dyDescent="0.2">
      <c r="A6" s="1">
        <v>4</v>
      </c>
      <c r="B6" t="s">
        <v>7</v>
      </c>
      <c r="C6" t="s">
        <v>33</v>
      </c>
      <c r="D6" t="s">
        <v>11</v>
      </c>
    </row>
    <row r="7" spans="1:4" x14ac:dyDescent="0.2">
      <c r="A7" s="1">
        <v>5</v>
      </c>
      <c r="B7" t="s">
        <v>8</v>
      </c>
      <c r="C7" t="s">
        <v>37</v>
      </c>
      <c r="D7" t="s">
        <v>12</v>
      </c>
    </row>
    <row r="8" spans="1:4" x14ac:dyDescent="0.2">
      <c r="A8" s="1">
        <v>6</v>
      </c>
      <c r="B8" t="s">
        <v>13</v>
      </c>
      <c r="D8" t="s">
        <v>16</v>
      </c>
    </row>
    <row r="9" spans="1:4" x14ac:dyDescent="0.2">
      <c r="A9" s="1">
        <v>7</v>
      </c>
      <c r="B9" t="s">
        <v>14</v>
      </c>
      <c r="D9" t="s">
        <v>19</v>
      </c>
    </row>
    <row r="10" spans="1:4" x14ac:dyDescent="0.2">
      <c r="A10" s="1">
        <v>8</v>
      </c>
      <c r="B10" t="s">
        <v>15</v>
      </c>
      <c r="D10" t="s">
        <v>21</v>
      </c>
    </row>
    <row r="11" spans="1:4" x14ac:dyDescent="0.2">
      <c r="A11" s="1">
        <v>9</v>
      </c>
      <c r="B11" t="s">
        <v>17</v>
      </c>
      <c r="D11" t="s">
        <v>24</v>
      </c>
    </row>
    <row r="12" spans="1:4" x14ac:dyDescent="0.2">
      <c r="A12" s="1">
        <v>10</v>
      </c>
      <c r="B12" t="s">
        <v>22</v>
      </c>
      <c r="D12" t="s">
        <v>27</v>
      </c>
    </row>
    <row r="13" spans="1:4" x14ac:dyDescent="0.2">
      <c r="A13" s="1">
        <v>11</v>
      </c>
      <c r="B13" t="s">
        <v>23</v>
      </c>
      <c r="D13" t="s">
        <v>28</v>
      </c>
    </row>
    <row r="14" spans="1:4" x14ac:dyDescent="0.2">
      <c r="A14" s="1">
        <v>12</v>
      </c>
      <c r="B14" t="s">
        <v>25</v>
      </c>
      <c r="D14" t="s">
        <v>31</v>
      </c>
    </row>
    <row r="15" spans="1:4" x14ac:dyDescent="0.2">
      <c r="A15" s="1">
        <v>13</v>
      </c>
      <c r="B15" t="s">
        <v>26</v>
      </c>
      <c r="D15" t="s">
        <v>32</v>
      </c>
    </row>
    <row r="16" spans="1:4" x14ac:dyDescent="0.2">
      <c r="A16" s="1">
        <v>14</v>
      </c>
      <c r="B16" t="s">
        <v>29</v>
      </c>
      <c r="D16" t="s">
        <v>36</v>
      </c>
    </row>
    <row r="17" spans="1:4" x14ac:dyDescent="0.2">
      <c r="A17" s="1">
        <v>15</v>
      </c>
      <c r="B17" t="s">
        <v>34</v>
      </c>
      <c r="D17" t="s">
        <v>39</v>
      </c>
    </row>
    <row r="18" spans="1:4" x14ac:dyDescent="0.2">
      <c r="A18" s="1">
        <v>16</v>
      </c>
      <c r="B18" t="s">
        <v>35</v>
      </c>
      <c r="D18" t="s">
        <v>40</v>
      </c>
    </row>
    <row r="19" spans="1:4" x14ac:dyDescent="0.2">
      <c r="A19" s="1">
        <v>17</v>
      </c>
      <c r="B19" t="s">
        <v>38</v>
      </c>
      <c r="D19" t="s">
        <v>41</v>
      </c>
    </row>
    <row r="20" spans="1:4" x14ac:dyDescent="0.2">
      <c r="A20" s="1">
        <v>18</v>
      </c>
      <c r="B20" t="s">
        <v>43</v>
      </c>
      <c r="D20" t="s">
        <v>42</v>
      </c>
    </row>
    <row r="21" spans="1:4" x14ac:dyDescent="0.2">
      <c r="A21" s="1">
        <v>19</v>
      </c>
      <c r="B21" t="s">
        <v>46</v>
      </c>
      <c r="D21" t="s">
        <v>44</v>
      </c>
    </row>
    <row r="22" spans="1:4" x14ac:dyDescent="0.2">
      <c r="A22" s="1">
        <v>20</v>
      </c>
      <c r="D22" t="s">
        <v>45</v>
      </c>
    </row>
    <row r="23" spans="1:4" x14ac:dyDescent="0.2">
      <c r="A23" s="1">
        <v>21</v>
      </c>
      <c r="D23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Summary</vt:lpstr>
      <vt:lpstr>Цены</vt:lpstr>
      <vt:lpstr>Доходности</vt:lpstr>
      <vt:lpstr>Рекомы_CAPM</vt:lpstr>
      <vt:lpstr>Рекомы_Фама_Френч</vt:lpstr>
      <vt:lpstr>Рекомы_Лассо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alise</dc:creator>
  <cp:lastModifiedBy>14170114 Петраков Сергей Денисович</cp:lastModifiedBy>
  <dcterms:created xsi:type="dcterms:W3CDTF">2021-05-02T15:47:38Z</dcterms:created>
  <dcterms:modified xsi:type="dcterms:W3CDTF">2021-05-06T18:42:26Z</dcterms:modified>
</cp:coreProperties>
</file>