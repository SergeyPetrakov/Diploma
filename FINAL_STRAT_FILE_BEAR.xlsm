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1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ergeypetrakov/Documents/Documents/Диплом /ВКР/Diploma/"/>
    </mc:Choice>
  </mc:AlternateContent>
  <xr:revisionPtr revIDLastSave="0" documentId="13_ncr:1_{F1F7E9D5-8DDE-1641-AE79-2F9D33AA18D3}" xr6:coauthVersionLast="46" xr6:coauthVersionMax="46" xr10:uidLastSave="{00000000-0000-0000-0000-000000000000}"/>
  <bookViews>
    <workbookView xWindow="19880" yWindow="500" windowWidth="15700" windowHeight="19820" xr2:uid="{00000000-000D-0000-FFFF-FFFF00000000}"/>
  </bookViews>
  <sheets>
    <sheet name="Summary" sheetId="6" r:id="rId1"/>
    <sheet name="Цены" sheetId="1" r:id="rId2"/>
    <sheet name="Доходности" sheetId="5" r:id="rId3"/>
    <sheet name="Рекомы_CAPM" sheetId="2" r:id="rId4"/>
    <sheet name="Рекомы_Фама_Френч" sheetId="3" r:id="rId5"/>
    <sheet name="Рекомы_Лассо" sheetId="4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3" i="5" l="1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D103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D102" i="5"/>
  <c r="AU104" i="5"/>
  <c r="AV104" i="5"/>
  <c r="AT4" i="5"/>
  <c r="AU4" i="5"/>
  <c r="AV4" i="5"/>
  <c r="AT5" i="5"/>
  <c r="AU5" i="5"/>
  <c r="AV5" i="5"/>
  <c r="AT6" i="5"/>
  <c r="AU6" i="5"/>
  <c r="AV6" i="5"/>
  <c r="AT7" i="5"/>
  <c r="AU7" i="5"/>
  <c r="AV7" i="5"/>
  <c r="AT8" i="5"/>
  <c r="AU8" i="5"/>
  <c r="AV8" i="5"/>
  <c r="AT9" i="5"/>
  <c r="AU9" i="5"/>
  <c r="AV9" i="5"/>
  <c r="AT10" i="5"/>
  <c r="AU10" i="5"/>
  <c r="AV10" i="5"/>
  <c r="AT11" i="5"/>
  <c r="AU11" i="5"/>
  <c r="AV11" i="5"/>
  <c r="AT12" i="5"/>
  <c r="AU12" i="5"/>
  <c r="AV12" i="5"/>
  <c r="AT13" i="5"/>
  <c r="AU13" i="5"/>
  <c r="AV13" i="5"/>
  <c r="AT14" i="5"/>
  <c r="AU14" i="5"/>
  <c r="AV14" i="5"/>
  <c r="AT15" i="5"/>
  <c r="AU15" i="5"/>
  <c r="AV15" i="5"/>
  <c r="AT16" i="5"/>
  <c r="AU16" i="5"/>
  <c r="AV16" i="5"/>
  <c r="AT17" i="5"/>
  <c r="AU17" i="5"/>
  <c r="AV17" i="5"/>
  <c r="AT18" i="5"/>
  <c r="AU18" i="5"/>
  <c r="AV18" i="5"/>
  <c r="AT19" i="5"/>
  <c r="AU19" i="5"/>
  <c r="AV19" i="5"/>
  <c r="AT20" i="5"/>
  <c r="AU20" i="5"/>
  <c r="AV20" i="5"/>
  <c r="AT21" i="5"/>
  <c r="AU21" i="5"/>
  <c r="AV21" i="5"/>
  <c r="AT22" i="5"/>
  <c r="AU22" i="5"/>
  <c r="AV22" i="5"/>
  <c r="AT23" i="5"/>
  <c r="AU23" i="5"/>
  <c r="AV23" i="5"/>
  <c r="AT24" i="5"/>
  <c r="AU24" i="5"/>
  <c r="AV24" i="5"/>
  <c r="AT25" i="5"/>
  <c r="AU25" i="5"/>
  <c r="AV25" i="5"/>
  <c r="AT26" i="5"/>
  <c r="AU26" i="5"/>
  <c r="AV26" i="5"/>
  <c r="AT27" i="5"/>
  <c r="AU27" i="5"/>
  <c r="AV27" i="5"/>
  <c r="AT28" i="5"/>
  <c r="AU28" i="5"/>
  <c r="AV28" i="5"/>
  <c r="AT29" i="5"/>
  <c r="AU29" i="5"/>
  <c r="AV29" i="5"/>
  <c r="AT30" i="5"/>
  <c r="AU30" i="5"/>
  <c r="AV30" i="5"/>
  <c r="AT31" i="5"/>
  <c r="AU31" i="5"/>
  <c r="AV31" i="5"/>
  <c r="AT32" i="5"/>
  <c r="AU32" i="5"/>
  <c r="AV32" i="5"/>
  <c r="AT33" i="5"/>
  <c r="AU33" i="5"/>
  <c r="AV33" i="5"/>
  <c r="AT34" i="5"/>
  <c r="AU34" i="5"/>
  <c r="AV34" i="5"/>
  <c r="AT35" i="5"/>
  <c r="AU35" i="5"/>
  <c r="AV35" i="5"/>
  <c r="AT36" i="5"/>
  <c r="AU36" i="5"/>
  <c r="AV36" i="5"/>
  <c r="AT37" i="5"/>
  <c r="AU37" i="5"/>
  <c r="AV37" i="5"/>
  <c r="AT38" i="5"/>
  <c r="AU38" i="5"/>
  <c r="AV38" i="5"/>
  <c r="AT39" i="5"/>
  <c r="AU39" i="5"/>
  <c r="AV39" i="5"/>
  <c r="AT40" i="5"/>
  <c r="AU40" i="5"/>
  <c r="AV40" i="5"/>
  <c r="AT41" i="5"/>
  <c r="AU41" i="5"/>
  <c r="AV41" i="5"/>
  <c r="AT42" i="5"/>
  <c r="AU42" i="5"/>
  <c r="AV42" i="5"/>
  <c r="AT43" i="5"/>
  <c r="AU43" i="5"/>
  <c r="AV43" i="5"/>
  <c r="AT44" i="5"/>
  <c r="AU44" i="5"/>
  <c r="AV44" i="5"/>
  <c r="AT45" i="5"/>
  <c r="AU45" i="5"/>
  <c r="AV45" i="5"/>
  <c r="AT46" i="5"/>
  <c r="AU46" i="5"/>
  <c r="AV46" i="5"/>
  <c r="AT47" i="5"/>
  <c r="AU47" i="5"/>
  <c r="AV47" i="5"/>
  <c r="AT48" i="5"/>
  <c r="AU48" i="5"/>
  <c r="AV48" i="5"/>
  <c r="AT49" i="5"/>
  <c r="AU49" i="5"/>
  <c r="AV49" i="5"/>
  <c r="AT50" i="5"/>
  <c r="AU50" i="5"/>
  <c r="AV50" i="5"/>
  <c r="AT51" i="5"/>
  <c r="AU51" i="5"/>
  <c r="AV51" i="5"/>
  <c r="AT52" i="5"/>
  <c r="AU52" i="5"/>
  <c r="AV52" i="5"/>
  <c r="AT53" i="5"/>
  <c r="AU53" i="5"/>
  <c r="AV53" i="5"/>
  <c r="AT54" i="5"/>
  <c r="AU54" i="5"/>
  <c r="AV54" i="5"/>
  <c r="AT55" i="5"/>
  <c r="AU55" i="5"/>
  <c r="AV55" i="5"/>
  <c r="AT56" i="5"/>
  <c r="AU56" i="5"/>
  <c r="AV56" i="5"/>
  <c r="AT57" i="5"/>
  <c r="AU57" i="5"/>
  <c r="AV57" i="5"/>
  <c r="AT58" i="5"/>
  <c r="AU58" i="5"/>
  <c r="AV58" i="5"/>
  <c r="AT59" i="5"/>
  <c r="AU59" i="5"/>
  <c r="AV59" i="5"/>
  <c r="AT60" i="5"/>
  <c r="AU60" i="5"/>
  <c r="AV60" i="5"/>
  <c r="AT61" i="5"/>
  <c r="AU61" i="5"/>
  <c r="AV61" i="5"/>
  <c r="AT62" i="5"/>
  <c r="AU62" i="5"/>
  <c r="AV62" i="5"/>
  <c r="AT63" i="5"/>
  <c r="AU63" i="5"/>
  <c r="AV63" i="5"/>
  <c r="AT64" i="5"/>
  <c r="AU64" i="5"/>
  <c r="AV64" i="5"/>
  <c r="AT65" i="5"/>
  <c r="AU65" i="5"/>
  <c r="AV65" i="5"/>
  <c r="AT66" i="5"/>
  <c r="AU66" i="5"/>
  <c r="AV66" i="5"/>
  <c r="AT67" i="5"/>
  <c r="AU67" i="5"/>
  <c r="AV67" i="5"/>
  <c r="AT68" i="5"/>
  <c r="AU68" i="5"/>
  <c r="AV68" i="5"/>
  <c r="AT69" i="5"/>
  <c r="AU69" i="5"/>
  <c r="AV69" i="5"/>
  <c r="AT70" i="5"/>
  <c r="AU70" i="5"/>
  <c r="AV70" i="5"/>
  <c r="AT71" i="5"/>
  <c r="AU71" i="5"/>
  <c r="AV71" i="5"/>
  <c r="AT72" i="5"/>
  <c r="AU72" i="5"/>
  <c r="AV72" i="5"/>
  <c r="AT73" i="5"/>
  <c r="AU73" i="5"/>
  <c r="AV73" i="5"/>
  <c r="AT74" i="5"/>
  <c r="AU74" i="5"/>
  <c r="AV74" i="5"/>
  <c r="AT75" i="5"/>
  <c r="AU75" i="5"/>
  <c r="AV75" i="5"/>
  <c r="AT76" i="5"/>
  <c r="AU76" i="5"/>
  <c r="AV76" i="5"/>
  <c r="AT77" i="5"/>
  <c r="AU77" i="5"/>
  <c r="AV77" i="5"/>
  <c r="AT78" i="5"/>
  <c r="AU78" i="5"/>
  <c r="AV78" i="5"/>
  <c r="AT79" i="5"/>
  <c r="AU79" i="5"/>
  <c r="AV79" i="5"/>
  <c r="AT80" i="5"/>
  <c r="AU80" i="5"/>
  <c r="AV80" i="5"/>
  <c r="AT81" i="5"/>
  <c r="AU81" i="5"/>
  <c r="AV81" i="5"/>
  <c r="AT82" i="5"/>
  <c r="AU82" i="5"/>
  <c r="AV82" i="5"/>
  <c r="AT83" i="5"/>
  <c r="AU83" i="5"/>
  <c r="AV83" i="5"/>
  <c r="AT84" i="5"/>
  <c r="AU84" i="5"/>
  <c r="AV84" i="5"/>
  <c r="AT85" i="5"/>
  <c r="AU85" i="5"/>
  <c r="AV85" i="5"/>
  <c r="AT86" i="5"/>
  <c r="AU86" i="5"/>
  <c r="AV86" i="5"/>
  <c r="AT87" i="5"/>
  <c r="AU87" i="5"/>
  <c r="AV87" i="5"/>
  <c r="AT88" i="5"/>
  <c r="AU88" i="5"/>
  <c r="AV88" i="5"/>
  <c r="AT89" i="5"/>
  <c r="AU89" i="5"/>
  <c r="AV89" i="5"/>
  <c r="AT90" i="5"/>
  <c r="AU90" i="5"/>
  <c r="AV90" i="5"/>
  <c r="AT91" i="5"/>
  <c r="AU91" i="5"/>
  <c r="AV91" i="5"/>
  <c r="AT92" i="5"/>
  <c r="AU92" i="5"/>
  <c r="AV92" i="5"/>
  <c r="AT93" i="5"/>
  <c r="AU93" i="5"/>
  <c r="AV93" i="5"/>
  <c r="AT94" i="5"/>
  <c r="AU94" i="5"/>
  <c r="AV94" i="5"/>
  <c r="AT95" i="5"/>
  <c r="AU95" i="5"/>
  <c r="AV95" i="5"/>
  <c r="AT96" i="5"/>
  <c r="AU96" i="5"/>
  <c r="AV96" i="5"/>
  <c r="AT97" i="5"/>
  <c r="AU97" i="5"/>
  <c r="AV97" i="5"/>
  <c r="AU3" i="5"/>
  <c r="AV3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D36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D37" i="5"/>
  <c r="E37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D38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D41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N43" i="5"/>
  <c r="AO43" i="5"/>
  <c r="AP43" i="5"/>
  <c r="AQ43" i="5"/>
  <c r="AR43" i="5"/>
  <c r="AS43" i="5"/>
  <c r="D44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R45" i="5"/>
  <c r="AS45" i="5"/>
  <c r="D46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D47" i="5"/>
  <c r="E47" i="5"/>
  <c r="F47" i="5"/>
  <c r="G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N47" i="5"/>
  <c r="AO47" i="5"/>
  <c r="AP47" i="5"/>
  <c r="AQ47" i="5"/>
  <c r="AR47" i="5"/>
  <c r="AS47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D49" i="5"/>
  <c r="E49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D50" i="5"/>
  <c r="E50" i="5"/>
  <c r="F50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D51" i="5"/>
  <c r="E51" i="5"/>
  <c r="F51" i="5"/>
  <c r="G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D52" i="5"/>
  <c r="E52" i="5"/>
  <c r="F52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R52" i="5"/>
  <c r="AS52" i="5"/>
  <c r="D53" i="5"/>
  <c r="E53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Y53" i="5"/>
  <c r="Z53" i="5"/>
  <c r="AA53" i="5"/>
  <c r="AB53" i="5"/>
  <c r="AC53" i="5"/>
  <c r="AD53" i="5"/>
  <c r="AE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R53" i="5"/>
  <c r="AS53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X54" i="5"/>
  <c r="Y54" i="5"/>
  <c r="Z54" i="5"/>
  <c r="AA54" i="5"/>
  <c r="AB54" i="5"/>
  <c r="AC54" i="5"/>
  <c r="AD54" i="5"/>
  <c r="AE54" i="5"/>
  <c r="AF54" i="5"/>
  <c r="AG54" i="5"/>
  <c r="AH54" i="5"/>
  <c r="AI54" i="5"/>
  <c r="AJ54" i="5"/>
  <c r="AK54" i="5"/>
  <c r="AL54" i="5"/>
  <c r="AM54" i="5"/>
  <c r="AN54" i="5"/>
  <c r="AO54" i="5"/>
  <c r="AP54" i="5"/>
  <c r="AQ54" i="5"/>
  <c r="AR54" i="5"/>
  <c r="AS54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D56" i="5"/>
  <c r="AE56" i="5"/>
  <c r="AF56" i="5"/>
  <c r="AG56" i="5"/>
  <c r="AH56" i="5"/>
  <c r="AI56" i="5"/>
  <c r="AJ56" i="5"/>
  <c r="AK56" i="5"/>
  <c r="AL56" i="5"/>
  <c r="AM56" i="5"/>
  <c r="AN56" i="5"/>
  <c r="AO56" i="5"/>
  <c r="AP56" i="5"/>
  <c r="AQ56" i="5"/>
  <c r="AR56" i="5"/>
  <c r="AS56" i="5"/>
  <c r="D57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Y57" i="5"/>
  <c r="Z57" i="5"/>
  <c r="AA57" i="5"/>
  <c r="AB57" i="5"/>
  <c r="AC57" i="5"/>
  <c r="AD57" i="5"/>
  <c r="AE57" i="5"/>
  <c r="AF57" i="5"/>
  <c r="AG57" i="5"/>
  <c r="AH57" i="5"/>
  <c r="AI57" i="5"/>
  <c r="AJ57" i="5"/>
  <c r="AK57" i="5"/>
  <c r="AL57" i="5"/>
  <c r="AM57" i="5"/>
  <c r="AN57" i="5"/>
  <c r="AO57" i="5"/>
  <c r="AP57" i="5"/>
  <c r="AQ57" i="5"/>
  <c r="AR57" i="5"/>
  <c r="AS57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X58" i="5"/>
  <c r="Y58" i="5"/>
  <c r="Z58" i="5"/>
  <c r="AA58" i="5"/>
  <c r="AB58" i="5"/>
  <c r="AC58" i="5"/>
  <c r="AD58" i="5"/>
  <c r="AE58" i="5"/>
  <c r="AF58" i="5"/>
  <c r="AG58" i="5"/>
  <c r="AH58" i="5"/>
  <c r="AI58" i="5"/>
  <c r="AJ58" i="5"/>
  <c r="AK58" i="5"/>
  <c r="AL58" i="5"/>
  <c r="AM58" i="5"/>
  <c r="AN58" i="5"/>
  <c r="AO58" i="5"/>
  <c r="AP58" i="5"/>
  <c r="AQ58" i="5"/>
  <c r="AR58" i="5"/>
  <c r="AS58" i="5"/>
  <c r="D59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I59" i="5"/>
  <c r="AJ59" i="5"/>
  <c r="AK59" i="5"/>
  <c r="AL59" i="5"/>
  <c r="AM59" i="5"/>
  <c r="AN59" i="5"/>
  <c r="AO59" i="5"/>
  <c r="AP59" i="5"/>
  <c r="AQ59" i="5"/>
  <c r="AR59" i="5"/>
  <c r="AS59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AO60" i="5"/>
  <c r="AP60" i="5"/>
  <c r="AQ60" i="5"/>
  <c r="AR60" i="5"/>
  <c r="AS60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X61" i="5"/>
  <c r="Y61" i="5"/>
  <c r="Z61" i="5"/>
  <c r="AA61" i="5"/>
  <c r="AB61" i="5"/>
  <c r="AC61" i="5"/>
  <c r="AD61" i="5"/>
  <c r="AE61" i="5"/>
  <c r="AF61" i="5"/>
  <c r="AG61" i="5"/>
  <c r="AH61" i="5"/>
  <c r="AI61" i="5"/>
  <c r="AJ61" i="5"/>
  <c r="AK61" i="5"/>
  <c r="AL61" i="5"/>
  <c r="AM61" i="5"/>
  <c r="AN61" i="5"/>
  <c r="AO61" i="5"/>
  <c r="AP61" i="5"/>
  <c r="AQ61" i="5"/>
  <c r="AR61" i="5"/>
  <c r="AS61" i="5"/>
  <c r="D62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X62" i="5"/>
  <c r="Y62" i="5"/>
  <c r="Z62" i="5"/>
  <c r="AA62" i="5"/>
  <c r="AB62" i="5"/>
  <c r="AC62" i="5"/>
  <c r="AD62" i="5"/>
  <c r="AE62" i="5"/>
  <c r="AF62" i="5"/>
  <c r="AG62" i="5"/>
  <c r="AH62" i="5"/>
  <c r="AI62" i="5"/>
  <c r="AJ62" i="5"/>
  <c r="AK62" i="5"/>
  <c r="AL62" i="5"/>
  <c r="AM62" i="5"/>
  <c r="AN62" i="5"/>
  <c r="AO62" i="5"/>
  <c r="AP62" i="5"/>
  <c r="AQ62" i="5"/>
  <c r="AR62" i="5"/>
  <c r="AS62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X63" i="5"/>
  <c r="Y63" i="5"/>
  <c r="Z63" i="5"/>
  <c r="AA63" i="5"/>
  <c r="AB63" i="5"/>
  <c r="AC63" i="5"/>
  <c r="AD63" i="5"/>
  <c r="AE63" i="5"/>
  <c r="AF63" i="5"/>
  <c r="AG63" i="5"/>
  <c r="AH63" i="5"/>
  <c r="AI63" i="5"/>
  <c r="AJ63" i="5"/>
  <c r="AK63" i="5"/>
  <c r="AL63" i="5"/>
  <c r="AM63" i="5"/>
  <c r="AN63" i="5"/>
  <c r="AO63" i="5"/>
  <c r="AP63" i="5"/>
  <c r="AQ63" i="5"/>
  <c r="AR63" i="5"/>
  <c r="AS63" i="5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X65" i="5"/>
  <c r="Y65" i="5"/>
  <c r="Z65" i="5"/>
  <c r="AA65" i="5"/>
  <c r="AB65" i="5"/>
  <c r="AC65" i="5"/>
  <c r="AD65" i="5"/>
  <c r="AE65" i="5"/>
  <c r="AF65" i="5"/>
  <c r="AG65" i="5"/>
  <c r="AH65" i="5"/>
  <c r="AI65" i="5"/>
  <c r="AJ65" i="5"/>
  <c r="AK65" i="5"/>
  <c r="AL65" i="5"/>
  <c r="AM65" i="5"/>
  <c r="AN65" i="5"/>
  <c r="AO65" i="5"/>
  <c r="AP65" i="5"/>
  <c r="AQ65" i="5"/>
  <c r="AR65" i="5"/>
  <c r="AS65" i="5"/>
  <c r="D66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X66" i="5"/>
  <c r="Y66" i="5"/>
  <c r="Z66" i="5"/>
  <c r="AA66" i="5"/>
  <c r="AB66" i="5"/>
  <c r="AC66" i="5"/>
  <c r="AD66" i="5"/>
  <c r="AE66" i="5"/>
  <c r="AF66" i="5"/>
  <c r="AG66" i="5"/>
  <c r="AH66" i="5"/>
  <c r="AI66" i="5"/>
  <c r="AJ66" i="5"/>
  <c r="AK66" i="5"/>
  <c r="AL66" i="5"/>
  <c r="AM66" i="5"/>
  <c r="AN66" i="5"/>
  <c r="AO66" i="5"/>
  <c r="AP66" i="5"/>
  <c r="AQ66" i="5"/>
  <c r="AR66" i="5"/>
  <c r="AS66" i="5"/>
  <c r="D67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X67" i="5"/>
  <c r="Y67" i="5"/>
  <c r="Z67" i="5"/>
  <c r="AA67" i="5"/>
  <c r="AB67" i="5"/>
  <c r="AC67" i="5"/>
  <c r="AD67" i="5"/>
  <c r="AE67" i="5"/>
  <c r="AF67" i="5"/>
  <c r="AG67" i="5"/>
  <c r="AH67" i="5"/>
  <c r="AI67" i="5"/>
  <c r="AJ67" i="5"/>
  <c r="AK67" i="5"/>
  <c r="AL67" i="5"/>
  <c r="AM67" i="5"/>
  <c r="AN67" i="5"/>
  <c r="AO67" i="5"/>
  <c r="AP67" i="5"/>
  <c r="AQ67" i="5"/>
  <c r="AR67" i="5"/>
  <c r="AS67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D69" i="5"/>
  <c r="E69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D70" i="5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X70" i="5"/>
  <c r="Y70" i="5"/>
  <c r="Z70" i="5"/>
  <c r="AA70" i="5"/>
  <c r="AB70" i="5"/>
  <c r="AC70" i="5"/>
  <c r="AD70" i="5"/>
  <c r="AE70" i="5"/>
  <c r="AF70" i="5"/>
  <c r="AG70" i="5"/>
  <c r="AH70" i="5"/>
  <c r="AI70" i="5"/>
  <c r="AJ70" i="5"/>
  <c r="AK70" i="5"/>
  <c r="AL70" i="5"/>
  <c r="AM70" i="5"/>
  <c r="AN70" i="5"/>
  <c r="AO70" i="5"/>
  <c r="AP70" i="5"/>
  <c r="AQ70" i="5"/>
  <c r="AR70" i="5"/>
  <c r="AS70" i="5"/>
  <c r="D71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W71" i="5"/>
  <c r="X71" i="5"/>
  <c r="Y71" i="5"/>
  <c r="Z71" i="5"/>
  <c r="AA71" i="5"/>
  <c r="AB71" i="5"/>
  <c r="AC71" i="5"/>
  <c r="AD71" i="5"/>
  <c r="AE71" i="5"/>
  <c r="AF71" i="5"/>
  <c r="AG71" i="5"/>
  <c r="AH71" i="5"/>
  <c r="AI71" i="5"/>
  <c r="AJ71" i="5"/>
  <c r="AK71" i="5"/>
  <c r="AL71" i="5"/>
  <c r="AM71" i="5"/>
  <c r="AN71" i="5"/>
  <c r="AO71" i="5"/>
  <c r="AP71" i="5"/>
  <c r="AQ71" i="5"/>
  <c r="AR71" i="5"/>
  <c r="AS71" i="5"/>
  <c r="D72" i="5"/>
  <c r="E72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D73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W73" i="5"/>
  <c r="X73" i="5"/>
  <c r="Y73" i="5"/>
  <c r="Z73" i="5"/>
  <c r="AA73" i="5"/>
  <c r="AB73" i="5"/>
  <c r="AC73" i="5"/>
  <c r="AD73" i="5"/>
  <c r="AE73" i="5"/>
  <c r="AF73" i="5"/>
  <c r="AG73" i="5"/>
  <c r="AH73" i="5"/>
  <c r="AI73" i="5"/>
  <c r="AJ73" i="5"/>
  <c r="AK73" i="5"/>
  <c r="AL73" i="5"/>
  <c r="AM73" i="5"/>
  <c r="AN73" i="5"/>
  <c r="AO73" i="5"/>
  <c r="AP73" i="5"/>
  <c r="AQ73" i="5"/>
  <c r="AR73" i="5"/>
  <c r="AS73" i="5"/>
  <c r="D74" i="5"/>
  <c r="E74" i="5"/>
  <c r="F74" i="5"/>
  <c r="G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W74" i="5"/>
  <c r="X74" i="5"/>
  <c r="Y74" i="5"/>
  <c r="Z74" i="5"/>
  <c r="AA74" i="5"/>
  <c r="AB74" i="5"/>
  <c r="AC74" i="5"/>
  <c r="AD74" i="5"/>
  <c r="AE74" i="5"/>
  <c r="AF74" i="5"/>
  <c r="AG74" i="5"/>
  <c r="AH74" i="5"/>
  <c r="AI74" i="5"/>
  <c r="AJ74" i="5"/>
  <c r="AK74" i="5"/>
  <c r="AL74" i="5"/>
  <c r="AM74" i="5"/>
  <c r="AN74" i="5"/>
  <c r="AO74" i="5"/>
  <c r="AP74" i="5"/>
  <c r="AQ74" i="5"/>
  <c r="AR74" i="5"/>
  <c r="AS74" i="5"/>
  <c r="D75" i="5"/>
  <c r="E75" i="5"/>
  <c r="F75" i="5"/>
  <c r="G75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W75" i="5"/>
  <c r="X75" i="5"/>
  <c r="Y75" i="5"/>
  <c r="Z75" i="5"/>
  <c r="AA75" i="5"/>
  <c r="AB75" i="5"/>
  <c r="AC75" i="5"/>
  <c r="AD75" i="5"/>
  <c r="AE75" i="5"/>
  <c r="AF75" i="5"/>
  <c r="AG75" i="5"/>
  <c r="AH75" i="5"/>
  <c r="AI75" i="5"/>
  <c r="AJ75" i="5"/>
  <c r="AK75" i="5"/>
  <c r="AL75" i="5"/>
  <c r="AM75" i="5"/>
  <c r="AN75" i="5"/>
  <c r="AO75" i="5"/>
  <c r="AP75" i="5"/>
  <c r="AQ75" i="5"/>
  <c r="AR75" i="5"/>
  <c r="AS75" i="5"/>
  <c r="D76" i="5"/>
  <c r="E76" i="5"/>
  <c r="F76" i="5"/>
  <c r="G76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X76" i="5"/>
  <c r="Y76" i="5"/>
  <c r="Z76" i="5"/>
  <c r="AA76" i="5"/>
  <c r="AB76" i="5"/>
  <c r="AC76" i="5"/>
  <c r="AD76" i="5"/>
  <c r="AE76" i="5"/>
  <c r="AF76" i="5"/>
  <c r="AG76" i="5"/>
  <c r="AH76" i="5"/>
  <c r="AI76" i="5"/>
  <c r="AJ76" i="5"/>
  <c r="AK76" i="5"/>
  <c r="AL76" i="5"/>
  <c r="AM76" i="5"/>
  <c r="AN76" i="5"/>
  <c r="AO76" i="5"/>
  <c r="AP76" i="5"/>
  <c r="AQ76" i="5"/>
  <c r="AR76" i="5"/>
  <c r="AS76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AO77" i="5"/>
  <c r="AP77" i="5"/>
  <c r="AQ77" i="5"/>
  <c r="AR77" i="5"/>
  <c r="AS77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X78" i="5"/>
  <c r="Y78" i="5"/>
  <c r="Z78" i="5"/>
  <c r="AA78" i="5"/>
  <c r="AB78" i="5"/>
  <c r="AC78" i="5"/>
  <c r="AD78" i="5"/>
  <c r="AE78" i="5"/>
  <c r="AF78" i="5"/>
  <c r="AG78" i="5"/>
  <c r="AH78" i="5"/>
  <c r="AI78" i="5"/>
  <c r="AJ78" i="5"/>
  <c r="AK78" i="5"/>
  <c r="AL78" i="5"/>
  <c r="AM78" i="5"/>
  <c r="AN78" i="5"/>
  <c r="AO78" i="5"/>
  <c r="AP78" i="5"/>
  <c r="AQ78" i="5"/>
  <c r="AR78" i="5"/>
  <c r="AS78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G80" i="5"/>
  <c r="AH80" i="5"/>
  <c r="AI80" i="5"/>
  <c r="AJ80" i="5"/>
  <c r="AK80" i="5"/>
  <c r="AL80" i="5"/>
  <c r="AM80" i="5"/>
  <c r="AN80" i="5"/>
  <c r="AO80" i="5"/>
  <c r="AP80" i="5"/>
  <c r="AQ80" i="5"/>
  <c r="AR80" i="5"/>
  <c r="AS80" i="5"/>
  <c r="D81" i="5"/>
  <c r="E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D82" i="5"/>
  <c r="E82" i="5"/>
  <c r="F82" i="5"/>
  <c r="G82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W82" i="5"/>
  <c r="X82" i="5"/>
  <c r="Y82" i="5"/>
  <c r="Z82" i="5"/>
  <c r="AA82" i="5"/>
  <c r="AB82" i="5"/>
  <c r="AC82" i="5"/>
  <c r="AD82" i="5"/>
  <c r="AE82" i="5"/>
  <c r="AF82" i="5"/>
  <c r="AG82" i="5"/>
  <c r="AH82" i="5"/>
  <c r="AI82" i="5"/>
  <c r="AJ82" i="5"/>
  <c r="AK82" i="5"/>
  <c r="AL82" i="5"/>
  <c r="AM82" i="5"/>
  <c r="AN82" i="5"/>
  <c r="AO82" i="5"/>
  <c r="AP82" i="5"/>
  <c r="AQ82" i="5"/>
  <c r="AR82" i="5"/>
  <c r="AS82" i="5"/>
  <c r="D83" i="5"/>
  <c r="E83" i="5"/>
  <c r="F83" i="5"/>
  <c r="G83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W83" i="5"/>
  <c r="X83" i="5"/>
  <c r="Y83" i="5"/>
  <c r="Z83" i="5"/>
  <c r="AA83" i="5"/>
  <c r="AB83" i="5"/>
  <c r="AC83" i="5"/>
  <c r="AD83" i="5"/>
  <c r="AE83" i="5"/>
  <c r="AF83" i="5"/>
  <c r="AG83" i="5"/>
  <c r="AH83" i="5"/>
  <c r="AI83" i="5"/>
  <c r="AJ83" i="5"/>
  <c r="AK83" i="5"/>
  <c r="AL83" i="5"/>
  <c r="AM83" i="5"/>
  <c r="AN83" i="5"/>
  <c r="AO83" i="5"/>
  <c r="AP83" i="5"/>
  <c r="AQ83" i="5"/>
  <c r="AR83" i="5"/>
  <c r="AS83" i="5"/>
  <c r="D84" i="5"/>
  <c r="E84" i="5"/>
  <c r="F84" i="5"/>
  <c r="G84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X84" i="5"/>
  <c r="Y84" i="5"/>
  <c r="Z84" i="5"/>
  <c r="AA84" i="5"/>
  <c r="AB84" i="5"/>
  <c r="AC84" i="5"/>
  <c r="AD84" i="5"/>
  <c r="AE84" i="5"/>
  <c r="AF84" i="5"/>
  <c r="AG84" i="5"/>
  <c r="AH84" i="5"/>
  <c r="AI84" i="5"/>
  <c r="AJ84" i="5"/>
  <c r="AK84" i="5"/>
  <c r="AL84" i="5"/>
  <c r="AM84" i="5"/>
  <c r="AN84" i="5"/>
  <c r="AO84" i="5"/>
  <c r="AP84" i="5"/>
  <c r="AQ84" i="5"/>
  <c r="AR84" i="5"/>
  <c r="AS84" i="5"/>
  <c r="D85" i="5"/>
  <c r="E85" i="5"/>
  <c r="F85" i="5"/>
  <c r="G85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W85" i="5"/>
  <c r="X85" i="5"/>
  <c r="Y85" i="5"/>
  <c r="Z85" i="5"/>
  <c r="AA85" i="5"/>
  <c r="AB85" i="5"/>
  <c r="AC85" i="5"/>
  <c r="AD85" i="5"/>
  <c r="AE85" i="5"/>
  <c r="AF85" i="5"/>
  <c r="AG85" i="5"/>
  <c r="AH85" i="5"/>
  <c r="AI85" i="5"/>
  <c r="AJ85" i="5"/>
  <c r="AK85" i="5"/>
  <c r="AL85" i="5"/>
  <c r="AM85" i="5"/>
  <c r="AN85" i="5"/>
  <c r="AO85" i="5"/>
  <c r="AP85" i="5"/>
  <c r="AQ85" i="5"/>
  <c r="AR85" i="5"/>
  <c r="AS85" i="5"/>
  <c r="D86" i="5"/>
  <c r="E86" i="5"/>
  <c r="F86" i="5"/>
  <c r="G86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W86" i="5"/>
  <c r="X86" i="5"/>
  <c r="Y86" i="5"/>
  <c r="Z86" i="5"/>
  <c r="AA86" i="5"/>
  <c r="AB86" i="5"/>
  <c r="AC86" i="5"/>
  <c r="AD86" i="5"/>
  <c r="AE86" i="5"/>
  <c r="AF86" i="5"/>
  <c r="AG86" i="5"/>
  <c r="AH86" i="5"/>
  <c r="AI86" i="5"/>
  <c r="AJ86" i="5"/>
  <c r="AK86" i="5"/>
  <c r="AL86" i="5"/>
  <c r="AM86" i="5"/>
  <c r="AN86" i="5"/>
  <c r="AO86" i="5"/>
  <c r="AP86" i="5"/>
  <c r="AQ86" i="5"/>
  <c r="AR86" i="5"/>
  <c r="AS86" i="5"/>
  <c r="D87" i="5"/>
  <c r="E87" i="5"/>
  <c r="F87" i="5"/>
  <c r="G87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W87" i="5"/>
  <c r="X87" i="5"/>
  <c r="Y87" i="5"/>
  <c r="Z87" i="5"/>
  <c r="AA87" i="5"/>
  <c r="AB87" i="5"/>
  <c r="AC87" i="5"/>
  <c r="AD87" i="5"/>
  <c r="AE87" i="5"/>
  <c r="AF87" i="5"/>
  <c r="AG87" i="5"/>
  <c r="AH87" i="5"/>
  <c r="AI87" i="5"/>
  <c r="AJ87" i="5"/>
  <c r="AK87" i="5"/>
  <c r="AL87" i="5"/>
  <c r="AM87" i="5"/>
  <c r="AN87" i="5"/>
  <c r="AO87" i="5"/>
  <c r="AP87" i="5"/>
  <c r="AQ87" i="5"/>
  <c r="AR87" i="5"/>
  <c r="AS87" i="5"/>
  <c r="D88" i="5"/>
  <c r="E88" i="5"/>
  <c r="F88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W88" i="5"/>
  <c r="X88" i="5"/>
  <c r="Y88" i="5"/>
  <c r="Z88" i="5"/>
  <c r="AA88" i="5"/>
  <c r="AB88" i="5"/>
  <c r="AC88" i="5"/>
  <c r="AD88" i="5"/>
  <c r="AE88" i="5"/>
  <c r="AF88" i="5"/>
  <c r="AG88" i="5"/>
  <c r="AH88" i="5"/>
  <c r="AI88" i="5"/>
  <c r="AJ88" i="5"/>
  <c r="AK88" i="5"/>
  <c r="AL88" i="5"/>
  <c r="AM88" i="5"/>
  <c r="AN88" i="5"/>
  <c r="AO88" i="5"/>
  <c r="AP88" i="5"/>
  <c r="AQ88" i="5"/>
  <c r="AR88" i="5"/>
  <c r="AS88" i="5"/>
  <c r="D89" i="5"/>
  <c r="E89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D90" i="5"/>
  <c r="E90" i="5"/>
  <c r="F90" i="5"/>
  <c r="G90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AJ90" i="5"/>
  <c r="AK90" i="5"/>
  <c r="AL90" i="5"/>
  <c r="AM90" i="5"/>
  <c r="AN90" i="5"/>
  <c r="AO90" i="5"/>
  <c r="AP90" i="5"/>
  <c r="AQ90" i="5"/>
  <c r="AR90" i="5"/>
  <c r="AS90" i="5"/>
  <c r="D91" i="5"/>
  <c r="E91" i="5"/>
  <c r="F91" i="5"/>
  <c r="G91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W91" i="5"/>
  <c r="X91" i="5"/>
  <c r="Y91" i="5"/>
  <c r="Z91" i="5"/>
  <c r="AA91" i="5"/>
  <c r="AB91" i="5"/>
  <c r="AC91" i="5"/>
  <c r="AD91" i="5"/>
  <c r="AE91" i="5"/>
  <c r="AF91" i="5"/>
  <c r="AG91" i="5"/>
  <c r="AH91" i="5"/>
  <c r="AI91" i="5"/>
  <c r="AJ91" i="5"/>
  <c r="AK91" i="5"/>
  <c r="AL91" i="5"/>
  <c r="AM91" i="5"/>
  <c r="AN91" i="5"/>
  <c r="AO91" i="5"/>
  <c r="AP91" i="5"/>
  <c r="AQ91" i="5"/>
  <c r="AR91" i="5"/>
  <c r="AS91" i="5"/>
  <c r="D92" i="5"/>
  <c r="E92" i="5"/>
  <c r="F92" i="5"/>
  <c r="G92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W92" i="5"/>
  <c r="X92" i="5"/>
  <c r="Y92" i="5"/>
  <c r="Z92" i="5"/>
  <c r="AA92" i="5"/>
  <c r="AB92" i="5"/>
  <c r="AC92" i="5"/>
  <c r="AD92" i="5"/>
  <c r="AE92" i="5"/>
  <c r="AF92" i="5"/>
  <c r="AG92" i="5"/>
  <c r="AH92" i="5"/>
  <c r="AI92" i="5"/>
  <c r="AJ92" i="5"/>
  <c r="AK92" i="5"/>
  <c r="AL92" i="5"/>
  <c r="AM92" i="5"/>
  <c r="AN92" i="5"/>
  <c r="AO92" i="5"/>
  <c r="AP92" i="5"/>
  <c r="AQ92" i="5"/>
  <c r="AR92" i="5"/>
  <c r="AS92" i="5"/>
  <c r="D93" i="5"/>
  <c r="E93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AL93" i="5"/>
  <c r="AM93" i="5"/>
  <c r="AN93" i="5"/>
  <c r="AO93" i="5"/>
  <c r="AP93" i="5"/>
  <c r="AQ93" i="5"/>
  <c r="AR93" i="5"/>
  <c r="AS93" i="5"/>
  <c r="D94" i="5"/>
  <c r="E94" i="5"/>
  <c r="F94" i="5"/>
  <c r="G94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AL94" i="5"/>
  <c r="AM94" i="5"/>
  <c r="AN94" i="5"/>
  <c r="AO94" i="5"/>
  <c r="AP94" i="5"/>
  <c r="AQ94" i="5"/>
  <c r="AR94" i="5"/>
  <c r="AS94" i="5"/>
  <c r="D95" i="5"/>
  <c r="E95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AQ95" i="5"/>
  <c r="AR95" i="5"/>
  <c r="AS95" i="5"/>
  <c r="D96" i="5"/>
  <c r="E96" i="5"/>
  <c r="F96" i="5"/>
  <c r="G96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AE96" i="5"/>
  <c r="AF96" i="5"/>
  <c r="AG96" i="5"/>
  <c r="AH96" i="5"/>
  <c r="AI96" i="5"/>
  <c r="AJ96" i="5"/>
  <c r="AK96" i="5"/>
  <c r="AL96" i="5"/>
  <c r="AM96" i="5"/>
  <c r="AN96" i="5"/>
  <c r="AO96" i="5"/>
  <c r="AP96" i="5"/>
  <c r="AQ96" i="5"/>
  <c r="AR96" i="5"/>
  <c r="AS96" i="5"/>
  <c r="D97" i="5"/>
  <c r="E97" i="5"/>
  <c r="F97" i="5"/>
  <c r="G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AE97" i="5"/>
  <c r="AF97" i="5"/>
  <c r="AG97" i="5"/>
  <c r="AH97" i="5"/>
  <c r="AI97" i="5"/>
  <c r="AJ97" i="5"/>
  <c r="AK97" i="5"/>
  <c r="AL97" i="5"/>
  <c r="AM97" i="5"/>
  <c r="AN97" i="5"/>
  <c r="AO97" i="5"/>
  <c r="AP97" i="5"/>
  <c r="AQ97" i="5"/>
  <c r="AR97" i="5"/>
  <c r="AS97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AV105" i="5"/>
  <c r="AU105" i="5"/>
  <c r="C4" i="6" l="1"/>
  <c r="E104" i="5"/>
  <c r="F104" i="5"/>
  <c r="G104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D104" i="5"/>
  <c r="AJ105" i="5"/>
  <c r="T105" i="5"/>
  <c r="Q105" i="5"/>
  <c r="AR105" i="5"/>
  <c r="AA105" i="5"/>
  <c r="AQ105" i="5"/>
  <c r="AG105" i="5"/>
  <c r="W105" i="5"/>
  <c r="E105" i="5"/>
  <c r="AM105" i="5"/>
  <c r="AT105" i="5"/>
  <c r="AK105" i="5"/>
  <c r="AH105" i="5"/>
  <c r="I105" i="5"/>
  <c r="AN105" i="5"/>
  <c r="Z105" i="5"/>
  <c r="AS105" i="5"/>
  <c r="N105" i="5"/>
  <c r="X105" i="5"/>
  <c r="S105" i="5"/>
  <c r="AL105" i="5"/>
  <c r="L105" i="5"/>
  <c r="AC105" i="5"/>
  <c r="H105" i="5"/>
  <c r="P105" i="5"/>
  <c r="AP105" i="5"/>
  <c r="R105" i="5"/>
  <c r="V105" i="5"/>
  <c r="AF105" i="5"/>
  <c r="O105" i="5"/>
  <c r="D105" i="5"/>
  <c r="AI105" i="5"/>
  <c r="AE105" i="5"/>
  <c r="M105" i="5"/>
  <c r="U105" i="5"/>
  <c r="Y105" i="5"/>
  <c r="J105" i="5"/>
  <c r="AB105" i="5"/>
  <c r="F105" i="5"/>
  <c r="AO105" i="5"/>
  <c r="AD105" i="5"/>
  <c r="G105" i="5"/>
  <c r="K105" i="5"/>
  <c r="F14" i="6"/>
  <c r="H8" i="6"/>
  <c r="H9" i="6"/>
  <c r="J9" i="6"/>
  <c r="J15" i="6"/>
  <c r="F9" i="6"/>
  <c r="F21" i="6"/>
  <c r="F15" i="6"/>
  <c r="J21" i="6"/>
  <c r="H13" i="6"/>
  <c r="H14" i="6"/>
  <c r="H20" i="6"/>
  <c r="H19" i="6"/>
  <c r="H21" i="6"/>
  <c r="H15" i="6"/>
  <c r="D106" i="5" l="1"/>
  <c r="D107" i="5"/>
  <c r="H10" i="6"/>
  <c r="J10" i="6"/>
  <c r="C33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4" i="5"/>
  <c r="C2" i="5"/>
  <c r="J18" i="6"/>
  <c r="F19" i="6"/>
  <c r="F7" i="6"/>
  <c r="J19" i="6"/>
  <c r="F13" i="6"/>
  <c r="F6" i="6"/>
  <c r="J7" i="6"/>
  <c r="F8" i="6"/>
  <c r="F12" i="6"/>
  <c r="J8" i="6"/>
  <c r="J20" i="6"/>
  <c r="J12" i="6"/>
  <c r="J13" i="6"/>
  <c r="H18" i="6"/>
  <c r="H6" i="6"/>
  <c r="H12" i="6"/>
  <c r="F18" i="6"/>
  <c r="H7" i="6"/>
  <c r="J14" i="6"/>
  <c r="F20" i="6"/>
  <c r="J6" i="6"/>
  <c r="H16" i="6" l="1"/>
  <c r="J16" i="6"/>
  <c r="H4" i="6"/>
  <c r="F10" i="6"/>
  <c r="J4" i="6"/>
  <c r="F16" i="6"/>
  <c r="F4" i="6"/>
  <c r="L10" i="6" l="1"/>
  <c r="L15" i="6"/>
  <c r="J22" i="6"/>
  <c r="J27" i="6" s="1"/>
  <c r="H22" i="6"/>
  <c r="H26" i="6" s="1"/>
  <c r="L16" i="6"/>
  <c r="L20" i="6" s="1"/>
  <c r="L4" i="6"/>
  <c r="L6" i="6" s="1"/>
  <c r="L12" i="6"/>
  <c r="L14" i="6"/>
  <c r="L13" i="6"/>
  <c r="F22" i="6"/>
  <c r="F27" i="6" s="1"/>
  <c r="L21" i="6" l="1"/>
  <c r="J24" i="6"/>
  <c r="J26" i="6"/>
  <c r="J25" i="6"/>
  <c r="F25" i="6"/>
  <c r="F24" i="6"/>
  <c r="F26" i="6"/>
  <c r="L9" i="6"/>
  <c r="H27" i="6"/>
  <c r="L18" i="6"/>
  <c r="L19" i="6"/>
  <c r="L22" i="6"/>
  <c r="L7" i="6"/>
  <c r="L8" i="6"/>
  <c r="L26" i="6" s="1"/>
  <c r="H24" i="6"/>
  <c r="H25" i="6"/>
  <c r="L27" i="6" l="1"/>
  <c r="L24" i="6"/>
  <c r="L25" i="6"/>
</calcChain>
</file>

<file path=xl/sharedStrings.xml><?xml version="1.0" encoding="utf-8"?>
<sst xmlns="http://schemas.openxmlformats.org/spreadsheetml/2006/main" count="483" uniqueCount="165">
  <si>
    <t>SBER</t>
  </si>
  <si>
    <t>GAZP</t>
  </si>
  <si>
    <t>LKOH</t>
  </si>
  <si>
    <t>GMKN</t>
  </si>
  <si>
    <t>NVTK</t>
  </si>
  <si>
    <t>SNGS</t>
  </si>
  <si>
    <t>PLZL</t>
  </si>
  <si>
    <t>TATN</t>
  </si>
  <si>
    <t>ROSN</t>
  </si>
  <si>
    <t>MGNT</t>
  </si>
  <si>
    <t>MTSS</t>
  </si>
  <si>
    <t>MOEX</t>
  </si>
  <si>
    <t>IRAO</t>
  </si>
  <si>
    <t>NLMK</t>
  </si>
  <si>
    <t>ALRS</t>
  </si>
  <si>
    <t>CHMF</t>
  </si>
  <si>
    <t>VTBR</t>
  </si>
  <si>
    <t>RTKM</t>
  </si>
  <si>
    <t>PHOR</t>
  </si>
  <si>
    <t>AFKS</t>
  </si>
  <si>
    <t>MAGN</t>
  </si>
  <si>
    <t>PIKK</t>
  </si>
  <si>
    <t>HYDR</t>
  </si>
  <si>
    <t>FEES</t>
  </si>
  <si>
    <t>AFLT</t>
  </si>
  <si>
    <t>LSRG</t>
  </si>
  <si>
    <t>RSTI</t>
  </si>
  <si>
    <t>UPRO</t>
  </si>
  <si>
    <t>LNTA</t>
  </si>
  <si>
    <t>MVID</t>
  </si>
  <si>
    <t>TRMK</t>
  </si>
  <si>
    <t>MTLR</t>
  </si>
  <si>
    <t>NMTP</t>
  </si>
  <si>
    <t>AKRN</t>
  </si>
  <si>
    <t>MSNG</t>
  </si>
  <si>
    <t>URKA</t>
  </si>
  <si>
    <t>BANE</t>
  </si>
  <si>
    <t>VSMO</t>
  </si>
  <si>
    <t>NKNC</t>
  </si>
  <si>
    <t>GCHE</t>
  </si>
  <si>
    <t>SVAV</t>
  </si>
  <si>
    <t>MSTT</t>
  </si>
  <si>
    <t>BSPB</t>
  </si>
  <si>
    <t>MSRS</t>
  </si>
  <si>
    <t>KMAZ</t>
  </si>
  <si>
    <t>RASP</t>
  </si>
  <si>
    <t>OGKB</t>
  </si>
  <si>
    <t>VZRZ</t>
  </si>
  <si>
    <t>Date</t>
  </si>
  <si>
    <t>Long</t>
  </si>
  <si>
    <t>Hold</t>
  </si>
  <si>
    <t>Short</t>
  </si>
  <si>
    <t>Горизонт, дней</t>
  </si>
  <si>
    <t>IMOEX (рынок)</t>
  </si>
  <si>
    <t>CAPM</t>
  </si>
  <si>
    <t>Fama-French</t>
  </si>
  <si>
    <t>Lasso</t>
  </si>
  <si>
    <t>Сравнить лассо с</t>
  </si>
  <si>
    <t>Продавать</t>
  </si>
  <si>
    <t>Держать</t>
  </si>
  <si>
    <t>Покупать</t>
  </si>
  <si>
    <t>Итого</t>
  </si>
  <si>
    <t>Доходности</t>
  </si>
  <si>
    <t>Cell</t>
  </si>
  <si>
    <t>IMOEX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</si>
  <si>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</si>
  <si>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</si>
  <si>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</si>
  <si>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</si>
  <si>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</si>
  <si>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</si>
  <si>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</si>
  <si>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</si>
  <si>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</si>
  <si>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</si>
  <si>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</si>
  <si>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</si>
  <si>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</si>
  <si>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</si>
  <si>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</si>
  <si>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2017-02-20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</si>
  <si>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</si>
  <si>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</si>
  <si>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</si>
  <si>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</si>
  <si>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</si>
  <si>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</si>
  <si>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</si>
  <si>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</si>
  <si>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</si>
  <si>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</si>
  <si>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</si>
  <si>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</si>
  <si>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</si>
  <si>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</si>
  <si>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</si>
  <si>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</si>
  <si>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</si>
  <si>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</si>
  <si>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</si>
  <si>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</si>
  <si>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</si>
  <si>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</si>
  <si>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</si>
  <si>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</si>
  <si>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</si>
  <si>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</si>
  <si>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</si>
  <si>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</si>
  <si>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</si>
  <si>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</si>
  <si>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</si>
  <si>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</si>
  <si>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</si>
  <si>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</si>
  <si>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</si>
  <si>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</si>
  <si>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</si>
  <si>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</si>
  <si>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2017-04-14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</si>
  <si>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</si>
  <si>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</si>
  <si>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</si>
  <si>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</si>
  <si>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</si>
  <si>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</si>
  <si>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</si>
  <si>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</si>
  <si>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</si>
  <si>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</si>
  <si>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</si>
  <si>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</si>
  <si>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</si>
  <si>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</si>
  <si>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</si>
  <si>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</si>
  <si>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</si>
  <si>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</si>
  <si>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</si>
  <si>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</si>
  <si>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</si>
  <si>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</si>
  <si>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</si>
  <si>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</si>
  <si>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</si>
  <si>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</si>
  <si>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</si>
  <si>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</si>
  <si>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</si>
  <si>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</si>
  <si>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2017-05-29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</si>
  <si>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</si>
  <si>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</si>
  <si>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</si>
  <si>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</si>
  <si>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</si>
  <si>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</si>
  <si>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</si>
  <si>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</si>
  <si>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</si>
  <si>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</si>
  <si>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Превышение над рынком</t>
  </si>
  <si>
    <t>Рекомендации Lasso</t>
  </si>
  <si>
    <t>Кол-во акций:</t>
  </si>
  <si>
    <t>Доходности (дней):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</si>
</sst>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0.0000%"/>
    <numFmt numFmtId="166" formatCode="0.000000000%"/>
    <numFmt numFmtId="167" formatCode="0.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0.5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64" fontId="0" fillId="0" borderId="6" xfId="0" applyNumberFormat="1" applyBorder="1"/>
    <xf numFmtId="164" fontId="0" fillId="0" borderId="8" xfId="0" applyNumberFormat="1" applyBorder="1"/>
    <xf numFmtId="166" fontId="0" fillId="0" borderId="0" xfId="0" applyNumberFormat="1"/>
    <xf numFmtId="167" fontId="0" fillId="0" borderId="0" xfId="0" applyNumberFormat="1"/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2" fillId="0" borderId="9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2" borderId="0" xfId="0" applyFill="1"/>
    <xf numFmtId="0" fontId="0" fillId="2" borderId="6" xfId="0" applyFill="1" applyBorder="1"/>
    <xf numFmtId="0" fontId="0" fillId="2" borderId="11" xfId="0" applyFill="1" applyBorder="1"/>
    <xf numFmtId="165" fontId="0" fillId="2" borderId="0" xfId="0" applyNumberFormat="1" applyFill="1"/>
    <xf numFmtId="0" fontId="0" fillId="2" borderId="5" xfId="0" applyFill="1" applyBorder="1"/>
    <xf numFmtId="0" fontId="4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Цены!$B$1</c:f>
              <c:strCache>
                <c:ptCount val="1"/>
                <c:pt idx="0">
                  <c:v>IMOEX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Цены!$A$2:$A$83</c:f>
              <c:strCache>
                <c:ptCount val="82"/>
                <c:pt idx="0">
                  <c:v>2017-01-30</c:v>
                </c:pt>
                <c:pt idx="1">
                  <c:v>2017-01-31</c:v>
                </c:pt>
                <c:pt idx="2">
                  <c:v>2017-02-01</c:v>
                </c:pt>
                <c:pt idx="3">
                  <c:v>2017-02-02</c:v>
                </c:pt>
                <c:pt idx="4">
                  <c:v>2017-02-03</c:v>
                </c:pt>
                <c:pt idx="5">
                  <c:v>2017-02-06</c:v>
                </c:pt>
                <c:pt idx="6">
                  <c:v>2017-02-07</c:v>
                </c:pt>
                <c:pt idx="7">
                  <c:v>2017-02-08</c:v>
                </c:pt>
                <c:pt idx="8">
                  <c:v>2017-02-09</c:v>
                </c:pt>
                <c:pt idx="9">
                  <c:v>2017-02-10</c:v>
                </c:pt>
                <c:pt idx="10">
                  <c:v>2017-02-13</c:v>
                </c:pt>
                <c:pt idx="11">
                  <c:v>2017-02-14</c:v>
                </c:pt>
                <c:pt idx="12">
                  <c:v>2017-02-15</c:v>
                </c:pt>
                <c:pt idx="13">
                  <c:v>2017-02-16</c:v>
                </c:pt>
                <c:pt idx="14">
                  <c:v>2017-02-17</c:v>
                </c:pt>
                <c:pt idx="15">
                  <c:v>2017-02-20</c:v>
                </c:pt>
                <c:pt idx="16">
                  <c:v>2017-02-21</c:v>
                </c:pt>
                <c:pt idx="17">
                  <c:v>2017-02-22</c:v>
                </c:pt>
                <c:pt idx="18">
                  <c:v>2017-02-23</c:v>
                </c:pt>
                <c:pt idx="19">
                  <c:v>2017-02-24</c:v>
                </c:pt>
                <c:pt idx="20">
                  <c:v>2017-02-27</c:v>
                </c:pt>
                <c:pt idx="21">
                  <c:v>2017-02-28</c:v>
                </c:pt>
                <c:pt idx="22">
                  <c:v>2017-03-01</c:v>
                </c:pt>
                <c:pt idx="23">
                  <c:v>2017-03-02</c:v>
                </c:pt>
                <c:pt idx="24">
                  <c:v>2017-03-03</c:v>
                </c:pt>
                <c:pt idx="25">
                  <c:v>2017-03-06</c:v>
                </c:pt>
                <c:pt idx="26">
                  <c:v>2017-03-07</c:v>
                </c:pt>
                <c:pt idx="27">
                  <c:v>2017-03-08</c:v>
                </c:pt>
                <c:pt idx="28">
                  <c:v>2017-03-09</c:v>
                </c:pt>
                <c:pt idx="29">
                  <c:v>2017-03-10</c:v>
                </c:pt>
                <c:pt idx="30">
                  <c:v>2017-03-13</c:v>
                </c:pt>
                <c:pt idx="31">
                  <c:v>2017-03-14</c:v>
                </c:pt>
                <c:pt idx="32">
                  <c:v>2017-03-15</c:v>
                </c:pt>
                <c:pt idx="33">
                  <c:v>2017-03-16</c:v>
                </c:pt>
                <c:pt idx="34">
                  <c:v>2017-03-17</c:v>
                </c:pt>
                <c:pt idx="35">
                  <c:v>2017-03-20</c:v>
                </c:pt>
                <c:pt idx="36">
                  <c:v>2017-03-21</c:v>
                </c:pt>
                <c:pt idx="37">
                  <c:v>2017-03-22</c:v>
                </c:pt>
                <c:pt idx="38">
                  <c:v>2017-03-23</c:v>
                </c:pt>
                <c:pt idx="39">
                  <c:v>2017-03-24</c:v>
                </c:pt>
                <c:pt idx="40">
                  <c:v>2017-03-27</c:v>
                </c:pt>
                <c:pt idx="41">
                  <c:v>2017-03-28</c:v>
                </c:pt>
                <c:pt idx="42">
                  <c:v>2017-03-29</c:v>
                </c:pt>
                <c:pt idx="43">
                  <c:v>2017-03-30</c:v>
                </c:pt>
                <c:pt idx="44">
                  <c:v>2017-03-31</c:v>
                </c:pt>
                <c:pt idx="45">
                  <c:v>2017-04-03</c:v>
                </c:pt>
                <c:pt idx="46">
                  <c:v>2017-04-04</c:v>
                </c:pt>
                <c:pt idx="47">
                  <c:v>2017-04-05</c:v>
                </c:pt>
                <c:pt idx="48">
                  <c:v>2017-04-06</c:v>
                </c:pt>
                <c:pt idx="49">
                  <c:v>2017-04-07</c:v>
                </c:pt>
                <c:pt idx="50">
                  <c:v>2017-04-10</c:v>
                </c:pt>
                <c:pt idx="51">
                  <c:v>2017-04-11</c:v>
                </c:pt>
                <c:pt idx="52">
                  <c:v>2017-04-12</c:v>
                </c:pt>
                <c:pt idx="53">
                  <c:v>2017-04-13</c:v>
                </c:pt>
                <c:pt idx="54">
                  <c:v>2017-04-14</c:v>
                </c:pt>
                <c:pt idx="55">
                  <c:v>2017-04-17</c:v>
                </c:pt>
                <c:pt idx="56">
                  <c:v>2017-04-18</c:v>
                </c:pt>
                <c:pt idx="57">
                  <c:v>2017-04-19</c:v>
                </c:pt>
                <c:pt idx="58">
                  <c:v>2017-04-20</c:v>
                </c:pt>
                <c:pt idx="59">
                  <c:v>2017-04-21</c:v>
                </c:pt>
                <c:pt idx="60">
                  <c:v>2017-04-24</c:v>
                </c:pt>
                <c:pt idx="61">
                  <c:v>2017-04-25</c:v>
                </c:pt>
                <c:pt idx="62">
                  <c:v>2017-04-26</c:v>
                </c:pt>
                <c:pt idx="63">
                  <c:v>2017-04-27</c:v>
                </c:pt>
                <c:pt idx="64">
                  <c:v>2017-04-28</c:v>
                </c:pt>
                <c:pt idx="65">
                  <c:v>2017-05-01</c:v>
                </c:pt>
                <c:pt idx="66">
                  <c:v>2017-05-02</c:v>
                </c:pt>
                <c:pt idx="67">
                  <c:v>2017-05-03</c:v>
                </c:pt>
                <c:pt idx="68">
                  <c:v>2017-05-04</c:v>
                </c:pt>
                <c:pt idx="69">
                  <c:v>2017-05-05</c:v>
                </c:pt>
                <c:pt idx="70">
                  <c:v>2017-05-08</c:v>
                </c:pt>
                <c:pt idx="71">
                  <c:v>2017-05-09</c:v>
                </c:pt>
                <c:pt idx="72">
                  <c:v>2017-05-10</c:v>
                </c:pt>
                <c:pt idx="73">
                  <c:v>2017-05-11</c:v>
                </c:pt>
                <c:pt idx="74">
                  <c:v>2017-05-12</c:v>
                </c:pt>
                <c:pt idx="75">
                  <c:v>2017-05-15</c:v>
                </c:pt>
                <c:pt idx="76">
                  <c:v>2017-05-16</c:v>
                </c:pt>
                <c:pt idx="77">
                  <c:v>2017-05-17</c:v>
                </c:pt>
                <c:pt idx="78">
                  <c:v>2017-05-18</c:v>
                </c:pt>
                <c:pt idx="79">
                  <c:v>2017-05-19</c:v>
                </c:pt>
                <c:pt idx="80">
                  <c:v>2017-05-22</c:v>
                </c:pt>
                <c:pt idx="81">
                  <c:v>2017-05-23</c:v>
                </c:pt>
              </c:strCache>
            </c:strRef>
          </c:cat>
          <c:val>
            <c:numRef>
              <c:f>Цены!$B$2:$B$83</c:f>
              <c:numCache>
                <c:formatCode>General</c:formatCode>
                <c:ptCount val="82"/>
                <c:pt idx="0">
                  <c:v>2234.14</c:v>
                </c:pt>
                <c:pt idx="1">
                  <c:v>2217.39</c:v>
                </c:pt>
                <c:pt idx="2">
                  <c:v>2231.6799999999998</c:v>
                </c:pt>
                <c:pt idx="3">
                  <c:v>2217.56</c:v>
                </c:pt>
                <c:pt idx="4">
                  <c:v>2226.61</c:v>
                </c:pt>
                <c:pt idx="5">
                  <c:v>2210.5100000000002</c:v>
                </c:pt>
                <c:pt idx="6">
                  <c:v>2218.77</c:v>
                </c:pt>
                <c:pt idx="7">
                  <c:v>2189.61</c:v>
                </c:pt>
                <c:pt idx="8">
                  <c:v>2173.98</c:v>
                </c:pt>
                <c:pt idx="9">
                  <c:v>2162.19</c:v>
                </c:pt>
                <c:pt idx="10">
                  <c:v>2161.4899999999998</c:v>
                </c:pt>
                <c:pt idx="11">
                  <c:v>2141.5</c:v>
                </c:pt>
                <c:pt idx="12">
                  <c:v>2137.08</c:v>
                </c:pt>
                <c:pt idx="13">
                  <c:v>2148.48</c:v>
                </c:pt>
                <c:pt idx="14">
                  <c:v>2128.21</c:v>
                </c:pt>
                <c:pt idx="15">
                  <c:v>2119.09</c:v>
                </c:pt>
                <c:pt idx="16">
                  <c:v>2127.7199999999998</c:v>
                </c:pt>
                <c:pt idx="17">
                  <c:v>2106.3000000000002</c:v>
                </c:pt>
                <c:pt idx="18">
                  <c:v>2106.3000000000002</c:v>
                </c:pt>
                <c:pt idx="19">
                  <c:v>2093.09</c:v>
                </c:pt>
                <c:pt idx="20">
                  <c:v>2056.46</c:v>
                </c:pt>
                <c:pt idx="21">
                  <c:v>2035.77</c:v>
                </c:pt>
                <c:pt idx="22">
                  <c:v>2059.87</c:v>
                </c:pt>
                <c:pt idx="23">
                  <c:v>2049</c:v>
                </c:pt>
                <c:pt idx="24">
                  <c:v>2056.89</c:v>
                </c:pt>
                <c:pt idx="25">
                  <c:v>2047.42</c:v>
                </c:pt>
                <c:pt idx="26">
                  <c:v>2024.84</c:v>
                </c:pt>
                <c:pt idx="27">
                  <c:v>2024.84</c:v>
                </c:pt>
                <c:pt idx="28">
                  <c:v>1974.24</c:v>
                </c:pt>
                <c:pt idx="29">
                  <c:v>1973.96</c:v>
                </c:pt>
                <c:pt idx="30">
                  <c:v>2000.14</c:v>
                </c:pt>
                <c:pt idx="31">
                  <c:v>2001.25</c:v>
                </c:pt>
                <c:pt idx="32">
                  <c:v>1992.59</c:v>
                </c:pt>
                <c:pt idx="33">
                  <c:v>2014.37</c:v>
                </c:pt>
                <c:pt idx="34">
                  <c:v>2036.96</c:v>
                </c:pt>
                <c:pt idx="35">
                  <c:v>2042.72</c:v>
                </c:pt>
                <c:pt idx="36">
                  <c:v>2048.0700000000002</c:v>
                </c:pt>
                <c:pt idx="37">
                  <c:v>2061.5300000000002</c:v>
                </c:pt>
                <c:pt idx="38">
                  <c:v>2051.04</c:v>
                </c:pt>
                <c:pt idx="39">
                  <c:v>2039.77</c:v>
                </c:pt>
                <c:pt idx="40">
                  <c:v>2013.16</c:v>
                </c:pt>
                <c:pt idx="41">
                  <c:v>2032.54</c:v>
                </c:pt>
                <c:pt idx="42">
                  <c:v>2023.71</c:v>
                </c:pt>
                <c:pt idx="43">
                  <c:v>2021.88</c:v>
                </c:pt>
                <c:pt idx="44">
                  <c:v>1995.9</c:v>
                </c:pt>
                <c:pt idx="45">
                  <c:v>2008.61</c:v>
                </c:pt>
                <c:pt idx="46">
                  <c:v>2025.69</c:v>
                </c:pt>
                <c:pt idx="47">
                  <c:v>2056.3200000000002</c:v>
                </c:pt>
                <c:pt idx="48">
                  <c:v>2054.69</c:v>
                </c:pt>
                <c:pt idx="49">
                  <c:v>2020.23</c:v>
                </c:pt>
                <c:pt idx="50">
                  <c:v>1971.23</c:v>
                </c:pt>
                <c:pt idx="51">
                  <c:v>1977.95</c:v>
                </c:pt>
                <c:pt idx="52">
                  <c:v>1947.88</c:v>
                </c:pt>
                <c:pt idx="53">
                  <c:v>1944.7</c:v>
                </c:pt>
                <c:pt idx="54">
                  <c:v>1916.29</c:v>
                </c:pt>
                <c:pt idx="55">
                  <c:v>1942.72</c:v>
                </c:pt>
                <c:pt idx="56">
                  <c:v>1920.29</c:v>
                </c:pt>
                <c:pt idx="57">
                  <c:v>1916.5</c:v>
                </c:pt>
                <c:pt idx="58">
                  <c:v>1932.17</c:v>
                </c:pt>
                <c:pt idx="59">
                  <c:v>1944.72</c:v>
                </c:pt>
                <c:pt idx="60">
                  <c:v>1979.57</c:v>
                </c:pt>
                <c:pt idx="61">
                  <c:v>1998.41</c:v>
                </c:pt>
                <c:pt idx="62">
                  <c:v>2026.92</c:v>
                </c:pt>
                <c:pt idx="63">
                  <c:v>2011.67</c:v>
                </c:pt>
                <c:pt idx="64">
                  <c:v>2016.71</c:v>
                </c:pt>
                <c:pt idx="65">
                  <c:v>2016.71</c:v>
                </c:pt>
                <c:pt idx="66">
                  <c:v>2026.85</c:v>
                </c:pt>
                <c:pt idx="67">
                  <c:v>1993.66</c:v>
                </c:pt>
                <c:pt idx="68">
                  <c:v>1998.87</c:v>
                </c:pt>
                <c:pt idx="69">
                  <c:v>2002.41</c:v>
                </c:pt>
                <c:pt idx="70">
                  <c:v>2002.41</c:v>
                </c:pt>
                <c:pt idx="71">
                  <c:v>2002.41</c:v>
                </c:pt>
                <c:pt idx="72">
                  <c:v>2028.21</c:v>
                </c:pt>
                <c:pt idx="73">
                  <c:v>2002.54</c:v>
                </c:pt>
                <c:pt idx="74">
                  <c:v>1994.58</c:v>
                </c:pt>
                <c:pt idx="75">
                  <c:v>2003.12</c:v>
                </c:pt>
                <c:pt idx="76">
                  <c:v>1992.94</c:v>
                </c:pt>
                <c:pt idx="77">
                  <c:v>1994.35</c:v>
                </c:pt>
                <c:pt idx="78">
                  <c:v>1967.66</c:v>
                </c:pt>
                <c:pt idx="79">
                  <c:v>1962.4</c:v>
                </c:pt>
                <c:pt idx="80">
                  <c:v>1950.51</c:v>
                </c:pt>
                <c:pt idx="81">
                  <c:v>1960.16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80-9A47-A579-DAD07C262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5563264"/>
        <c:axId val="1589892512"/>
      </c:lineChart>
      <c:catAx>
        <c:axId val="212556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9892512"/>
        <c:crosses val="autoZero"/>
        <c:auto val="1"/>
        <c:lblAlgn val="ctr"/>
        <c:lblOffset val="100"/>
        <c:noMultiLvlLbl val="0"/>
      </c:catAx>
      <c:valAx>
        <c:axId val="158989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2556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463550</xdr:colOff>
      <xdr:row>99</xdr:row>
      <xdr:rowOff>177800</xdr:rowOff>
    </xdr:from>
    <xdr:to>
      <xdr:col>12</xdr:col>
      <xdr:colOff>444500</xdr:colOff>
      <xdr:row>117</xdr:row>
      <xdr:rowOff>177800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D5560DE-4E08-4D4E-A35C-63B697C06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2"/>
  <sheetViews>
    <sheetView tabSelected="1" workbookViewId="0">
      <selection activeCell="B14" sqref="B14"/>
    </sheetView>
  </sheetViews>
  <sheetFormatPr baseColWidth="10" defaultColWidth="8.83203125" defaultRowHeight="15" x14ac:dyDescent="0.2"/>
  <cols>
    <col min="1" max="1" width="15.83203125" bestFit="1" customWidth="1"/>
    <col min="2" max="2" width="23.5" bestFit="1" customWidth="1"/>
    <col min="3" max="4" width="7.33203125" customWidth="1"/>
    <col min="5" max="5" width="8.83203125" customWidth="1"/>
    <col min="6" max="6" width="8.5" bestFit="1" customWidth="1"/>
    <col min="7" max="7" width="7.6640625" customWidth="1"/>
    <col min="8" max="8" width="8.5" bestFit="1" customWidth="1"/>
    <col min="9" max="9" width="8.6640625" customWidth="1"/>
    <col min="10" max="10" width="8.5" bestFit="1" customWidth="1"/>
    <col min="11" max="11" width="8.33203125" customWidth="1"/>
    <col min="12" max="12" width="8.5" bestFit="1" customWidth="1"/>
  </cols>
  <sheetData>
    <row r="1" spans="1:15" x14ac:dyDescent="0.2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</row>
    <row r="2" spans="1:15" x14ac:dyDescent="0.2">
      <c r="A2" t="s">
        <v>57</v>
      </c>
      <c r="B2" s="32" t="s">
        <v>55</v>
      </c>
      <c r="C2" s="19"/>
      <c r="D2" s="19"/>
      <c r="E2" s="20" t="s">
        <v>162</v>
      </c>
      <c r="F2" s="20"/>
      <c r="G2" s="20"/>
      <c r="H2" s="20"/>
      <c r="I2" s="20"/>
      <c r="J2" s="20"/>
      <c r="K2" s="21" t="s">
        <v>61</v>
      </c>
      <c r="L2" s="22"/>
      <c r="M2" s="32"/>
      <c r="N2" s="32"/>
      <c r="O2" s="32"/>
    </row>
    <row r="3" spans="1:15" x14ac:dyDescent="0.2">
      <c r="A3" t="s">
        <v>62</v>
      </c>
      <c r="B3" s="32" t="s">
        <v>161</v>
      </c>
      <c r="C3" s="19"/>
      <c r="D3" s="19"/>
      <c r="E3" s="25" t="s">
        <v>58</v>
      </c>
      <c r="F3" s="25"/>
      <c r="G3" s="25" t="s">
        <v>59</v>
      </c>
      <c r="H3" s="25"/>
      <c r="I3" s="25" t="s">
        <v>60</v>
      </c>
      <c r="J3" s="25"/>
      <c r="K3" s="23"/>
      <c r="L3" s="24"/>
      <c r="M3" s="32"/>
      <c r="N3" s="32"/>
      <c r="O3" s="32"/>
    </row>
    <row r="4" spans="1:15" ht="14.5" customHeight="1" x14ac:dyDescent="0.2">
      <c r="B4" s="32"/>
      <c r="C4" s="26" t="str">
        <f>"Рекомендации "&amp;B2</f>
        <v>Рекомендации Fama-French</v>
      </c>
      <c r="D4" s="29" t="s">
        <v>58</v>
      </c>
      <c r="E4" s="4" t="s">
        <v>163</v>
      </c>
      <c r="F4" s="5">
        <f>COUNTIF(Доходности!$D$105:$AT$105,1)</f>
        <v>22</v>
      </c>
      <c r="G4" s="4" t="s">
        <v>163</v>
      </c>
      <c r="H4" s="5">
        <f>COUNTIF(Доходности!$D$105:$AT$105,2)</f>
        <v>1</v>
      </c>
      <c r="I4" s="4" t="s">
        <v>163</v>
      </c>
      <c r="J4" s="5">
        <f>COUNTIF(Доходности!$D$105:$AT$105,3)</f>
        <v>4</v>
      </c>
      <c r="K4" s="4" t="s">
        <v>163</v>
      </c>
      <c r="L4" s="5">
        <f>F4+H4+J4</f>
        <v>27</v>
      </c>
      <c r="M4" s="32"/>
      <c r="N4" s="32"/>
      <c r="O4" s="32"/>
    </row>
    <row r="5" spans="1:15" x14ac:dyDescent="0.2">
      <c r="B5" s="32"/>
      <c r="C5" s="27"/>
      <c r="D5" s="30"/>
      <c r="E5" s="37" t="s">
        <v>164</v>
      </c>
      <c r="F5" s="7"/>
      <c r="G5" s="37" t="s">
        <v>164</v>
      </c>
      <c r="H5" s="7"/>
      <c r="I5" s="37" t="s">
        <v>164</v>
      </c>
      <c r="J5" s="7"/>
      <c r="K5" s="37" t="s">
        <v>164</v>
      </c>
      <c r="L5" s="7"/>
      <c r="M5" s="32"/>
      <c r="N5" s="32"/>
      <c r="O5" s="32"/>
    </row>
    <row r="6" spans="1:15" x14ac:dyDescent="0.2">
      <c r="B6" s="32"/>
      <c r="C6" s="27"/>
      <c r="D6" s="30"/>
      <c r="E6" s="6">
        <v>1</v>
      </c>
      <c r="F6" s="9">
        <f ca="1">IFERROR(SUMIF(Доходности!$D$105:$AT$105,1,INDIRECT("Доходности!D"&amp;(2+Summary!E6)&amp;":AW"&amp;(2+Summary!E6)))/COUNTIF(Доходности!$D$105:$AT$105,1)-IF($B$3="Обычные",0,INDIRECT("Доходности!C"&amp;(2+Summary!E6))),"")</f>
        <v>7.1791943213716887E-3</v>
      </c>
      <c r="G6" s="6">
        <v>1</v>
      </c>
      <c r="H6" s="9">
        <f ca="1">IFERROR(SUMIF(Доходности!$D$105:$AT$105,2,INDIRECT("Доходности!D"&amp;(2+Summary!G6)&amp;":AW"&amp;(2+Summary!G6)))/COUNTIF(Доходности!$D$105:$AT$105,2)-IF($B$3="Обычные",0,INDIRECT("Доходности!C"&amp;(2+Summary!G6))),"")</f>
        <v>-7.4342716436471001E-3</v>
      </c>
      <c r="I6" s="6">
        <v>1</v>
      </c>
      <c r="J6" s="9">
        <f ca="1">IFERROR(SUMIF(Доходности!$D$105:$AT$105,3,INDIRECT("Доходности!D"&amp;(2+Summary!I6)&amp;":AW"&amp;(2+Summary!I6)))/COUNTIF(Доходности!$D$105:$AT$105,3)-IF($B$3="Обычные",0,INDIRECT("Доходности!C"&amp;(2+Summary!I6))),"")</f>
        <v>9.1979510754636191E-3</v>
      </c>
      <c r="K6" s="6">
        <v>1</v>
      </c>
      <c r="L6" s="9">
        <f ca="1">(IF(F6="",0,F6)*$F$4+IF(H6="",0,H6)*$H$4+IF(J6="",0,J6)*$J$4)/$L$4</f>
        <v>6.9370299158660938E-3</v>
      </c>
      <c r="M6" s="32"/>
      <c r="N6" s="32"/>
      <c r="O6" s="32"/>
    </row>
    <row r="7" spans="1:15" x14ac:dyDescent="0.2">
      <c r="B7" s="32"/>
      <c r="C7" s="27"/>
      <c r="D7" s="30"/>
      <c r="E7" s="6">
        <v>10</v>
      </c>
      <c r="F7" s="9">
        <f ca="1">IFERROR(SUMIF(Доходности!$D$105:$AT$105,1,INDIRECT("Доходности!D"&amp;(2+Summary!E7)&amp;":AW"&amp;(2+Summary!E7)))/COUNTIF(Доходности!$D$105:$AT$105,1)-IF($B$3="Обычные",0,INDIRECT("Доходности!C"&amp;(2+Summary!E7))),"")</f>
        <v>2.7269225622496965E-2</v>
      </c>
      <c r="G7" s="6">
        <v>10</v>
      </c>
      <c r="H7" s="9">
        <f ca="1">IFERROR(SUMIF(Доходности!$D$105:$AT$105,2,INDIRECT("Доходности!D"&amp;(2+Summary!G7)&amp;":AW"&amp;(2+Summary!G7)))/COUNTIF(Доходности!$D$105:$AT$105,2)-IF($B$3="Обычные",0,INDIRECT("Доходности!C"&amp;(2+Summary!G7))),"")</f>
        <v>-8.4400032678663486E-3</v>
      </c>
      <c r="I7" s="6">
        <v>10</v>
      </c>
      <c r="J7" s="9">
        <f ca="1">IFERROR(SUMIF(Доходности!$D$105:$AT$105,3,INDIRECT("Доходности!D"&amp;(2+Summary!I7)&amp;":AW"&amp;(2+Summary!I7)))/COUNTIF(Доходности!$D$105:$AT$105,3)-IF($B$3="Обычные",0,INDIRECT("Доходности!C"&amp;(2+Summary!I7))),"")</f>
        <v>4.824363579589229E-3</v>
      </c>
      <c r="K7" s="6">
        <v>10</v>
      </c>
      <c r="L7" s="9">
        <f t="shared" ref="L7:L8" ca="1" si="0">(IF(F7="",0,F7)*$F$4+IF(H7="",0,H7)*$H$4+IF(J7="",0,J7)*$J$4)/$L$4</f>
        <v>2.2621496842423108E-2</v>
      </c>
      <c r="M7" s="32"/>
      <c r="N7" s="32"/>
      <c r="O7" s="32"/>
    </row>
    <row r="8" spans="1:15" x14ac:dyDescent="0.2">
      <c r="B8" s="32"/>
      <c r="C8" s="27"/>
      <c r="D8" s="30"/>
      <c r="E8" s="6">
        <v>30</v>
      </c>
      <c r="F8" s="9">
        <f ca="1">IFERROR(SUMIF(Доходности!$D$105:$AT$105,1,INDIRECT("Доходности!D"&amp;(2+Summary!E8)&amp;":AW"&amp;(2+Summary!E8)))/COUNTIF(Доходности!$D$105:$AT$105,1)-IF($B$3="Обычные",0,INDIRECT("Доходности!C"&amp;(2+Summary!E8))),"")</f>
        <v>-4.2674125970656174E-3</v>
      </c>
      <c r="G8" s="6">
        <v>30</v>
      </c>
      <c r="H8" s="9">
        <f ca="1">IFERROR(SUMIF(Доходности!$D$105:$AT$105,2,INDIRECT("Доходности!D"&amp;(2+Summary!G8)&amp;":AW"&amp;(2+Summary!G8)))/COUNTIF(Доходности!$D$105:$AT$105,2)-IF($B$3="Обычные",0,INDIRECT("Доходности!C"&amp;(2+Summary!G8))),"")</f>
        <v>-5.4013266812754424E-2</v>
      </c>
      <c r="I8" s="6">
        <v>30</v>
      </c>
      <c r="J8" s="9">
        <f ca="1">IFERROR(SUMIF(Доходности!$D$105:$AT$105,3,INDIRECT("Доходности!D"&amp;(2+Summary!I8)&amp;":AW"&amp;(2+Summary!I8)))/COUNTIF(Доходности!$D$105:$AT$105,3)-IF($B$3="Обычные",0,INDIRECT("Доходности!C"&amp;(2+Summary!I8))),"")</f>
        <v>-1.5863516893080964E-3</v>
      </c>
      <c r="K8" s="6">
        <v>30</v>
      </c>
      <c r="L8" s="9">
        <f t="shared" ca="1" si="0"/>
        <v>-5.7126574335344587E-3</v>
      </c>
      <c r="M8" s="32"/>
      <c r="N8" s="32"/>
      <c r="O8" s="32"/>
    </row>
    <row r="9" spans="1:15" x14ac:dyDescent="0.2">
      <c r="B9" s="32"/>
      <c r="C9" s="27"/>
      <c r="D9" s="31"/>
      <c r="E9" s="8">
        <v>60</v>
      </c>
      <c r="F9" s="9">
        <f ca="1">IFERROR(SUMIF(Доходности!$D$105:$AT$105,1,INDIRECT("Доходности!D"&amp;(2+Summary!E9)&amp;":AW"&amp;(2+Summary!E9)))/COUNTIF(Доходности!$D$105:$AT$105,1)-IF($B$3="Обычные",0,INDIRECT("Доходности!C"&amp;(2+Summary!E9))),"")</f>
        <v>3.7840164789994177E-2</v>
      </c>
      <c r="G9" s="8">
        <v>60</v>
      </c>
      <c r="H9" s="9">
        <f ca="1">IFERROR(SUMIF(Доходности!$D$105:$AT$105,2,INDIRECT("Доходности!D"&amp;(2+Summary!G9)&amp;":AW"&amp;(2+Summary!G9)))/COUNTIF(Доходности!$D$105:$AT$105,2)-IF($B$3="Обычные",0,INDIRECT("Доходности!C"&amp;(2+Summary!G9))),"")</f>
        <v>-7.3736049213031146E-2</v>
      </c>
      <c r="I9" s="8">
        <v>60</v>
      </c>
      <c r="J9" s="9">
        <f ca="1">IFERROR(SUMIF(Доходности!$D$105:$AT$105,3,INDIRECT("Доходности!D"&amp;(2+Summary!I9)&amp;":AW"&amp;(2+Summary!I9)))/COUNTIF(Доходности!$D$105:$AT$105,3)-IF($B$3="Обычные",0,INDIRECT("Доходности!C"&amp;(2+Summary!I9))),"")</f>
        <v>-1.3705172102035146E-2</v>
      </c>
      <c r="K9" s="8">
        <v>60</v>
      </c>
      <c r="L9" s="9">
        <f ca="1">(IF(F9="",0,F9)*$F$4+IF(H9="",0,H9)*$H$4+IF(J9="",0,J9)*$J$4)/$L$4</f>
        <v>2.607136621328519E-2</v>
      </c>
      <c r="M9" s="32"/>
      <c r="N9" s="32"/>
      <c r="O9" s="32"/>
    </row>
    <row r="10" spans="1:15" x14ac:dyDescent="0.2">
      <c r="B10" s="32"/>
      <c r="C10" s="27"/>
      <c r="D10" s="29" t="s">
        <v>59</v>
      </c>
      <c r="E10" s="4" t="s">
        <v>163</v>
      </c>
      <c r="F10" s="5">
        <f>COUNTIF(Доходности!$D$105:$AT$105,4)</f>
        <v>2</v>
      </c>
      <c r="G10" s="4" t="s">
        <v>163</v>
      </c>
      <c r="H10" s="5">
        <f>COUNTIF(Доходности!$D$105:$AT$105,5)</f>
        <v>0</v>
      </c>
      <c r="I10" s="4" t="s">
        <v>163</v>
      </c>
      <c r="J10" s="5">
        <f>COUNTIF(Доходности!$D$105:$AT$105,6)</f>
        <v>3</v>
      </c>
      <c r="K10" s="4" t="s">
        <v>163</v>
      </c>
      <c r="L10" s="5">
        <f>F10+H10+J10</f>
        <v>5</v>
      </c>
      <c r="M10" s="32"/>
      <c r="N10" s="32"/>
      <c r="O10" s="32"/>
    </row>
    <row r="11" spans="1:15" x14ac:dyDescent="0.2">
      <c r="B11" s="33"/>
      <c r="C11" s="27"/>
      <c r="D11" s="30"/>
      <c r="E11" s="37" t="s">
        <v>164</v>
      </c>
      <c r="F11" s="7"/>
      <c r="G11" s="37" t="s">
        <v>164</v>
      </c>
      <c r="H11" s="7"/>
      <c r="I11" s="37" t="s">
        <v>164</v>
      </c>
      <c r="J11" s="7"/>
      <c r="K11" s="37" t="s">
        <v>164</v>
      </c>
      <c r="L11" s="7"/>
      <c r="M11" s="32"/>
      <c r="N11" s="32"/>
      <c r="O11" s="32"/>
    </row>
    <row r="12" spans="1:15" x14ac:dyDescent="0.2">
      <c r="B12" s="32"/>
      <c r="C12" s="27"/>
      <c r="D12" s="30"/>
      <c r="E12" s="6">
        <v>1</v>
      </c>
      <c r="F12" s="9">
        <f ca="1">IFERROR(SUMIF(Доходности!$D$105:$AT$105,4,INDIRECT("Доходности!D"&amp;(2+Summary!E12)&amp;":AW"&amp;(2+Summary!E12)))/COUNTIF(Доходности!$D$105:$AT$105,4)-IF($B$3="Обычные",0,INDIRECT("Доходности!C"&amp;(2+Summary!E12))),"")</f>
        <v>3.5402976293355815E-3</v>
      </c>
      <c r="G12" s="6">
        <v>1</v>
      </c>
      <c r="H12" s="9" t="str">
        <f ca="1">IFERROR(SUMIF(Доходности!$D$105:$AT$105,5,INDIRECT("Доходности!D"&amp;(2+Summary!G12)&amp;":AW"&amp;(2+Summary!G12)))/COUNTIF(Доходности!$D$105:$AT$105,5)-IF($B$3="Обычные",0,INDIRECT("Доходности!C"&amp;(2+Summary!G12))),"")</f>
        <v/>
      </c>
      <c r="I12" s="6">
        <v>1</v>
      </c>
      <c r="J12" s="9">
        <f ca="1">IFERROR(SUMIF(Доходности!$D$105:$AT$105,6,INDIRECT("Доходности!D"&amp;(2+Summary!I12)&amp;":AW"&amp;(2+Summary!I12)))/COUNTIF(Доходности!$D$105:$AT$105,6)-IF($B$3="Обычные",0,INDIRECT("Доходности!C"&amp;(2+Summary!I12))),"")</f>
        <v>1.211061172360762E-2</v>
      </c>
      <c r="K12" s="6">
        <v>1</v>
      </c>
      <c r="L12" s="9">
        <f ca="1">(IF(F12="",0,F12)*$F$10+IF(H12="",0,H12)*$H$10+IF(J12="",0,J12)*$J$10)/$L$10</f>
        <v>8.6824860858988051E-3</v>
      </c>
      <c r="M12" s="32"/>
      <c r="N12" s="32"/>
      <c r="O12" s="32"/>
    </row>
    <row r="13" spans="1:15" x14ac:dyDescent="0.2">
      <c r="B13" s="32"/>
      <c r="C13" s="27"/>
      <c r="D13" s="30"/>
      <c r="E13" s="6">
        <v>10</v>
      </c>
      <c r="F13" s="9">
        <f ca="1">IFERROR(SUMIF(Доходности!$D$105:$AT$105,4,INDIRECT("Доходности!D"&amp;(2+Summary!E13)&amp;":AW"&amp;(2+Summary!E13)))/COUNTIF(Доходности!$D$105:$AT$105,4)-IF($B$3="Обычные",0,INDIRECT("Доходности!C"&amp;(2+Summary!E13))),"")</f>
        <v>7.2666592421723394E-3</v>
      </c>
      <c r="G13" s="6">
        <v>10</v>
      </c>
      <c r="H13" s="9" t="str">
        <f ca="1">IFERROR(SUMIF(Доходности!$D$105:$AT$105,5,INDIRECT("Доходности!D"&amp;(2+Summary!G13)&amp;":AW"&amp;(2+Summary!G13)))/COUNTIF(Доходности!$D$105:$AT$105,5)-IF($B$3="Обычные",0,INDIRECT("Доходности!C"&amp;(2+Summary!G13))),"")</f>
        <v/>
      </c>
      <c r="I13" s="6">
        <v>10</v>
      </c>
      <c r="J13" s="9">
        <f ca="1">IFERROR(SUMIF(Доходности!$D$105:$AT$105,6,INDIRECT("Доходности!D"&amp;(2+Summary!I13)&amp;":AW"&amp;(2+Summary!I13)))/COUNTIF(Доходности!$D$105:$AT$105,6)-IF($B$3="Обычные",0,INDIRECT("Доходности!C"&amp;(2+Summary!I13))),"")</f>
        <v>2.3431917317290642E-2</v>
      </c>
      <c r="K13" s="6">
        <v>10</v>
      </c>
      <c r="L13" s="9">
        <f t="shared" ref="L13:L15" ca="1" si="1">(IF(F13="",0,F13)*$F$10+IF(H13="",0,H13)*$H$10+IF(J13="",0,J13)*$J$10)/$L$10</f>
        <v>1.6965814087243323E-2</v>
      </c>
      <c r="M13" s="32"/>
      <c r="N13" s="32"/>
      <c r="O13" s="32"/>
    </row>
    <row r="14" spans="1:15" x14ac:dyDescent="0.2">
      <c r="B14" s="32"/>
      <c r="C14" s="27"/>
      <c r="D14" s="30"/>
      <c r="E14" s="6">
        <v>30</v>
      </c>
      <c r="F14" s="9">
        <f ca="1">IFERROR(SUMIF(Доходности!$D$105:$AT$105,4,INDIRECT("Доходности!D"&amp;(2+Summary!E14)&amp;":AW"&amp;(2+Summary!E14)))/COUNTIF(Доходности!$D$105:$AT$105,4)-IF($B$3="Обычные",0,INDIRECT("Доходности!C"&amp;(2+Summary!E14))),"")</f>
        <v>4.7801363240741128E-2</v>
      </c>
      <c r="G14" s="6">
        <v>30</v>
      </c>
      <c r="H14" s="9" t="str">
        <f ca="1">IFERROR(SUMIF(Доходности!$D$105:$AT$105,5,INDIRECT("Доходности!D"&amp;(2+Summary!G14)&amp;":AW"&amp;(2+Summary!G14)))/COUNTIF(Доходности!$D$105:$AT$105,5)-IF($B$3="Обычные",0,INDIRECT("Доходности!C"&amp;(2+Summary!G14))),"")</f>
        <v/>
      </c>
      <c r="I14" s="6">
        <v>30</v>
      </c>
      <c r="J14" s="9">
        <f ca="1">IFERROR(SUMIF(Доходности!$D$105:$AT$105,6,INDIRECT("Доходности!D"&amp;(2+Summary!I14)&amp;":AW"&amp;(2+Summary!I14)))/COUNTIF(Доходности!$D$105:$AT$105,6)-IF($B$3="Обычные",0,INDIRECT("Доходности!C"&amp;(2+Summary!I14))),"")</f>
        <v>4.8600248756272661E-2</v>
      </c>
      <c r="K14" s="6">
        <v>30</v>
      </c>
      <c r="L14" s="9">
        <f t="shared" ca="1" si="1"/>
        <v>4.8280694550060045E-2</v>
      </c>
      <c r="M14" s="32"/>
      <c r="N14" s="32"/>
      <c r="O14" s="32"/>
    </row>
    <row r="15" spans="1:15" x14ac:dyDescent="0.2">
      <c r="B15" s="32"/>
      <c r="C15" s="27"/>
      <c r="D15" s="31"/>
      <c r="E15" s="8">
        <v>60</v>
      </c>
      <c r="F15" s="9">
        <f ca="1">IFERROR(SUMIF(Доходности!$D$105:$AT$105,4,INDIRECT("Доходности!D"&amp;(2+Summary!E15)&amp;":AW"&amp;(2+Summary!E15)))/COUNTIF(Доходности!$D$105:$AT$105,4)-IF($B$3="Обычные",0,INDIRECT("Доходности!C"&amp;(2+Summary!E15))),"")</f>
        <v>-1.6197076257711607E-2</v>
      </c>
      <c r="G15" s="8">
        <v>60</v>
      </c>
      <c r="H15" s="9" t="str">
        <f ca="1">IFERROR(SUMIF(Доходности!$D$105:$AT$105,5,INDIRECT("Доходности!D"&amp;(2+Summary!G15)&amp;":AW"&amp;(2+Summary!G15)))/COUNTIF(Доходности!$D$105:$AT$105,5)-IF($B$3="Обычные",0,INDIRECT("Доходности!C"&amp;(2+Summary!G15))),"")</f>
        <v/>
      </c>
      <c r="I15" s="8">
        <v>60</v>
      </c>
      <c r="J15" s="9">
        <f ca="1">IFERROR(SUMIF(Доходности!$D$105:$AT$105,6,INDIRECT("Доходности!D"&amp;(2+Summary!I15)&amp;":AW"&amp;(2+Summary!I15)))/COUNTIF(Доходности!$D$105:$AT$105,6)-IF($B$3="Обычные",0,INDIRECT("Доходности!C"&amp;(2+Summary!I15))),"")</f>
        <v>5.8823548806419844E-2</v>
      </c>
      <c r="K15" s="8">
        <v>60</v>
      </c>
      <c r="L15" s="9">
        <f t="shared" ca="1" si="1"/>
        <v>2.8815298780767263E-2</v>
      </c>
      <c r="M15" s="32"/>
      <c r="N15" s="32"/>
      <c r="O15" s="32"/>
    </row>
    <row r="16" spans="1:15" x14ac:dyDescent="0.2">
      <c r="B16" s="32"/>
      <c r="C16" s="27"/>
      <c r="D16" s="29" t="s">
        <v>60</v>
      </c>
      <c r="E16" s="4" t="s">
        <v>163</v>
      </c>
      <c r="F16" s="5">
        <f>COUNTIF(Доходности!$D$105:$AT$105,7)</f>
        <v>1</v>
      </c>
      <c r="G16" s="4" t="s">
        <v>163</v>
      </c>
      <c r="H16" s="5">
        <f>COUNTIF(Доходности!$D$105:$AT$105,8)</f>
        <v>0</v>
      </c>
      <c r="I16" s="4" t="s">
        <v>163</v>
      </c>
      <c r="J16" s="5">
        <f>COUNTIF(Доходности!$D$105:$AT$105,9)</f>
        <v>10</v>
      </c>
      <c r="K16" s="4" t="s">
        <v>163</v>
      </c>
      <c r="L16" s="5">
        <f>F16+H16+J16</f>
        <v>11</v>
      </c>
      <c r="M16" s="32"/>
      <c r="N16" s="32"/>
      <c r="O16" s="32"/>
    </row>
    <row r="17" spans="2:15" x14ac:dyDescent="0.2">
      <c r="B17" s="32"/>
      <c r="C17" s="27"/>
      <c r="D17" s="30"/>
      <c r="E17" s="37" t="s">
        <v>164</v>
      </c>
      <c r="F17" s="7"/>
      <c r="G17" s="37" t="s">
        <v>164</v>
      </c>
      <c r="H17" s="7"/>
      <c r="I17" s="37" t="s">
        <v>164</v>
      </c>
      <c r="J17" s="7"/>
      <c r="K17" s="37" t="s">
        <v>164</v>
      </c>
      <c r="L17" s="7"/>
      <c r="M17" s="32"/>
      <c r="N17" s="32"/>
      <c r="O17" s="32"/>
    </row>
    <row r="18" spans="2:15" x14ac:dyDescent="0.2">
      <c r="B18" s="32"/>
      <c r="C18" s="27"/>
      <c r="D18" s="30"/>
      <c r="E18" s="6">
        <v>1</v>
      </c>
      <c r="F18" s="9">
        <f ca="1">IFERROR(SUMIF(Доходности!$D$105:$AT$105,7,INDIRECT("Доходности!D"&amp;(2+Summary!E18)&amp;":AW"&amp;(2+Summary!E18)))/COUNTIF(Доходности!$D$105:$AT$105,7)-IF($B$3="Обычные",0,INDIRECT("Доходности!C"&amp;(2+Summary!E18))),"")</f>
        <v>-9.3246541468909681E-3</v>
      </c>
      <c r="G18" s="6">
        <v>1</v>
      </c>
      <c r="H18" s="9" t="str">
        <f ca="1">IFERROR(SUMIF(Доходности!$D$105:$AT$105,8,INDIRECT("Доходности!D"&amp;(2+Summary!G18)&amp;":AW"&amp;(2+Summary!G18)))/COUNTIF(Доходности!$D$105:$AT$105,8)-IF($B$3="Обычные",0,INDIRECT("Доходности!C"&amp;(2+Summary!G18))),"")</f>
        <v/>
      </c>
      <c r="I18" s="6">
        <v>1</v>
      </c>
      <c r="J18" s="9">
        <f ca="1">IFERROR(SUMIF(Доходности!$D$105:$AT$105,9,INDIRECT("Доходности!D"&amp;(2+Summary!I18)&amp;":AW"&amp;(2+Summary!I18)))/COUNTIF(Доходности!$D$105:$AT$105,9)-IF($B$3="Обычные",0,INDIRECT("Доходности!C"&amp;(2+Summary!I18))),"")</f>
        <v>5.2453856874698709E-3</v>
      </c>
      <c r="K18" s="6">
        <v>1</v>
      </c>
      <c r="L18" s="9">
        <f ca="1">(IF(F18="",0,F18)*$F$16+IF(H18="",0,H18)*$H$16+IF(J18="",0,J18)*$J$16)/$L$16</f>
        <v>3.9208366116188853E-3</v>
      </c>
      <c r="M18" s="32"/>
      <c r="N18" s="32"/>
      <c r="O18" s="32"/>
    </row>
    <row r="19" spans="2:15" x14ac:dyDescent="0.2">
      <c r="B19" s="32"/>
      <c r="C19" s="27"/>
      <c r="D19" s="30"/>
      <c r="E19" s="6">
        <v>10</v>
      </c>
      <c r="F19" s="9">
        <f ca="1">IFERROR(SUMIF(Доходности!$D$105:$AT$105,7,INDIRECT("Доходности!D"&amp;(2+Summary!E19)&amp;":AW"&amp;(2+Summary!E19)))/COUNTIF(Доходности!$D$105:$AT$105,7)-IF($B$3="Обычные",0,INDIRECT("Доходности!C"&amp;(2+Summary!E19))),"")</f>
        <v>1.1425972895559969E-2</v>
      </c>
      <c r="G19" s="6">
        <v>10</v>
      </c>
      <c r="H19" s="9" t="str">
        <f ca="1">IFERROR(SUMIF(Доходности!$D$105:$AT$105,8,INDIRECT("Доходности!D"&amp;(2+Summary!G19)&amp;":AW"&amp;(2+Summary!G19)))/COUNTIF(Доходности!$D$105:$AT$105,8)-IF($B$3="Обычные",0,INDIRECT("Доходности!C"&amp;(2+Summary!G19))),"")</f>
        <v/>
      </c>
      <c r="I19" s="6">
        <v>10</v>
      </c>
      <c r="J19" s="9">
        <f ca="1">IFERROR(SUMIF(Доходности!$D$105:$AT$105,9,INDIRECT("Доходности!D"&amp;(2+Summary!I19)&amp;":AW"&amp;(2+Summary!I19)))/COUNTIF(Доходности!$D$105:$AT$105,9)-IF($B$3="Обычные",0,INDIRECT("Доходности!C"&amp;(2+Summary!I19))),"")</f>
        <v>1.5419084027783268E-2</v>
      </c>
      <c r="K19" s="6">
        <v>10</v>
      </c>
      <c r="L19" s="9">
        <f t="shared" ref="L19:L21" ca="1" si="2">(IF(F19="",0,F19)*$F$16+IF(H19="",0,H19)*$H$16+IF(J19="",0,J19)*$J$16)/$L$16</f>
        <v>1.5056073924853879E-2</v>
      </c>
      <c r="M19" s="32"/>
      <c r="N19" s="32"/>
      <c r="O19" s="32"/>
    </row>
    <row r="20" spans="2:15" x14ac:dyDescent="0.2">
      <c r="B20" s="32"/>
      <c r="C20" s="27"/>
      <c r="D20" s="30"/>
      <c r="E20" s="6">
        <v>30</v>
      </c>
      <c r="F20" s="9">
        <f ca="1">IFERROR(SUMIF(Доходности!$D$105:$AT$105,7,INDIRECT("Доходности!D"&amp;(2+Summary!E20)&amp;":AW"&amp;(2+Summary!E20)))/COUNTIF(Доходности!$D$105:$AT$105,7)-IF($B$3="Обычные",0,INDIRECT("Доходности!C"&amp;(2+Summary!E20))),"")</f>
        <v>3.8744499738585098E-2</v>
      </c>
      <c r="G20" s="6">
        <v>30</v>
      </c>
      <c r="H20" s="9" t="str">
        <f ca="1">IFERROR(SUMIF(Доходности!$D$105:$AT$105,8,INDIRECT("Доходности!D"&amp;(2+Summary!G20)&amp;":AW"&amp;(2+Summary!G20)))/COUNTIF(Доходности!$D$105:$AT$105,8)-IF($B$3="Обычные",0,INDIRECT("Доходности!C"&amp;(2+Summary!G20))),"")</f>
        <v/>
      </c>
      <c r="I20" s="6">
        <v>30</v>
      </c>
      <c r="J20" s="9">
        <f ca="1">IFERROR(SUMIF(Доходности!$D$105:$AT$105,9,INDIRECT("Доходности!D"&amp;(2+Summary!I20)&amp;":AW"&amp;(2+Summary!I20)))/COUNTIF(Доходности!$D$105:$AT$105,9)-IF($B$3="Обычные",0,INDIRECT("Доходности!C"&amp;(2+Summary!I20))),"")</f>
        <v>5.3051946264485728E-3</v>
      </c>
      <c r="K20" s="6">
        <v>30</v>
      </c>
      <c r="L20" s="9">
        <f t="shared" ca="1" si="2"/>
        <v>8.3451314548246211E-3</v>
      </c>
      <c r="M20" s="32"/>
      <c r="N20" s="32"/>
      <c r="O20" s="32"/>
    </row>
    <row r="21" spans="2:15" x14ac:dyDescent="0.2">
      <c r="B21" s="32"/>
      <c r="C21" s="28"/>
      <c r="D21" s="31"/>
      <c r="E21" s="8">
        <v>60</v>
      </c>
      <c r="F21" s="9">
        <f ca="1">IFERROR(SUMIF(Доходности!$D$105:$AT$105,7,INDIRECT("Доходности!D"&amp;(2+Summary!E21)&amp;":AW"&amp;(2+Summary!E21)))/COUNTIF(Доходности!$D$105:$AT$105,7)-IF($B$3="Обычные",0,INDIRECT("Доходности!C"&amp;(2+Summary!E21))),"")</f>
        <v>6.2849552755405574E-3</v>
      </c>
      <c r="G21" s="8">
        <v>60</v>
      </c>
      <c r="H21" s="9" t="str">
        <f ca="1">IFERROR(SUMIF(Доходности!$D$105:$AT$105,8,INDIRECT("Доходности!D"&amp;(2+Summary!G21)&amp;":AW"&amp;(2+Summary!G21)))/COUNTIF(Доходности!$D$105:$AT$105,8)-IF($B$3="Обычные",0,INDIRECT("Доходности!C"&amp;(2+Summary!G21))),"")</f>
        <v/>
      </c>
      <c r="I21" s="8">
        <v>60</v>
      </c>
      <c r="J21" s="9">
        <f ca="1">IFERROR(SUMIF(Доходности!$D$105:$AT$105,9,INDIRECT("Доходности!D"&amp;(2+Summary!I21)&amp;":AW"&amp;(2+Summary!I21)))/COUNTIF(Доходности!$D$105:$AT$105,9)-IF($B$3="Обычные",0,INDIRECT("Доходности!C"&amp;(2+Summary!I21))),"")</f>
        <v>3.6465880827127595E-3</v>
      </c>
      <c r="K21" s="8">
        <v>60</v>
      </c>
      <c r="L21" s="9">
        <f t="shared" ca="1" si="2"/>
        <v>3.8864396456971049E-3</v>
      </c>
      <c r="M21" s="32"/>
      <c r="N21" s="32"/>
      <c r="O21" s="32"/>
    </row>
    <row r="22" spans="2:15" x14ac:dyDescent="0.2">
      <c r="B22" s="32"/>
      <c r="C22" s="13" t="s">
        <v>61</v>
      </c>
      <c r="D22" s="14"/>
      <c r="E22" s="4" t="s">
        <v>163</v>
      </c>
      <c r="F22" s="5">
        <f>F4+F10+F16</f>
        <v>25</v>
      </c>
      <c r="G22" s="4" t="s">
        <v>163</v>
      </c>
      <c r="H22" s="5">
        <f>H4+H10+H16</f>
        <v>1</v>
      </c>
      <c r="I22" s="4" t="s">
        <v>163</v>
      </c>
      <c r="J22" s="5">
        <f>J4+J10+J16</f>
        <v>17</v>
      </c>
      <c r="K22" s="4" t="s">
        <v>163</v>
      </c>
      <c r="L22" s="5">
        <f>F22+H22+J22</f>
        <v>43</v>
      </c>
      <c r="M22" s="32"/>
      <c r="N22" s="32"/>
      <c r="O22" s="32"/>
    </row>
    <row r="23" spans="2:15" x14ac:dyDescent="0.2">
      <c r="B23" s="32"/>
      <c r="C23" s="15"/>
      <c r="D23" s="16"/>
      <c r="E23" s="37" t="s">
        <v>164</v>
      </c>
      <c r="F23" s="7"/>
      <c r="G23" s="37" t="s">
        <v>164</v>
      </c>
      <c r="H23" s="7"/>
      <c r="I23" s="37" t="s">
        <v>164</v>
      </c>
      <c r="J23" s="7"/>
      <c r="K23" s="37" t="s">
        <v>164</v>
      </c>
      <c r="L23" s="7"/>
      <c r="M23" s="32"/>
      <c r="N23" s="32"/>
      <c r="O23" s="32"/>
    </row>
    <row r="24" spans="2:15" x14ac:dyDescent="0.2">
      <c r="B24" s="32"/>
      <c r="C24" s="15"/>
      <c r="D24" s="16"/>
      <c r="E24" s="6">
        <v>1</v>
      </c>
      <c r="F24" s="9">
        <f ca="1">(IF(F6="",0,F6)*$F$4+IF(F12="",0,F12)*$F$10+IF(F18="",0,F18)*$F$16)/$F$22</f>
        <v>6.227928647278295E-3</v>
      </c>
      <c r="G24" s="6">
        <v>1</v>
      </c>
      <c r="H24" s="9">
        <f ca="1">(IF(H6="",0,H6)*$H$4+IF(H12="",0,H12)*$H$10+IF(H18="",0,H18)*$H$16)/$H$22</f>
        <v>-7.4342716436471001E-3</v>
      </c>
      <c r="I24" s="6">
        <v>1</v>
      </c>
      <c r="J24" s="9">
        <f ca="1">(IF(J6="",0,J6)*$J$4+IF(J12="",0,J12)*$J$10+IF(J18="",0,J18)*$J$16)/$J$22</f>
        <v>7.3869115498456485E-3</v>
      </c>
      <c r="K24" s="6">
        <v>1</v>
      </c>
      <c r="L24" s="9">
        <f ca="1">(IF(L6="",0,L6)*$L$4+IF(L12="",0,L12)*$L$10+IF(L18="",0,L18)*$L$16)/$L$22</f>
        <v>6.3684056019927045E-3</v>
      </c>
      <c r="M24" s="32"/>
      <c r="N24" s="32"/>
      <c r="O24" s="32"/>
    </row>
    <row r="25" spans="2:15" x14ac:dyDescent="0.2">
      <c r="B25" s="32"/>
      <c r="C25" s="15"/>
      <c r="D25" s="16"/>
      <c r="E25" s="6">
        <v>10</v>
      </c>
      <c r="F25" s="9">
        <f t="shared" ref="F25:F27" ca="1" si="3">(IF(F7="",0,F7)*$F$4+IF(F13="",0,F13)*$F$10+IF(F19="",0,F19)*$F$16)/$F$22</f>
        <v>2.503529020299352E-2</v>
      </c>
      <c r="G25" s="6">
        <v>10</v>
      </c>
      <c r="H25" s="9">
        <f ca="1">(IF(H7="",0,H7)*$H$4+IF(H13="",0,H13)*$H$10+IF(H19="",0,H19)*$H$16)/$H$22</f>
        <v>-8.4400032678663486E-3</v>
      </c>
      <c r="I25" s="6">
        <v>10</v>
      </c>
      <c r="J25" s="9">
        <f ca="1">(IF(J7="",0,J7)*$J$4+IF(J13="",0,J13)*$J$10+IF(J19="",0,J19)*$J$16)/$J$22</f>
        <v>1.4340238032238915E-2</v>
      </c>
      <c r="K25" s="6">
        <v>10</v>
      </c>
      <c r="L25" s="9">
        <f ca="1">(IF(L7="",0,L7)*$L$4+IF(L13="",0,L13)*$L$10+IF(L19="",0,L19)*$L$16)/$L$22</f>
        <v>2.002851856639612E-2</v>
      </c>
      <c r="M25" s="32"/>
      <c r="N25" s="32"/>
      <c r="O25" s="32"/>
    </row>
    <row r="26" spans="2:15" x14ac:dyDescent="0.2">
      <c r="B26" s="32"/>
      <c r="C26" s="15"/>
      <c r="D26" s="16"/>
      <c r="E26" s="6">
        <v>30</v>
      </c>
      <c r="F26" s="9">
        <f t="shared" ca="1" si="3"/>
        <v>1.6185659633849508E-3</v>
      </c>
      <c r="G26" s="6">
        <v>30</v>
      </c>
      <c r="H26" s="9">
        <f ca="1">(IF(H8="",0,H8)*$H$4+IF(H14="",0,H14)*$H$10+IF(H20="",0,H20)*$H$16)/$H$22</f>
        <v>-5.4013266812754424E-2</v>
      </c>
      <c r="I26" s="6">
        <v>30</v>
      </c>
      <c r="J26" s="9">
        <f ca="1">(IF(J8="",0,J8)*$J$4+IF(J14="",0,J14)*$J$10+IF(J20="",0,J20)*$J$16)/$J$22</f>
        <v>1.1323957986827725E-2</v>
      </c>
      <c r="K26" s="6">
        <v>30</v>
      </c>
      <c r="L26" s="9">
        <f ca="1">(IF(L8="",0,L8)*$L$4+IF(L14="",0,L14)*$L$10+IF(L20="",0,L20)*$L$16)/$L$22</f>
        <v>4.1618178615800147E-3</v>
      </c>
      <c r="M26" s="32"/>
      <c r="N26" s="32"/>
      <c r="O26" s="32"/>
    </row>
    <row r="27" spans="2:15" x14ac:dyDescent="0.2">
      <c r="B27" s="32"/>
      <c r="C27" s="17"/>
      <c r="D27" s="18"/>
      <c r="E27" s="8">
        <v>60</v>
      </c>
      <c r="F27" s="9">
        <f t="shared" ca="1" si="3"/>
        <v>3.225497712559957E-2</v>
      </c>
      <c r="G27" s="8">
        <v>60</v>
      </c>
      <c r="H27" s="9">
        <f ca="1">(IF(H9="",0,H9)*$H$4+IF(H15="",0,H15)*$H$10+IF(H21="",0,H21)*$H$16)/$H$22</f>
        <v>-7.3736049213031146E-2</v>
      </c>
      <c r="I27" s="8">
        <v>60</v>
      </c>
      <c r="J27" s="9">
        <f ca="1">(IF(J9="",0,J9)*$J$4+IF(J15="",0,J15)*$J$10+IF(J21="",0,J21)*$J$16)/$J$22</f>
        <v>9.300931696367443E-3</v>
      </c>
      <c r="K27" s="8">
        <v>60</v>
      </c>
      <c r="L27" s="10">
        <f ca="1">(IF(L9="",0,L9)*$L$4+IF(L15="",0,L15)*$L$10+IF(L21="",0,L21)*$L$16)/$L$22</f>
        <v>2.0715214366632668E-2</v>
      </c>
      <c r="M27" s="36"/>
      <c r="N27" s="32"/>
      <c r="O27" s="32"/>
    </row>
    <row r="28" spans="2:15" x14ac:dyDescent="0.2">
      <c r="B28" s="32"/>
      <c r="C28" s="32"/>
      <c r="D28" s="32"/>
      <c r="E28" s="32"/>
      <c r="F28" s="34"/>
      <c r="G28" s="32"/>
      <c r="H28" s="34"/>
      <c r="I28" s="32"/>
      <c r="J28" s="34"/>
      <c r="K28" s="32"/>
      <c r="L28" s="32"/>
      <c r="M28" s="32"/>
      <c r="N28" s="32"/>
      <c r="O28" s="32"/>
    </row>
    <row r="29" spans="2:15" x14ac:dyDescent="0.2">
      <c r="B29" s="32"/>
      <c r="C29" s="32"/>
      <c r="D29" s="32"/>
      <c r="E29" s="32"/>
      <c r="F29" s="35"/>
      <c r="G29" s="32"/>
      <c r="H29" s="32"/>
      <c r="I29" s="32"/>
      <c r="J29" s="32"/>
      <c r="K29" s="32"/>
      <c r="L29" s="32"/>
      <c r="M29" s="32"/>
      <c r="N29" s="32"/>
      <c r="O29" s="32"/>
    </row>
    <row r="30" spans="2:15" x14ac:dyDescent="0.2"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</row>
    <row r="31" spans="2:15" x14ac:dyDescent="0.2"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</row>
    <row r="33" spans="2:15" x14ac:dyDescent="0.2"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</row>
    <row r="34" spans="2:15" x14ac:dyDescent="0.2">
      <c r="M34" s="32"/>
      <c r="N34" s="32"/>
      <c r="O34" s="32"/>
    </row>
    <row r="35" spans="2:15" x14ac:dyDescent="0.2">
      <c r="M35" s="32"/>
      <c r="N35" s="32"/>
      <c r="O35" s="32"/>
    </row>
    <row r="36" spans="2:15" x14ac:dyDescent="0.2">
      <c r="M36" s="32"/>
      <c r="N36" s="32"/>
      <c r="O36" s="32"/>
    </row>
    <row r="37" spans="2:15" x14ac:dyDescent="0.2">
      <c r="M37" s="32"/>
      <c r="N37" s="32"/>
      <c r="O37" s="32"/>
    </row>
    <row r="38" spans="2:15" x14ac:dyDescent="0.2">
      <c r="M38" s="32"/>
      <c r="N38" s="32"/>
      <c r="O38" s="32"/>
    </row>
    <row r="39" spans="2:15" x14ac:dyDescent="0.2">
      <c r="M39" s="32"/>
      <c r="N39" s="32"/>
      <c r="O39" s="32"/>
    </row>
    <row r="40" spans="2:15" x14ac:dyDescent="0.2">
      <c r="M40" s="32"/>
      <c r="N40" s="32"/>
      <c r="O40" s="32"/>
    </row>
    <row r="41" spans="2:15" x14ac:dyDescent="0.2">
      <c r="M41" s="32"/>
      <c r="N41" s="32"/>
      <c r="O41" s="32"/>
    </row>
    <row r="42" spans="2:15" x14ac:dyDescent="0.2">
      <c r="M42" s="32"/>
      <c r="N42" s="32"/>
      <c r="O42" s="32"/>
    </row>
  </sheetData>
  <mergeCells count="11">
    <mergeCell ref="C22:D27"/>
    <mergeCell ref="C2:D3"/>
    <mergeCell ref="E2:J2"/>
    <mergeCell ref="K2:L3"/>
    <mergeCell ref="E3:F3"/>
    <mergeCell ref="G3:H3"/>
    <mergeCell ref="I3:J3"/>
    <mergeCell ref="C4:C21"/>
    <mergeCell ref="D4:D9"/>
    <mergeCell ref="D10:D15"/>
    <mergeCell ref="D16:D21"/>
  </mergeCells>
  <dataValidations count="2">
    <dataValidation type="list" allowBlank="1" showInputMessage="1" showErrorMessage="1" sqref="B2" xr:uid="{00000000-0002-0000-0000-000000000000}">
      <formula1>"CAPM,Fama-French"</formula1>
    </dataValidation>
    <dataValidation type="list" allowBlank="1" showInputMessage="1" showErrorMessage="1" sqref="B3" xr:uid="{00000000-0002-0000-0000-000001000000}">
      <formula1>"Обычные, Превышение над рынком"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X97"/>
  <sheetViews>
    <sheetView topLeftCell="A70" workbookViewId="0">
      <selection activeCell="G86" sqref="G86"/>
    </sheetView>
  </sheetViews>
  <sheetFormatPr baseColWidth="10" defaultColWidth="8.83203125" defaultRowHeight="15" x14ac:dyDescent="0.2"/>
  <cols>
    <col min="1" max="1" width="10.1640625" bestFit="1" customWidth="1"/>
    <col min="2" max="2" width="13.1640625" bestFit="1" customWidth="1"/>
  </cols>
  <sheetData>
    <row r="1" spans="1:50" x14ac:dyDescent="0.2">
      <c r="A1" s="1" t="s">
        <v>48</v>
      </c>
      <c r="B1" s="1" t="s">
        <v>64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 t="s">
        <v>35</v>
      </c>
      <c r="AM1" s="1" t="s">
        <v>36</v>
      </c>
      <c r="AN1" s="1" t="s">
        <v>37</v>
      </c>
      <c r="AO1" s="1" t="s">
        <v>38</v>
      </c>
      <c r="AP1" s="1" t="s">
        <v>39</v>
      </c>
      <c r="AQ1" s="1" t="s">
        <v>40</v>
      </c>
      <c r="AR1" s="1" t="s">
        <v>41</v>
      </c>
      <c r="AS1" s="1" t="s">
        <v>42</v>
      </c>
      <c r="AT1" s="1" t="s">
        <v>43</v>
      </c>
      <c r="AU1" s="1" t="s">
        <v>44</v>
      </c>
      <c r="AV1" s="1" t="s">
        <v>45</v>
      </c>
      <c r="AW1" s="1" t="s">
        <v>46</v>
      </c>
      <c r="AX1" s="1" t="s">
        <v>47</v>
      </c>
    </row>
    <row r="2" spans="1:50" x14ac:dyDescent="0.2">
      <c r="A2" s="1" t="s">
        <v>65</v>
      </c>
      <c r="B2">
        <v>2234.14</v>
      </c>
      <c r="C2">
        <v>174.6</v>
      </c>
      <c r="D2">
        <v>150.80000000000001</v>
      </c>
      <c r="E2">
        <v>3408</v>
      </c>
      <c r="F2">
        <v>9772</v>
      </c>
      <c r="G2">
        <v>772.8</v>
      </c>
      <c r="H2">
        <v>32.229999999999997</v>
      </c>
      <c r="I2">
        <v>4606</v>
      </c>
      <c r="J2">
        <v>421</v>
      </c>
      <c r="K2">
        <v>399</v>
      </c>
      <c r="L2">
        <v>9569.75</v>
      </c>
      <c r="M2">
        <v>276.35000000000002</v>
      </c>
      <c r="N2">
        <v>136</v>
      </c>
      <c r="O2">
        <v>4.0599999999999996</v>
      </c>
      <c r="P2">
        <v>116.11</v>
      </c>
      <c r="Q2">
        <v>107.49</v>
      </c>
      <c r="R2">
        <v>964.4</v>
      </c>
      <c r="S2">
        <v>6.9400000000000003E-2</v>
      </c>
      <c r="T2">
        <v>83.5</v>
      </c>
      <c r="U2">
        <v>2863</v>
      </c>
      <c r="V2">
        <v>24.4</v>
      </c>
      <c r="W2">
        <v>38</v>
      </c>
      <c r="X2">
        <v>286.60000000000002</v>
      </c>
      <c r="Y2">
        <v>1.0546</v>
      </c>
      <c r="Z2">
        <v>0.23649000000000001</v>
      </c>
      <c r="AA2">
        <v>170.9</v>
      </c>
      <c r="AB2">
        <v>999.5</v>
      </c>
      <c r="AC2">
        <v>1.2547999999999999</v>
      </c>
      <c r="AD2">
        <v>2.8119999999999998</v>
      </c>
      <c r="AE2">
        <v>477.5</v>
      </c>
      <c r="AF2">
        <v>382.1</v>
      </c>
      <c r="AG2">
        <v>82.9</v>
      </c>
      <c r="AH2">
        <v>188</v>
      </c>
      <c r="AI2">
        <v>7.1</v>
      </c>
      <c r="AJ2">
        <v>3490</v>
      </c>
      <c r="AK2">
        <v>2.8765000000000001</v>
      </c>
      <c r="AL2">
        <v>169.95</v>
      </c>
      <c r="AM2">
        <v>3688.5</v>
      </c>
      <c r="AN2">
        <v>14730</v>
      </c>
      <c r="AO2">
        <v>72.8</v>
      </c>
      <c r="AP2">
        <v>823</v>
      </c>
      <c r="AQ2">
        <v>646</v>
      </c>
      <c r="AR2">
        <v>94.7</v>
      </c>
      <c r="AS2">
        <v>74.064999999999998</v>
      </c>
      <c r="AT2">
        <v>1.0309999999999999</v>
      </c>
      <c r="AU2">
        <v>50.9</v>
      </c>
      <c r="AV2">
        <v>91.29</v>
      </c>
      <c r="AW2">
        <v>0.56310000000000004</v>
      </c>
      <c r="AX2">
        <v>755</v>
      </c>
    </row>
    <row r="3" spans="1:50" x14ac:dyDescent="0.2">
      <c r="A3" s="1" t="s">
        <v>66</v>
      </c>
      <c r="B3">
        <v>2217.39</v>
      </c>
      <c r="C3">
        <v>172.2</v>
      </c>
      <c r="D3">
        <v>149.80000000000001</v>
      </c>
      <c r="E3">
        <v>3370</v>
      </c>
      <c r="F3">
        <v>9629</v>
      </c>
      <c r="G3">
        <v>759.8</v>
      </c>
      <c r="H3">
        <v>32.35</v>
      </c>
      <c r="I3">
        <v>4648</v>
      </c>
      <c r="J3">
        <v>406.7</v>
      </c>
      <c r="K3">
        <v>400.6</v>
      </c>
      <c r="L3">
        <v>9594.61</v>
      </c>
      <c r="M3">
        <v>275.7</v>
      </c>
      <c r="N3">
        <v>134.19999999999999</v>
      </c>
      <c r="O3">
        <v>4.0735000000000001</v>
      </c>
      <c r="P3">
        <v>118.05</v>
      </c>
      <c r="Q3">
        <v>105.7</v>
      </c>
      <c r="R3">
        <v>950</v>
      </c>
      <c r="S3">
        <v>6.8969000000000003E-2</v>
      </c>
      <c r="T3">
        <v>83.49</v>
      </c>
      <c r="U3">
        <v>2849</v>
      </c>
      <c r="V3">
        <v>23.905000000000001</v>
      </c>
      <c r="W3">
        <v>39.344999999999999</v>
      </c>
      <c r="X3">
        <v>285.89999999999998</v>
      </c>
      <c r="Y3">
        <v>1.0337000000000001</v>
      </c>
      <c r="Z3">
        <v>0.23230000000000001</v>
      </c>
      <c r="AA3">
        <v>174.17</v>
      </c>
      <c r="AB3">
        <v>1001</v>
      </c>
      <c r="AC3">
        <v>1.2384999999999999</v>
      </c>
      <c r="AD3">
        <v>2.8260000000000001</v>
      </c>
      <c r="AE3">
        <v>475</v>
      </c>
      <c r="AF3">
        <v>385</v>
      </c>
      <c r="AG3">
        <v>82.95</v>
      </c>
      <c r="AH3">
        <v>186.01</v>
      </c>
      <c r="AI3">
        <v>7.08</v>
      </c>
      <c r="AJ3">
        <v>3510</v>
      </c>
      <c r="AK3">
        <v>2.8304999999999998</v>
      </c>
      <c r="AL3">
        <v>170.5</v>
      </c>
      <c r="AM3">
        <v>4051</v>
      </c>
      <c r="AN3">
        <v>14670</v>
      </c>
      <c r="AO3">
        <v>72.900000000000006</v>
      </c>
      <c r="AP3">
        <v>827</v>
      </c>
      <c r="AQ3">
        <v>648</v>
      </c>
      <c r="AR3">
        <v>94</v>
      </c>
      <c r="AS3">
        <v>73.031000000000006</v>
      </c>
      <c r="AT3">
        <v>1.018</v>
      </c>
      <c r="AU3">
        <v>52.1</v>
      </c>
      <c r="AV3">
        <v>90.14</v>
      </c>
      <c r="AW3">
        <v>0.55369999999999997</v>
      </c>
      <c r="AX3">
        <v>751.5</v>
      </c>
    </row>
    <row r="4" spans="1:50" x14ac:dyDescent="0.2">
      <c r="A4" s="1" t="s">
        <v>67</v>
      </c>
      <c r="B4">
        <v>2231.6799999999998</v>
      </c>
      <c r="C4">
        <v>173.9</v>
      </c>
      <c r="D4">
        <v>149.65</v>
      </c>
      <c r="E4">
        <v>3375</v>
      </c>
      <c r="F4">
        <v>9848</v>
      </c>
      <c r="G4">
        <v>764.8</v>
      </c>
      <c r="H4">
        <v>32.299999999999997</v>
      </c>
      <c r="I4">
        <v>4587</v>
      </c>
      <c r="J4">
        <v>408.8</v>
      </c>
      <c r="K4">
        <v>401.5</v>
      </c>
      <c r="L4">
        <v>9644.32</v>
      </c>
      <c r="M4">
        <v>279</v>
      </c>
      <c r="N4">
        <v>134.80000000000001</v>
      </c>
      <c r="O4">
        <v>4.07</v>
      </c>
      <c r="P4">
        <v>120.09</v>
      </c>
      <c r="Q4">
        <v>105.44</v>
      </c>
      <c r="R4">
        <v>974.8</v>
      </c>
      <c r="S4">
        <v>6.9469000000000003E-2</v>
      </c>
      <c r="T4">
        <v>84.37</v>
      </c>
      <c r="U4">
        <v>2850</v>
      </c>
      <c r="V4">
        <v>23.995000000000001</v>
      </c>
      <c r="W4">
        <v>40.700000000000003</v>
      </c>
      <c r="X4">
        <v>285.5</v>
      </c>
      <c r="Y4">
        <v>1.0572999999999999</v>
      </c>
      <c r="Z4">
        <v>0.23599999999999999</v>
      </c>
      <c r="AA4">
        <v>175</v>
      </c>
      <c r="AB4">
        <v>998.5</v>
      </c>
      <c r="AC4">
        <v>1.2266999999999999</v>
      </c>
      <c r="AD4">
        <v>2.79</v>
      </c>
      <c r="AE4">
        <v>471</v>
      </c>
      <c r="AF4">
        <v>383</v>
      </c>
      <c r="AG4">
        <v>78.3</v>
      </c>
      <c r="AH4">
        <v>184.65</v>
      </c>
      <c r="AI4">
        <v>7.05</v>
      </c>
      <c r="AJ4">
        <v>3508</v>
      </c>
      <c r="AK4">
        <v>2.8010000000000002</v>
      </c>
      <c r="AL4">
        <v>169.25</v>
      </c>
      <c r="AM4">
        <v>4076.5</v>
      </c>
      <c r="AN4">
        <v>14690</v>
      </c>
      <c r="AO4">
        <v>72.7</v>
      </c>
      <c r="AP4">
        <v>831</v>
      </c>
      <c r="AQ4">
        <v>651</v>
      </c>
      <c r="AR4">
        <v>96.2</v>
      </c>
      <c r="AS4">
        <v>73.47399999999999</v>
      </c>
      <c r="AT4">
        <v>1.024</v>
      </c>
      <c r="AU4">
        <v>53</v>
      </c>
      <c r="AV4">
        <v>90.53</v>
      </c>
      <c r="AW4">
        <v>0.54899999999999993</v>
      </c>
      <c r="AX4">
        <v>760</v>
      </c>
    </row>
    <row r="5" spans="1:50" x14ac:dyDescent="0.2">
      <c r="A5" s="1" t="s">
        <v>68</v>
      </c>
      <c r="B5">
        <v>2217.56</v>
      </c>
      <c r="C5">
        <v>172.83</v>
      </c>
      <c r="D5">
        <v>148.80000000000001</v>
      </c>
      <c r="E5">
        <v>3364.5</v>
      </c>
      <c r="F5">
        <v>10255</v>
      </c>
      <c r="G5">
        <v>746</v>
      </c>
      <c r="H5">
        <v>31.975000000000001</v>
      </c>
      <c r="I5">
        <v>4575</v>
      </c>
      <c r="J5">
        <v>404.9</v>
      </c>
      <c r="K5">
        <v>397.3</v>
      </c>
      <c r="L5">
        <v>9440.5</v>
      </c>
      <c r="M5">
        <v>272.7</v>
      </c>
      <c r="N5">
        <v>134.16999999999999</v>
      </c>
      <c r="O5">
        <v>4.0250000000000004</v>
      </c>
      <c r="P5">
        <v>119.66</v>
      </c>
      <c r="Q5">
        <v>103.86</v>
      </c>
      <c r="R5">
        <v>952</v>
      </c>
      <c r="S5">
        <v>6.9087999999999997E-2</v>
      </c>
      <c r="T5">
        <v>83.98</v>
      </c>
      <c r="U5">
        <v>2892</v>
      </c>
      <c r="V5">
        <v>23.695</v>
      </c>
      <c r="W5">
        <v>41.27</v>
      </c>
      <c r="X5">
        <v>283.5</v>
      </c>
      <c r="Y5">
        <v>1.0589999999999999</v>
      </c>
      <c r="Z5">
        <v>0.24030000000000001</v>
      </c>
      <c r="AA5">
        <v>176.9</v>
      </c>
      <c r="AB5">
        <v>985.5</v>
      </c>
      <c r="AC5">
        <v>1.2284999999999999</v>
      </c>
      <c r="AD5">
        <v>2.802</v>
      </c>
      <c r="AE5">
        <v>468</v>
      </c>
      <c r="AF5">
        <v>378.8</v>
      </c>
      <c r="AG5">
        <v>78.8</v>
      </c>
      <c r="AH5">
        <v>187</v>
      </c>
      <c r="AI5">
        <v>7.07</v>
      </c>
      <c r="AJ5">
        <v>3481</v>
      </c>
      <c r="AK5">
        <v>2.8170000000000002</v>
      </c>
      <c r="AL5">
        <v>168.75</v>
      </c>
      <c r="AM5">
        <v>3919</v>
      </c>
      <c r="AN5">
        <v>14610</v>
      </c>
      <c r="AO5">
        <v>72.7</v>
      </c>
      <c r="AP5">
        <v>835</v>
      </c>
      <c r="AQ5">
        <v>648</v>
      </c>
      <c r="AR5">
        <v>96</v>
      </c>
      <c r="AS5">
        <v>73.228000000000009</v>
      </c>
      <c r="AT5">
        <v>1.04</v>
      </c>
      <c r="AU5">
        <v>53.5</v>
      </c>
      <c r="AV5">
        <v>89.21</v>
      </c>
      <c r="AW5">
        <v>0.54799999999999993</v>
      </c>
      <c r="AX5">
        <v>768</v>
      </c>
    </row>
    <row r="6" spans="1:50" x14ac:dyDescent="0.2">
      <c r="A6" s="1" t="s">
        <v>69</v>
      </c>
      <c r="B6">
        <v>2226.61</v>
      </c>
      <c r="C6">
        <v>173.8</v>
      </c>
      <c r="D6">
        <v>149.35</v>
      </c>
      <c r="E6">
        <v>3370.5</v>
      </c>
      <c r="F6">
        <v>10089</v>
      </c>
      <c r="G6">
        <v>763.3</v>
      </c>
      <c r="H6">
        <v>32.664999999999999</v>
      </c>
      <c r="I6">
        <v>4564</v>
      </c>
      <c r="J6">
        <v>404.4</v>
      </c>
      <c r="K6">
        <v>397.85</v>
      </c>
      <c r="L6">
        <v>9525.01</v>
      </c>
      <c r="M6">
        <v>274.35000000000002</v>
      </c>
      <c r="N6">
        <v>135.79</v>
      </c>
      <c r="O6">
        <v>4.01</v>
      </c>
      <c r="P6">
        <v>119.19</v>
      </c>
      <c r="Q6">
        <v>104.85</v>
      </c>
      <c r="R6">
        <v>932.6</v>
      </c>
      <c r="S6">
        <v>6.9288000000000002E-2</v>
      </c>
      <c r="T6">
        <v>84.5</v>
      </c>
      <c r="U6">
        <v>2835</v>
      </c>
      <c r="V6">
        <v>24.19</v>
      </c>
      <c r="W6">
        <v>42.604999999999997</v>
      </c>
      <c r="X6">
        <v>282</v>
      </c>
      <c r="Y6">
        <v>1.0878000000000001</v>
      </c>
      <c r="Z6">
        <v>0.24829999999999999</v>
      </c>
      <c r="AA6">
        <v>178.5</v>
      </c>
      <c r="AB6">
        <v>1003</v>
      </c>
      <c r="AC6">
        <v>1.2650999999999999</v>
      </c>
      <c r="AD6">
        <v>2.8010000000000002</v>
      </c>
      <c r="AE6">
        <v>480</v>
      </c>
      <c r="AF6">
        <v>373.7</v>
      </c>
      <c r="AG6">
        <v>76.400000000000006</v>
      </c>
      <c r="AH6">
        <v>185.33</v>
      </c>
      <c r="AI6">
        <v>7.17</v>
      </c>
      <c r="AJ6">
        <v>3484</v>
      </c>
      <c r="AK6">
        <v>2.87</v>
      </c>
      <c r="AL6">
        <v>168.25</v>
      </c>
      <c r="AM6">
        <v>3749.5</v>
      </c>
      <c r="AN6">
        <v>14680</v>
      </c>
      <c r="AO6">
        <v>72.599999999999994</v>
      </c>
      <c r="AP6">
        <v>840</v>
      </c>
      <c r="AQ6">
        <v>623</v>
      </c>
      <c r="AR6">
        <v>96.8</v>
      </c>
      <c r="AS6">
        <v>73.47399999999999</v>
      </c>
      <c r="AT6">
        <v>1.06</v>
      </c>
      <c r="AU6">
        <v>53.35</v>
      </c>
      <c r="AV6">
        <v>88.68</v>
      </c>
      <c r="AW6">
        <v>0.56320000000000003</v>
      </c>
      <c r="AX6">
        <v>768</v>
      </c>
    </row>
    <row r="7" spans="1:50" x14ac:dyDescent="0.2">
      <c r="A7" s="1" t="s">
        <v>70</v>
      </c>
      <c r="B7">
        <v>2210.5100000000002</v>
      </c>
      <c r="C7">
        <v>172.87</v>
      </c>
      <c r="D7">
        <v>148.5</v>
      </c>
      <c r="E7">
        <v>3338</v>
      </c>
      <c r="F7">
        <v>9922</v>
      </c>
      <c r="G7">
        <v>759.8</v>
      </c>
      <c r="H7">
        <v>32.57</v>
      </c>
      <c r="I7">
        <v>4495</v>
      </c>
      <c r="J7">
        <v>401.95</v>
      </c>
      <c r="K7">
        <v>394</v>
      </c>
      <c r="L7">
        <v>9584.67</v>
      </c>
      <c r="M7">
        <v>271.89999999999998</v>
      </c>
      <c r="N7">
        <v>135.1</v>
      </c>
      <c r="O7">
        <v>3.96</v>
      </c>
      <c r="P7">
        <v>118.25</v>
      </c>
      <c r="Q7">
        <v>104.2</v>
      </c>
      <c r="R7">
        <v>955.9</v>
      </c>
      <c r="S7">
        <v>6.8680999999999992E-2</v>
      </c>
      <c r="T7">
        <v>83.86</v>
      </c>
      <c r="U7">
        <v>2756</v>
      </c>
      <c r="V7">
        <v>23.43</v>
      </c>
      <c r="W7">
        <v>41.9</v>
      </c>
      <c r="X7">
        <v>283.8</v>
      </c>
      <c r="Y7">
        <v>1.1000000000000001</v>
      </c>
      <c r="Z7">
        <v>0.2424</v>
      </c>
      <c r="AA7">
        <v>179</v>
      </c>
      <c r="AB7">
        <v>1003</v>
      </c>
      <c r="AC7">
        <v>1.252</v>
      </c>
      <c r="AD7">
        <v>2.77</v>
      </c>
      <c r="AE7">
        <v>474.5</v>
      </c>
      <c r="AF7">
        <v>371</v>
      </c>
      <c r="AG7">
        <v>77</v>
      </c>
      <c r="AH7">
        <v>185.34</v>
      </c>
      <c r="AI7">
        <v>7.165</v>
      </c>
      <c r="AJ7">
        <v>3460</v>
      </c>
      <c r="AK7">
        <v>2.8405</v>
      </c>
      <c r="AL7">
        <v>169</v>
      </c>
      <c r="AM7">
        <v>3507.5</v>
      </c>
      <c r="AN7">
        <v>14630</v>
      </c>
      <c r="AO7">
        <v>71.900000000000006</v>
      </c>
      <c r="AP7">
        <v>842</v>
      </c>
      <c r="AQ7">
        <v>615</v>
      </c>
      <c r="AR7">
        <v>97</v>
      </c>
      <c r="AS7">
        <v>71.801000000000002</v>
      </c>
      <c r="AT7">
        <v>1.0720000000000001</v>
      </c>
      <c r="AU7">
        <v>53</v>
      </c>
      <c r="AV7">
        <v>86.8</v>
      </c>
      <c r="AW7">
        <v>0.55100000000000005</v>
      </c>
      <c r="AX7">
        <v>777.5</v>
      </c>
    </row>
    <row r="8" spans="1:50" x14ac:dyDescent="0.2">
      <c r="A8" s="1" t="s">
        <v>71</v>
      </c>
      <c r="B8">
        <v>2218.77</v>
      </c>
      <c r="C8">
        <v>173.47</v>
      </c>
      <c r="D8">
        <v>148.69999999999999</v>
      </c>
      <c r="E8">
        <v>3379</v>
      </c>
      <c r="F8">
        <v>10136</v>
      </c>
      <c r="G8">
        <v>761.1</v>
      </c>
      <c r="H8">
        <v>32.75</v>
      </c>
      <c r="I8">
        <v>4449</v>
      </c>
      <c r="J8">
        <v>399</v>
      </c>
      <c r="K8">
        <v>389.7</v>
      </c>
      <c r="L8">
        <v>9495.18</v>
      </c>
      <c r="M8">
        <v>275.89999999999998</v>
      </c>
      <c r="N8">
        <v>133.69</v>
      </c>
      <c r="O8">
        <v>3.9554999999999998</v>
      </c>
      <c r="P8">
        <v>118.05</v>
      </c>
      <c r="Q8">
        <v>105.59</v>
      </c>
      <c r="R8">
        <v>940.6</v>
      </c>
      <c r="S8">
        <v>6.8788000000000002E-2</v>
      </c>
      <c r="T8">
        <v>84.71</v>
      </c>
      <c r="U8">
        <v>2760</v>
      </c>
      <c r="V8">
        <v>24.19</v>
      </c>
      <c r="W8">
        <v>40.950000000000003</v>
      </c>
      <c r="X8">
        <v>285.10000000000002</v>
      </c>
      <c r="Y8">
        <v>1.0920000000000001</v>
      </c>
      <c r="Z8">
        <v>0.24804999999999999</v>
      </c>
      <c r="AA8">
        <v>173.5</v>
      </c>
      <c r="AB8">
        <v>990</v>
      </c>
      <c r="AC8">
        <v>1.2585</v>
      </c>
      <c r="AD8">
        <v>2.8029999999999999</v>
      </c>
      <c r="AE8">
        <v>476.5</v>
      </c>
      <c r="AF8">
        <v>374</v>
      </c>
      <c r="AG8">
        <v>77.099999999999994</v>
      </c>
      <c r="AH8">
        <v>183.1</v>
      </c>
      <c r="AI8">
        <v>7.13</v>
      </c>
      <c r="AJ8">
        <v>3476</v>
      </c>
      <c r="AK8">
        <v>2.8494999999999999</v>
      </c>
      <c r="AL8">
        <v>169.1</v>
      </c>
      <c r="AM8">
        <v>3572.5</v>
      </c>
      <c r="AN8">
        <v>14500</v>
      </c>
      <c r="AO8">
        <v>72</v>
      </c>
      <c r="AP8">
        <v>845</v>
      </c>
      <c r="AQ8">
        <v>620</v>
      </c>
      <c r="AR8">
        <v>98.4</v>
      </c>
      <c r="AS8">
        <v>71.849999999999994</v>
      </c>
      <c r="AT8">
        <v>1.069</v>
      </c>
      <c r="AU8">
        <v>53.1</v>
      </c>
      <c r="AV8">
        <v>87.25</v>
      </c>
      <c r="AW8">
        <v>0.55000000000000004</v>
      </c>
      <c r="AX8">
        <v>765</v>
      </c>
    </row>
    <row r="9" spans="1:50" x14ac:dyDescent="0.2">
      <c r="A9" s="1" t="s">
        <v>72</v>
      </c>
      <c r="B9">
        <v>2189.61</v>
      </c>
      <c r="C9">
        <v>171.2</v>
      </c>
      <c r="D9">
        <v>145.19999999999999</v>
      </c>
      <c r="E9">
        <v>3299</v>
      </c>
      <c r="F9">
        <v>10135</v>
      </c>
      <c r="G9">
        <v>755</v>
      </c>
      <c r="H9">
        <v>32.674999999999997</v>
      </c>
      <c r="I9">
        <v>4501</v>
      </c>
      <c r="J9">
        <v>406</v>
      </c>
      <c r="K9">
        <v>378.05</v>
      </c>
      <c r="L9">
        <v>9522.0300000000007</v>
      </c>
      <c r="M9">
        <v>271.10000000000002</v>
      </c>
      <c r="N9">
        <v>131.55000000000001</v>
      </c>
      <c r="O9">
        <v>3.9994999999999998</v>
      </c>
      <c r="P9">
        <v>121.26</v>
      </c>
      <c r="Q9">
        <v>104.8</v>
      </c>
      <c r="R9">
        <v>932</v>
      </c>
      <c r="S9">
        <v>6.8699999999999997E-2</v>
      </c>
      <c r="T9">
        <v>84.75</v>
      </c>
      <c r="U9">
        <v>2700</v>
      </c>
      <c r="V9">
        <v>24.184999999999999</v>
      </c>
      <c r="W9">
        <v>41.35</v>
      </c>
      <c r="X9">
        <v>285.7</v>
      </c>
      <c r="Y9">
        <v>1.0802</v>
      </c>
      <c r="Z9">
        <v>0.25619999999999998</v>
      </c>
      <c r="AA9">
        <v>172</v>
      </c>
      <c r="AB9">
        <v>968</v>
      </c>
      <c r="AC9">
        <v>1.2483</v>
      </c>
      <c r="AD9">
        <v>2.7850000000000001</v>
      </c>
      <c r="AE9">
        <v>471.5</v>
      </c>
      <c r="AF9">
        <v>372</v>
      </c>
      <c r="AG9">
        <v>77.5</v>
      </c>
      <c r="AH9">
        <v>181.55</v>
      </c>
      <c r="AI9">
        <v>6.97</v>
      </c>
      <c r="AJ9">
        <v>3500</v>
      </c>
      <c r="AK9">
        <v>2.8235000000000001</v>
      </c>
      <c r="AL9">
        <v>168.75</v>
      </c>
      <c r="AM9">
        <v>3515</v>
      </c>
      <c r="AN9">
        <v>14200</v>
      </c>
      <c r="AO9">
        <v>72.2</v>
      </c>
      <c r="AP9">
        <v>845</v>
      </c>
      <c r="AQ9">
        <v>619</v>
      </c>
      <c r="AR9">
        <v>97.7</v>
      </c>
      <c r="AS9">
        <v>71.456000000000003</v>
      </c>
      <c r="AT9">
        <v>1.026</v>
      </c>
      <c r="AU9">
        <v>53</v>
      </c>
      <c r="AV9">
        <v>86.88</v>
      </c>
      <c r="AW9">
        <v>0.52510000000000001</v>
      </c>
      <c r="AX9">
        <v>765.5</v>
      </c>
    </row>
    <row r="10" spans="1:50" x14ac:dyDescent="0.2">
      <c r="A10" s="1" t="s">
        <v>73</v>
      </c>
      <c r="B10">
        <v>2173.98</v>
      </c>
      <c r="C10">
        <v>168.8</v>
      </c>
      <c r="D10">
        <v>142.11000000000001</v>
      </c>
      <c r="E10">
        <v>3266.5</v>
      </c>
      <c r="F10">
        <v>9999</v>
      </c>
      <c r="G10">
        <v>735.2</v>
      </c>
      <c r="H10">
        <v>32.524999999999999</v>
      </c>
      <c r="I10">
        <v>4481</v>
      </c>
      <c r="J10">
        <v>398.95</v>
      </c>
      <c r="K10">
        <v>379.8</v>
      </c>
      <c r="L10">
        <v>9805.39</v>
      </c>
      <c r="M10">
        <v>272.2</v>
      </c>
      <c r="N10">
        <v>131.66999999999999</v>
      </c>
      <c r="O10">
        <v>3.9594999999999998</v>
      </c>
      <c r="P10">
        <v>121.7</v>
      </c>
      <c r="Q10">
        <v>103.88</v>
      </c>
      <c r="R10">
        <v>906.1</v>
      </c>
      <c r="S10">
        <v>6.8699999999999997E-2</v>
      </c>
      <c r="T10">
        <v>85.3</v>
      </c>
      <c r="U10">
        <v>2522</v>
      </c>
      <c r="V10">
        <v>24.2</v>
      </c>
      <c r="W10">
        <v>42</v>
      </c>
      <c r="X10">
        <v>290.5</v>
      </c>
      <c r="Y10">
        <v>1.08</v>
      </c>
      <c r="Z10">
        <v>0.255</v>
      </c>
      <c r="AA10">
        <v>178.5</v>
      </c>
      <c r="AB10">
        <v>966.5</v>
      </c>
      <c r="AC10">
        <v>1.2470000000000001</v>
      </c>
      <c r="AD10">
        <v>2.758</v>
      </c>
      <c r="AE10">
        <v>471</v>
      </c>
      <c r="AF10">
        <v>372</v>
      </c>
      <c r="AG10">
        <v>77.95</v>
      </c>
      <c r="AH10">
        <v>179.48</v>
      </c>
      <c r="AI10">
        <v>6.875</v>
      </c>
      <c r="AJ10">
        <v>3450</v>
      </c>
      <c r="AK10">
        <v>2.8690000000000002</v>
      </c>
      <c r="AL10">
        <v>170</v>
      </c>
      <c r="AM10">
        <v>3780.5</v>
      </c>
      <c r="AN10">
        <v>14260</v>
      </c>
      <c r="AO10">
        <v>72.3</v>
      </c>
      <c r="AP10">
        <v>843</v>
      </c>
      <c r="AQ10">
        <v>597</v>
      </c>
      <c r="AR10">
        <v>100</v>
      </c>
      <c r="AS10">
        <v>70.570999999999998</v>
      </c>
      <c r="AT10">
        <v>1.008</v>
      </c>
      <c r="AU10">
        <v>54.8</v>
      </c>
      <c r="AV10">
        <v>86.71</v>
      </c>
      <c r="AW10">
        <v>0.51659999999999995</v>
      </c>
      <c r="AX10">
        <v>771.5</v>
      </c>
    </row>
    <row r="11" spans="1:50" x14ac:dyDescent="0.2">
      <c r="A11" s="1" t="s">
        <v>74</v>
      </c>
      <c r="B11">
        <v>2162.19</v>
      </c>
      <c r="C11">
        <v>165.5</v>
      </c>
      <c r="D11">
        <v>140.5</v>
      </c>
      <c r="E11">
        <v>3245.5</v>
      </c>
      <c r="F11">
        <v>10072</v>
      </c>
      <c r="G11">
        <v>744.2</v>
      </c>
      <c r="H11">
        <v>32.19</v>
      </c>
      <c r="I11">
        <v>4468</v>
      </c>
      <c r="J11">
        <v>398.3</v>
      </c>
      <c r="K11">
        <v>377.6</v>
      </c>
      <c r="L11">
        <v>9944.59</v>
      </c>
      <c r="M11">
        <v>272.10000000000002</v>
      </c>
      <c r="N11">
        <v>130.79</v>
      </c>
      <c r="O11">
        <v>3.99</v>
      </c>
      <c r="P11">
        <v>121.29</v>
      </c>
      <c r="Q11">
        <v>103.5</v>
      </c>
      <c r="R11">
        <v>909.8</v>
      </c>
      <c r="S11">
        <v>6.8430999999999992E-2</v>
      </c>
      <c r="T11">
        <v>85.05</v>
      </c>
      <c r="U11">
        <v>2546</v>
      </c>
      <c r="V11">
        <v>23.8</v>
      </c>
      <c r="W11">
        <v>40.799999999999997</v>
      </c>
      <c r="X11">
        <v>294.2</v>
      </c>
      <c r="Y11">
        <v>1.0838000000000001</v>
      </c>
      <c r="Z11">
        <v>0.255</v>
      </c>
      <c r="AA11">
        <v>179.5</v>
      </c>
      <c r="AB11">
        <v>966.5</v>
      </c>
      <c r="AC11">
        <v>1.248</v>
      </c>
      <c r="AD11">
        <v>2.7410000000000001</v>
      </c>
      <c r="AE11">
        <v>468.5</v>
      </c>
      <c r="AF11">
        <v>369.5</v>
      </c>
      <c r="AG11">
        <v>76.55</v>
      </c>
      <c r="AH11">
        <v>177.6</v>
      </c>
      <c r="AI11">
        <v>6.95</v>
      </c>
      <c r="AJ11">
        <v>3452</v>
      </c>
      <c r="AK11">
        <v>2.8515000000000001</v>
      </c>
      <c r="AL11">
        <v>169</v>
      </c>
      <c r="AM11">
        <v>3596.5</v>
      </c>
      <c r="AN11">
        <v>14160</v>
      </c>
      <c r="AO11">
        <v>72.7</v>
      </c>
      <c r="AP11">
        <v>843</v>
      </c>
      <c r="AQ11">
        <v>606</v>
      </c>
      <c r="AR11">
        <v>104</v>
      </c>
      <c r="AS11">
        <v>70.816999999999993</v>
      </c>
      <c r="AT11">
        <v>1.0229999999999999</v>
      </c>
      <c r="AU11">
        <v>55.95</v>
      </c>
      <c r="AV11">
        <v>85.6</v>
      </c>
      <c r="AW11">
        <v>0.52929999999999999</v>
      </c>
      <c r="AX11">
        <v>766</v>
      </c>
    </row>
    <row r="12" spans="1:50" x14ac:dyDescent="0.2">
      <c r="A12" s="1" t="s">
        <v>75</v>
      </c>
      <c r="B12">
        <v>2161.4899999999998</v>
      </c>
      <c r="C12">
        <v>164.7</v>
      </c>
      <c r="D12">
        <v>141.19999999999999</v>
      </c>
      <c r="E12">
        <v>3279</v>
      </c>
      <c r="F12">
        <v>9890</v>
      </c>
      <c r="G12">
        <v>756.5</v>
      </c>
      <c r="H12">
        <v>31.83</v>
      </c>
      <c r="I12">
        <v>4445</v>
      </c>
      <c r="J12">
        <v>395.45</v>
      </c>
      <c r="K12">
        <v>379</v>
      </c>
      <c r="L12">
        <v>10020.15</v>
      </c>
      <c r="M12">
        <v>270.75</v>
      </c>
      <c r="N12">
        <v>129.47999999999999</v>
      </c>
      <c r="O12">
        <v>4.0194999999999999</v>
      </c>
      <c r="P12">
        <v>121.75</v>
      </c>
      <c r="Q12">
        <v>101.5</v>
      </c>
      <c r="R12">
        <v>924.9</v>
      </c>
      <c r="S12">
        <v>6.8163000000000001E-2</v>
      </c>
      <c r="T12">
        <v>85.21</v>
      </c>
      <c r="U12">
        <v>2530</v>
      </c>
      <c r="V12">
        <v>23.78</v>
      </c>
      <c r="W12">
        <v>41.69</v>
      </c>
      <c r="X12">
        <v>295</v>
      </c>
      <c r="Y12">
        <v>1.0921000000000001</v>
      </c>
      <c r="Z12">
        <v>0.25729999999999997</v>
      </c>
      <c r="AA12">
        <v>177.4</v>
      </c>
      <c r="AB12">
        <v>987.5</v>
      </c>
      <c r="AC12">
        <v>1.2385999999999999</v>
      </c>
      <c r="AD12">
        <v>2.7349999999999999</v>
      </c>
      <c r="AE12">
        <v>469</v>
      </c>
      <c r="AF12">
        <v>371</v>
      </c>
      <c r="AG12">
        <v>76.45</v>
      </c>
      <c r="AH12">
        <v>172.8</v>
      </c>
      <c r="AI12">
        <v>6.9050000000000002</v>
      </c>
      <c r="AJ12">
        <v>3441</v>
      </c>
      <c r="AK12">
        <v>2.8450000000000002</v>
      </c>
      <c r="AL12">
        <v>167.8</v>
      </c>
      <c r="AM12">
        <v>3575.5</v>
      </c>
      <c r="AN12">
        <v>14140</v>
      </c>
      <c r="AO12">
        <v>72</v>
      </c>
      <c r="AP12">
        <v>842</v>
      </c>
      <c r="AQ12">
        <v>625</v>
      </c>
      <c r="AR12">
        <v>110</v>
      </c>
      <c r="AS12">
        <v>69.438999999999993</v>
      </c>
      <c r="AT12">
        <v>1.02</v>
      </c>
      <c r="AU12">
        <v>54.95</v>
      </c>
      <c r="AV12">
        <v>82.72</v>
      </c>
      <c r="AW12">
        <v>0.5212</v>
      </c>
      <c r="AX12">
        <v>762.5</v>
      </c>
    </row>
    <row r="13" spans="1:50" x14ac:dyDescent="0.2">
      <c r="A13" s="1" t="s">
        <v>76</v>
      </c>
      <c r="B13">
        <v>2141.5</v>
      </c>
      <c r="C13">
        <v>162.69999999999999</v>
      </c>
      <c r="D13">
        <v>140.62</v>
      </c>
      <c r="E13">
        <v>3250</v>
      </c>
      <c r="F13">
        <v>9740</v>
      </c>
      <c r="G13">
        <v>747</v>
      </c>
      <c r="H13">
        <v>31.995000000000001</v>
      </c>
      <c r="I13">
        <v>4450</v>
      </c>
      <c r="J13">
        <v>385.2</v>
      </c>
      <c r="K13">
        <v>369.85</v>
      </c>
      <c r="L13">
        <v>9972.43</v>
      </c>
      <c r="M13">
        <v>267.60000000000002</v>
      </c>
      <c r="N13">
        <v>127.4</v>
      </c>
      <c r="O13">
        <v>3.9319999999999999</v>
      </c>
      <c r="P13">
        <v>121.15</v>
      </c>
      <c r="Q13">
        <v>99.3</v>
      </c>
      <c r="R13">
        <v>907.8</v>
      </c>
      <c r="S13">
        <v>6.7880999999999997E-2</v>
      </c>
      <c r="T13">
        <v>84.6</v>
      </c>
      <c r="U13">
        <v>2480</v>
      </c>
      <c r="V13">
        <v>23.675000000000001</v>
      </c>
      <c r="W13">
        <v>41.1</v>
      </c>
      <c r="X13">
        <v>290.5</v>
      </c>
      <c r="Y13">
        <v>1.0834999999999999</v>
      </c>
      <c r="Z13">
        <v>0.2571</v>
      </c>
      <c r="AA13">
        <v>175.2</v>
      </c>
      <c r="AB13">
        <v>989</v>
      </c>
      <c r="AC13">
        <v>1.24</v>
      </c>
      <c r="AD13">
        <v>2.7549999999999999</v>
      </c>
      <c r="AE13">
        <v>459</v>
      </c>
      <c r="AF13">
        <v>371.5</v>
      </c>
      <c r="AG13">
        <v>76.95</v>
      </c>
      <c r="AH13">
        <v>166.92</v>
      </c>
      <c r="AI13">
        <v>6.8949999999999996</v>
      </c>
      <c r="AJ13">
        <v>3405</v>
      </c>
      <c r="AK13">
        <v>2.8540000000000001</v>
      </c>
      <c r="AL13">
        <v>167.1</v>
      </c>
      <c r="AM13">
        <v>3537.5</v>
      </c>
      <c r="AN13">
        <v>14140</v>
      </c>
      <c r="AO13">
        <v>72</v>
      </c>
      <c r="AP13">
        <v>826</v>
      </c>
      <c r="AQ13">
        <v>623</v>
      </c>
      <c r="AR13">
        <v>105</v>
      </c>
      <c r="AS13">
        <v>67.86399999999999</v>
      </c>
      <c r="AT13">
        <v>1.02</v>
      </c>
      <c r="AU13">
        <v>55</v>
      </c>
      <c r="AV13">
        <v>87.64</v>
      </c>
      <c r="AW13">
        <v>0.54320000000000002</v>
      </c>
      <c r="AX13">
        <v>762.5</v>
      </c>
    </row>
    <row r="14" spans="1:50" x14ac:dyDescent="0.2">
      <c r="A14" s="1" t="s">
        <v>77</v>
      </c>
      <c r="B14">
        <v>2137.08</v>
      </c>
      <c r="C14">
        <v>163.5</v>
      </c>
      <c r="D14">
        <v>139.72</v>
      </c>
      <c r="E14">
        <v>3211</v>
      </c>
      <c r="F14">
        <v>9940</v>
      </c>
      <c r="G14">
        <v>750</v>
      </c>
      <c r="H14">
        <v>31.995000000000001</v>
      </c>
      <c r="I14">
        <v>4447</v>
      </c>
      <c r="J14">
        <v>377.5</v>
      </c>
      <c r="K14">
        <v>360</v>
      </c>
      <c r="L14">
        <v>9942.6</v>
      </c>
      <c r="M14">
        <v>273.45</v>
      </c>
      <c r="N14">
        <v>127.81</v>
      </c>
      <c r="O14">
        <v>3.8165</v>
      </c>
      <c r="P14">
        <v>121.68</v>
      </c>
      <c r="Q14">
        <v>98.94</v>
      </c>
      <c r="R14">
        <v>908.5</v>
      </c>
      <c r="S14">
        <v>6.776900000000001E-2</v>
      </c>
      <c r="T14">
        <v>82.4</v>
      </c>
      <c r="U14">
        <v>2514</v>
      </c>
      <c r="V14">
        <v>23.07</v>
      </c>
      <c r="W14">
        <v>41.32</v>
      </c>
      <c r="X14">
        <v>291.7</v>
      </c>
      <c r="Y14">
        <v>1.0593999999999999</v>
      </c>
      <c r="Z14">
        <v>0.25824999999999998</v>
      </c>
      <c r="AA14">
        <v>172.85</v>
      </c>
      <c r="AB14">
        <v>990</v>
      </c>
      <c r="AC14">
        <v>1.2472000000000001</v>
      </c>
      <c r="AD14">
        <v>2.79</v>
      </c>
      <c r="AE14">
        <v>440.5</v>
      </c>
      <c r="AF14">
        <v>371.5</v>
      </c>
      <c r="AG14">
        <v>77.55</v>
      </c>
      <c r="AH14">
        <v>165.52</v>
      </c>
      <c r="AI14">
        <v>6.7949999999999999</v>
      </c>
      <c r="AJ14">
        <v>3421</v>
      </c>
      <c r="AK14">
        <v>2.8719999999999999</v>
      </c>
      <c r="AL14">
        <v>167.05</v>
      </c>
      <c r="AM14">
        <v>3589.5</v>
      </c>
      <c r="AN14">
        <v>14130</v>
      </c>
      <c r="AO14">
        <v>71.099999999999994</v>
      </c>
      <c r="AP14">
        <v>825</v>
      </c>
      <c r="AQ14">
        <v>620</v>
      </c>
      <c r="AR14">
        <v>103.7</v>
      </c>
      <c r="AS14">
        <v>69.045000000000002</v>
      </c>
      <c r="AT14">
        <v>1.0009999999999999</v>
      </c>
      <c r="AU14">
        <v>57</v>
      </c>
      <c r="AV14">
        <v>85.5</v>
      </c>
      <c r="AW14">
        <v>0.54010000000000002</v>
      </c>
      <c r="AX14">
        <v>763.5</v>
      </c>
    </row>
    <row r="15" spans="1:50" x14ac:dyDescent="0.2">
      <c r="A15" s="1" t="s">
        <v>78</v>
      </c>
      <c r="B15">
        <v>2148.48</v>
      </c>
      <c r="C15">
        <v>166.49</v>
      </c>
      <c r="D15">
        <v>139.16</v>
      </c>
      <c r="E15">
        <v>3232</v>
      </c>
      <c r="F15">
        <v>9957</v>
      </c>
      <c r="G15">
        <v>756.1</v>
      </c>
      <c r="H15">
        <v>32.195</v>
      </c>
      <c r="I15">
        <v>4450</v>
      </c>
      <c r="J15">
        <v>380.5</v>
      </c>
      <c r="K15">
        <v>362</v>
      </c>
      <c r="L15">
        <v>9873</v>
      </c>
      <c r="M15">
        <v>277.45</v>
      </c>
      <c r="N15">
        <v>127</v>
      </c>
      <c r="O15">
        <v>3.92</v>
      </c>
      <c r="P15">
        <v>122.24</v>
      </c>
      <c r="Q15">
        <v>101.4</v>
      </c>
      <c r="R15">
        <v>899.9</v>
      </c>
      <c r="S15">
        <v>6.7987999999999993E-2</v>
      </c>
      <c r="T15">
        <v>81.75</v>
      </c>
      <c r="U15">
        <v>2540</v>
      </c>
      <c r="V15">
        <v>22.77</v>
      </c>
      <c r="W15">
        <v>41.12</v>
      </c>
      <c r="X15">
        <v>292.5</v>
      </c>
      <c r="Y15">
        <v>1.0580000000000001</v>
      </c>
      <c r="Z15">
        <v>0.253</v>
      </c>
      <c r="AA15">
        <v>171.2</v>
      </c>
      <c r="AB15">
        <v>985</v>
      </c>
      <c r="AC15">
        <v>1.2450000000000001</v>
      </c>
      <c r="AD15">
        <v>2.79</v>
      </c>
      <c r="AE15">
        <v>427</v>
      </c>
      <c r="AF15">
        <v>370</v>
      </c>
      <c r="AG15">
        <v>77.349999999999994</v>
      </c>
      <c r="AH15">
        <v>175.4</v>
      </c>
      <c r="AI15">
        <v>6.835</v>
      </c>
      <c r="AJ15">
        <v>3400</v>
      </c>
      <c r="AK15">
        <v>2.8780000000000001</v>
      </c>
      <c r="AL15">
        <v>167</v>
      </c>
      <c r="AM15">
        <v>3463.5</v>
      </c>
      <c r="AN15">
        <v>14000</v>
      </c>
      <c r="AO15">
        <v>70.8</v>
      </c>
      <c r="AP15">
        <v>824</v>
      </c>
      <c r="AQ15">
        <v>620</v>
      </c>
      <c r="AR15">
        <v>106.7</v>
      </c>
      <c r="AS15">
        <v>69.63600000000001</v>
      </c>
      <c r="AT15">
        <v>0.99299999999999999</v>
      </c>
      <c r="AU15">
        <v>57.4</v>
      </c>
      <c r="AV15">
        <v>89</v>
      </c>
      <c r="AW15">
        <v>0.53810000000000002</v>
      </c>
      <c r="AX15">
        <v>763.5</v>
      </c>
    </row>
    <row r="16" spans="1:50" x14ac:dyDescent="0.2">
      <c r="A16" s="1" t="s">
        <v>79</v>
      </c>
      <c r="B16">
        <v>2128.21</v>
      </c>
      <c r="C16">
        <v>165.49</v>
      </c>
      <c r="D16">
        <v>138.12</v>
      </c>
      <c r="E16">
        <v>3198.5</v>
      </c>
      <c r="F16">
        <v>9720</v>
      </c>
      <c r="G16">
        <v>759.5</v>
      </c>
      <c r="H16">
        <v>31.61</v>
      </c>
      <c r="I16">
        <v>4450</v>
      </c>
      <c r="J16">
        <v>367.1</v>
      </c>
      <c r="K16">
        <v>354</v>
      </c>
      <c r="L16">
        <v>9644.32</v>
      </c>
      <c r="M16">
        <v>277.5</v>
      </c>
      <c r="N16">
        <v>126.5</v>
      </c>
      <c r="O16">
        <v>3.8730000000000002</v>
      </c>
      <c r="P16">
        <v>122.99</v>
      </c>
      <c r="Q16">
        <v>99</v>
      </c>
      <c r="R16">
        <v>882.9</v>
      </c>
      <c r="S16">
        <v>6.7930999999999991E-2</v>
      </c>
      <c r="T16">
        <v>80</v>
      </c>
      <c r="U16">
        <v>2548</v>
      </c>
      <c r="V16">
        <v>22.515000000000001</v>
      </c>
      <c r="W16">
        <v>40.200000000000003</v>
      </c>
      <c r="X16">
        <v>290.2</v>
      </c>
      <c r="Y16">
        <v>1.071</v>
      </c>
      <c r="Z16">
        <v>0.252</v>
      </c>
      <c r="AA16">
        <v>173.1</v>
      </c>
      <c r="AB16">
        <v>988.5</v>
      </c>
      <c r="AC16">
        <v>1.238</v>
      </c>
      <c r="AD16">
        <v>2.79</v>
      </c>
      <c r="AE16">
        <v>418</v>
      </c>
      <c r="AF16">
        <v>371.3</v>
      </c>
      <c r="AG16">
        <v>77</v>
      </c>
      <c r="AH16">
        <v>176.06</v>
      </c>
      <c r="AI16">
        <v>6.7050000000000001</v>
      </c>
      <c r="AJ16">
        <v>3435</v>
      </c>
      <c r="AK16">
        <v>2.85</v>
      </c>
      <c r="AL16">
        <v>167.05</v>
      </c>
      <c r="AM16">
        <v>3436.5</v>
      </c>
      <c r="AN16">
        <v>14140</v>
      </c>
      <c r="AO16">
        <v>70.8</v>
      </c>
      <c r="AP16">
        <v>826</v>
      </c>
      <c r="AQ16">
        <v>613</v>
      </c>
      <c r="AR16">
        <v>105</v>
      </c>
      <c r="AS16">
        <v>69.831999999999994</v>
      </c>
      <c r="AT16">
        <v>1.01</v>
      </c>
      <c r="AU16">
        <v>58.45</v>
      </c>
      <c r="AV16">
        <v>87.66</v>
      </c>
      <c r="AW16">
        <v>0.54269999999999996</v>
      </c>
      <c r="AX16">
        <v>760</v>
      </c>
    </row>
    <row r="17" spans="1:50" x14ac:dyDescent="0.2">
      <c r="A17" s="1" t="s">
        <v>80</v>
      </c>
      <c r="B17">
        <v>2119.09</v>
      </c>
      <c r="C17">
        <v>165.44</v>
      </c>
      <c r="D17">
        <v>138.5</v>
      </c>
      <c r="E17">
        <v>3180</v>
      </c>
      <c r="F17">
        <v>9585</v>
      </c>
      <c r="G17">
        <v>754.9</v>
      </c>
      <c r="H17">
        <v>31.545000000000002</v>
      </c>
      <c r="I17">
        <v>4451</v>
      </c>
      <c r="J17">
        <v>365</v>
      </c>
      <c r="K17">
        <v>349</v>
      </c>
      <c r="L17">
        <v>9522.0300000000007</v>
      </c>
      <c r="M17">
        <v>281</v>
      </c>
      <c r="N17">
        <v>124.38</v>
      </c>
      <c r="O17">
        <v>3.8540000000000001</v>
      </c>
      <c r="P17">
        <v>120.58</v>
      </c>
      <c r="Q17">
        <v>99.7</v>
      </c>
      <c r="R17">
        <v>882</v>
      </c>
      <c r="S17">
        <v>6.7987999999999993E-2</v>
      </c>
      <c r="T17">
        <v>79.180000000000007</v>
      </c>
      <c r="U17">
        <v>2570</v>
      </c>
      <c r="V17">
        <v>23.1</v>
      </c>
      <c r="W17">
        <v>40.494999999999997</v>
      </c>
      <c r="X17">
        <v>291</v>
      </c>
      <c r="Y17">
        <v>1.0469999999999999</v>
      </c>
      <c r="Z17">
        <v>0.2399</v>
      </c>
      <c r="AA17">
        <v>171.25</v>
      </c>
      <c r="AB17">
        <v>987</v>
      </c>
      <c r="AC17">
        <v>1.1668000000000001</v>
      </c>
      <c r="AD17">
        <v>2.72</v>
      </c>
      <c r="AE17">
        <v>421</v>
      </c>
      <c r="AF17">
        <v>369.8</v>
      </c>
      <c r="AG17">
        <v>77.2</v>
      </c>
      <c r="AH17">
        <v>171.78</v>
      </c>
      <c r="AI17">
        <v>6.65</v>
      </c>
      <c r="AJ17">
        <v>3444</v>
      </c>
      <c r="AK17">
        <v>2.7995000000000001</v>
      </c>
      <c r="AL17">
        <v>167</v>
      </c>
      <c r="AM17">
        <v>3500</v>
      </c>
      <c r="AN17">
        <v>14000</v>
      </c>
      <c r="AO17">
        <v>70</v>
      </c>
      <c r="AP17">
        <v>888</v>
      </c>
      <c r="AQ17">
        <v>595</v>
      </c>
      <c r="AR17">
        <v>101.1</v>
      </c>
      <c r="AS17">
        <v>67.962000000000003</v>
      </c>
      <c r="AT17">
        <v>1.0249999999999999</v>
      </c>
      <c r="AU17">
        <v>58.4</v>
      </c>
      <c r="AV17">
        <v>87.98</v>
      </c>
      <c r="AW17">
        <v>0.52659999999999996</v>
      </c>
      <c r="AX17">
        <v>765</v>
      </c>
    </row>
    <row r="18" spans="1:50" x14ac:dyDescent="0.2">
      <c r="A18" s="1" t="s">
        <v>81</v>
      </c>
      <c r="B18">
        <v>2127.7199999999998</v>
      </c>
      <c r="C18">
        <v>167</v>
      </c>
      <c r="D18">
        <v>138.35</v>
      </c>
      <c r="E18">
        <v>3199.5</v>
      </c>
      <c r="F18">
        <v>9677</v>
      </c>
      <c r="G18">
        <v>779</v>
      </c>
      <c r="H18">
        <v>31.414999999999999</v>
      </c>
      <c r="I18">
        <v>4451</v>
      </c>
      <c r="J18">
        <v>366.15</v>
      </c>
      <c r="K18">
        <v>354</v>
      </c>
      <c r="L18">
        <v>9485.24</v>
      </c>
      <c r="M18">
        <v>278.55</v>
      </c>
      <c r="N18">
        <v>124.97</v>
      </c>
      <c r="O18">
        <v>3.7995000000000001</v>
      </c>
      <c r="P18">
        <v>119.35</v>
      </c>
      <c r="Q18">
        <v>97.5</v>
      </c>
      <c r="R18">
        <v>898.9</v>
      </c>
      <c r="S18">
        <v>6.7919000000000007E-2</v>
      </c>
      <c r="T18">
        <v>79.98</v>
      </c>
      <c r="U18">
        <v>2567</v>
      </c>
      <c r="V18">
        <v>22.805</v>
      </c>
      <c r="W18">
        <v>39.814999999999998</v>
      </c>
      <c r="X18">
        <v>290.10000000000002</v>
      </c>
      <c r="Y18">
        <v>1.0407999999999999</v>
      </c>
      <c r="Z18">
        <v>0.249</v>
      </c>
      <c r="AA18">
        <v>170.9</v>
      </c>
      <c r="AB18">
        <v>989</v>
      </c>
      <c r="AC18">
        <v>1.17</v>
      </c>
      <c r="AD18">
        <v>2.7309999999999999</v>
      </c>
      <c r="AE18">
        <v>425</v>
      </c>
      <c r="AF18">
        <v>370</v>
      </c>
      <c r="AG18">
        <v>78.5</v>
      </c>
      <c r="AH18">
        <v>169.53</v>
      </c>
      <c r="AI18">
        <v>6.6349999999999998</v>
      </c>
      <c r="AJ18">
        <v>3415</v>
      </c>
      <c r="AK18">
        <v>2.7610000000000001</v>
      </c>
      <c r="AL18">
        <v>167</v>
      </c>
      <c r="AM18">
        <v>3430</v>
      </c>
      <c r="AN18">
        <v>14040</v>
      </c>
      <c r="AO18">
        <v>69.8</v>
      </c>
      <c r="AP18">
        <v>853</v>
      </c>
      <c r="AQ18">
        <v>641</v>
      </c>
      <c r="AR18">
        <v>102.1</v>
      </c>
      <c r="AS18">
        <v>68.552999999999997</v>
      </c>
      <c r="AT18">
        <v>1.0329999999999999</v>
      </c>
      <c r="AU18">
        <v>58.3</v>
      </c>
      <c r="AV18">
        <v>86.92</v>
      </c>
      <c r="AW18">
        <v>0.52600000000000002</v>
      </c>
      <c r="AX18">
        <v>765</v>
      </c>
    </row>
    <row r="19" spans="1:50" x14ac:dyDescent="0.2">
      <c r="A19" s="1" t="s">
        <v>82</v>
      </c>
      <c r="B19">
        <v>2106.3000000000002</v>
      </c>
      <c r="C19">
        <v>165.9</v>
      </c>
      <c r="D19">
        <v>136.68</v>
      </c>
      <c r="E19">
        <v>3175.5</v>
      </c>
      <c r="F19">
        <v>9600</v>
      </c>
      <c r="G19">
        <v>778.9</v>
      </c>
      <c r="H19">
        <v>30.53</v>
      </c>
      <c r="I19">
        <v>4452</v>
      </c>
      <c r="J19">
        <v>364.5</v>
      </c>
      <c r="K19">
        <v>347</v>
      </c>
      <c r="L19">
        <v>9141.23</v>
      </c>
      <c r="M19">
        <v>279</v>
      </c>
      <c r="N19">
        <v>126.2</v>
      </c>
      <c r="O19">
        <v>3.79</v>
      </c>
      <c r="P19">
        <v>118.8</v>
      </c>
      <c r="Q19">
        <v>96.21</v>
      </c>
      <c r="R19">
        <v>875.5</v>
      </c>
      <c r="S19">
        <v>6.7419000000000007E-2</v>
      </c>
      <c r="T19">
        <v>79</v>
      </c>
      <c r="U19">
        <v>2578</v>
      </c>
      <c r="V19">
        <v>22.69</v>
      </c>
      <c r="W19">
        <v>39.4</v>
      </c>
      <c r="X19">
        <v>290.60000000000002</v>
      </c>
      <c r="Y19">
        <v>1.0167999999999999</v>
      </c>
      <c r="Z19">
        <v>0.23644999999999999</v>
      </c>
      <c r="AA19">
        <v>168.25</v>
      </c>
      <c r="AB19">
        <v>987</v>
      </c>
      <c r="AC19">
        <v>1.1013999999999999</v>
      </c>
      <c r="AD19">
        <v>2.68</v>
      </c>
      <c r="AE19">
        <v>420</v>
      </c>
      <c r="AF19">
        <v>370.1</v>
      </c>
      <c r="AG19">
        <v>76.849999999999994</v>
      </c>
      <c r="AH19">
        <v>166.4</v>
      </c>
      <c r="AI19">
        <v>6.7249999999999996</v>
      </c>
      <c r="AJ19">
        <v>3410</v>
      </c>
      <c r="AK19">
        <v>2.7084999999999999</v>
      </c>
      <c r="AL19">
        <v>167.05</v>
      </c>
      <c r="AM19">
        <v>3359.5</v>
      </c>
      <c r="AN19">
        <v>14170</v>
      </c>
      <c r="AO19">
        <v>69.7</v>
      </c>
      <c r="AP19">
        <v>862</v>
      </c>
      <c r="AQ19">
        <v>605</v>
      </c>
      <c r="AR19">
        <v>101.5</v>
      </c>
      <c r="AS19">
        <v>68.701000000000008</v>
      </c>
      <c r="AT19">
        <v>1.0389999999999999</v>
      </c>
      <c r="AU19">
        <v>58</v>
      </c>
      <c r="AV19">
        <v>87.97</v>
      </c>
      <c r="AW19">
        <v>0.52339999999999998</v>
      </c>
      <c r="AX19">
        <v>765.5</v>
      </c>
    </row>
    <row r="20" spans="1:50" x14ac:dyDescent="0.2">
      <c r="A20" s="1" t="s">
        <v>83</v>
      </c>
      <c r="B20">
        <v>2106.3000000000002</v>
      </c>
      <c r="C20">
        <v>165.9</v>
      </c>
      <c r="D20">
        <v>136.68</v>
      </c>
      <c r="E20">
        <v>3175.5</v>
      </c>
      <c r="F20">
        <v>9600</v>
      </c>
      <c r="G20">
        <v>778.9</v>
      </c>
      <c r="H20">
        <v>30.53</v>
      </c>
      <c r="I20">
        <v>4452</v>
      </c>
      <c r="J20">
        <v>364.5</v>
      </c>
      <c r="K20">
        <v>347</v>
      </c>
      <c r="L20">
        <v>9141.23</v>
      </c>
      <c r="M20">
        <v>279</v>
      </c>
      <c r="N20">
        <v>126.2</v>
      </c>
      <c r="O20">
        <v>3.79</v>
      </c>
      <c r="P20">
        <v>118.8</v>
      </c>
      <c r="Q20">
        <v>96.21</v>
      </c>
      <c r="R20">
        <v>875.5</v>
      </c>
      <c r="S20">
        <v>6.7419000000000007E-2</v>
      </c>
      <c r="T20">
        <v>79</v>
      </c>
      <c r="U20">
        <v>2578</v>
      </c>
      <c r="V20">
        <v>22.69</v>
      </c>
      <c r="W20">
        <v>39.4</v>
      </c>
      <c r="X20">
        <v>290.60000000000002</v>
      </c>
      <c r="Y20">
        <v>1.0167999999999999</v>
      </c>
      <c r="Z20">
        <v>0.23644999999999999</v>
      </c>
      <c r="AA20">
        <v>168.25</v>
      </c>
      <c r="AB20">
        <v>987</v>
      </c>
      <c r="AC20">
        <v>1.1013999999999999</v>
      </c>
      <c r="AD20">
        <v>2.68</v>
      </c>
      <c r="AE20">
        <v>420</v>
      </c>
      <c r="AF20">
        <v>370.1</v>
      </c>
      <c r="AG20">
        <v>76.849999999999994</v>
      </c>
      <c r="AH20">
        <v>166.4</v>
      </c>
      <c r="AI20">
        <v>6.7249999999999996</v>
      </c>
      <c r="AJ20">
        <v>3410</v>
      </c>
      <c r="AK20">
        <v>2.7084999999999999</v>
      </c>
      <c r="AL20">
        <v>167.05</v>
      </c>
      <c r="AM20">
        <v>3359.5</v>
      </c>
      <c r="AN20">
        <v>14170</v>
      </c>
      <c r="AO20">
        <v>69.7</v>
      </c>
      <c r="AP20">
        <v>862</v>
      </c>
      <c r="AQ20">
        <v>605</v>
      </c>
      <c r="AR20">
        <v>101.5</v>
      </c>
      <c r="AS20">
        <v>68.701000000000008</v>
      </c>
      <c r="AT20">
        <v>1.0389999999999999</v>
      </c>
      <c r="AU20">
        <v>58</v>
      </c>
      <c r="AV20">
        <v>87.97</v>
      </c>
      <c r="AW20">
        <v>0.52339999999999998</v>
      </c>
      <c r="AX20">
        <v>765.5</v>
      </c>
    </row>
    <row r="21" spans="1:50" x14ac:dyDescent="0.2">
      <c r="A21" s="1" t="s">
        <v>84</v>
      </c>
      <c r="B21">
        <v>2093.09</v>
      </c>
      <c r="C21">
        <v>165.51</v>
      </c>
      <c r="D21">
        <v>136.75</v>
      </c>
      <c r="E21">
        <v>3184</v>
      </c>
      <c r="F21">
        <v>9498</v>
      </c>
      <c r="G21">
        <v>783</v>
      </c>
      <c r="H21">
        <v>30.64</v>
      </c>
      <c r="I21">
        <v>4452</v>
      </c>
      <c r="J21">
        <v>360</v>
      </c>
      <c r="K21">
        <v>343</v>
      </c>
      <c r="L21">
        <v>8774.34</v>
      </c>
      <c r="M21">
        <v>277.05</v>
      </c>
      <c r="N21">
        <v>126.2</v>
      </c>
      <c r="O21">
        <v>3.8</v>
      </c>
      <c r="P21">
        <v>116.37</v>
      </c>
      <c r="Q21">
        <v>94.75</v>
      </c>
      <c r="R21">
        <v>849.7</v>
      </c>
      <c r="S21">
        <v>6.7150000000000001E-2</v>
      </c>
      <c r="T21">
        <v>80</v>
      </c>
      <c r="U21">
        <v>2500</v>
      </c>
      <c r="V21">
        <v>22.035</v>
      </c>
      <c r="W21">
        <v>38.549999999999997</v>
      </c>
      <c r="X21">
        <v>291.5</v>
      </c>
      <c r="Y21">
        <v>0.98099999999999998</v>
      </c>
      <c r="Z21">
        <v>0.22595000000000001</v>
      </c>
      <c r="AA21">
        <v>167</v>
      </c>
      <c r="AB21">
        <v>976</v>
      </c>
      <c r="AC21">
        <v>1.0449999999999999</v>
      </c>
      <c r="AD21">
        <v>2.6240000000000001</v>
      </c>
      <c r="AE21">
        <v>406</v>
      </c>
      <c r="AF21">
        <v>373.4</v>
      </c>
      <c r="AG21">
        <v>77.95</v>
      </c>
      <c r="AH21">
        <v>160.80000000000001</v>
      </c>
      <c r="AI21">
        <v>6.54</v>
      </c>
      <c r="AJ21">
        <v>3400</v>
      </c>
      <c r="AK21">
        <v>2.6659999999999999</v>
      </c>
      <c r="AL21">
        <v>166.4</v>
      </c>
      <c r="AM21">
        <v>3335.5</v>
      </c>
      <c r="AN21">
        <v>14100</v>
      </c>
      <c r="AO21">
        <v>71</v>
      </c>
      <c r="AP21">
        <v>857</v>
      </c>
      <c r="AQ21">
        <v>605</v>
      </c>
      <c r="AR21">
        <v>100.3</v>
      </c>
      <c r="AS21">
        <v>66.683000000000007</v>
      </c>
      <c r="AT21">
        <v>1.0029999999999999</v>
      </c>
      <c r="AU21">
        <v>57.8</v>
      </c>
      <c r="AV21">
        <v>85.2</v>
      </c>
      <c r="AW21">
        <v>0.50239999999999996</v>
      </c>
      <c r="AX21">
        <v>760</v>
      </c>
    </row>
    <row r="22" spans="1:50" x14ac:dyDescent="0.2">
      <c r="A22" s="1" t="s">
        <v>85</v>
      </c>
      <c r="B22">
        <v>2056.46</v>
      </c>
      <c r="C22">
        <v>160.94999999999999</v>
      </c>
      <c r="D22">
        <v>135.07</v>
      </c>
      <c r="E22">
        <v>3135</v>
      </c>
      <c r="F22">
        <v>9341</v>
      </c>
      <c r="G22">
        <v>757.5</v>
      </c>
      <c r="H22">
        <v>29.715</v>
      </c>
      <c r="I22">
        <v>4455</v>
      </c>
      <c r="J22">
        <v>351.9</v>
      </c>
      <c r="K22">
        <v>331.05</v>
      </c>
      <c r="L22">
        <v>9137.25</v>
      </c>
      <c r="M22">
        <v>274.35000000000002</v>
      </c>
      <c r="N22">
        <v>123</v>
      </c>
      <c r="O22">
        <v>3.6695000000000002</v>
      </c>
      <c r="P22">
        <v>113.95</v>
      </c>
      <c r="Q22">
        <v>93.45</v>
      </c>
      <c r="R22">
        <v>840.9</v>
      </c>
      <c r="S22">
        <v>6.6750000000000004E-2</v>
      </c>
      <c r="T22">
        <v>78.95</v>
      </c>
      <c r="U22">
        <v>2481</v>
      </c>
      <c r="V22">
        <v>21.99</v>
      </c>
      <c r="W22">
        <v>37.65</v>
      </c>
      <c r="X22">
        <v>291.3</v>
      </c>
      <c r="Y22">
        <v>0.91700000000000004</v>
      </c>
      <c r="Z22">
        <v>0.20599999999999999</v>
      </c>
      <c r="AA22">
        <v>165.05</v>
      </c>
      <c r="AB22">
        <v>949.5</v>
      </c>
      <c r="AC22">
        <v>0.99990000000000001</v>
      </c>
      <c r="AD22">
        <v>2.5750000000000002</v>
      </c>
      <c r="AE22">
        <v>404</v>
      </c>
      <c r="AF22">
        <v>372.4</v>
      </c>
      <c r="AG22">
        <v>76.95</v>
      </c>
      <c r="AH22">
        <v>151.49</v>
      </c>
      <c r="AI22">
        <v>6.31</v>
      </c>
      <c r="AJ22">
        <v>3361</v>
      </c>
      <c r="AK22">
        <v>2.4645000000000001</v>
      </c>
      <c r="AL22">
        <v>167.05</v>
      </c>
      <c r="AM22">
        <v>3350</v>
      </c>
      <c r="AN22">
        <v>13800</v>
      </c>
      <c r="AO22">
        <v>71</v>
      </c>
      <c r="AP22">
        <v>871</v>
      </c>
      <c r="AQ22">
        <v>596</v>
      </c>
      <c r="AR22">
        <v>96.8</v>
      </c>
      <c r="AS22">
        <v>65.156999999999996</v>
      </c>
      <c r="AT22">
        <v>0.98</v>
      </c>
      <c r="AU22">
        <v>57.35</v>
      </c>
      <c r="AV22">
        <v>81</v>
      </c>
      <c r="AW22">
        <v>0.4602</v>
      </c>
      <c r="AX22">
        <v>760</v>
      </c>
    </row>
    <row r="23" spans="1:50" x14ac:dyDescent="0.2">
      <c r="A23" s="1" t="s">
        <v>86</v>
      </c>
      <c r="B23">
        <v>2035.77</v>
      </c>
      <c r="C23">
        <v>156</v>
      </c>
      <c r="D23">
        <v>134</v>
      </c>
      <c r="E23">
        <v>3086</v>
      </c>
      <c r="F23">
        <v>9311</v>
      </c>
      <c r="G23">
        <v>754</v>
      </c>
      <c r="H23">
        <v>29.395</v>
      </c>
      <c r="I23">
        <v>4450</v>
      </c>
      <c r="J23">
        <v>340.95</v>
      </c>
      <c r="K23">
        <v>331.1</v>
      </c>
      <c r="L23">
        <v>9080.58</v>
      </c>
      <c r="M23">
        <v>275.5</v>
      </c>
      <c r="N23">
        <v>123.5</v>
      </c>
      <c r="O23">
        <v>4.0255000000000001</v>
      </c>
      <c r="P23">
        <v>112.65</v>
      </c>
      <c r="Q23">
        <v>92.06</v>
      </c>
      <c r="R23">
        <v>827.3</v>
      </c>
      <c r="S23">
        <v>6.6081000000000001E-2</v>
      </c>
      <c r="T23">
        <v>78.06</v>
      </c>
      <c r="U23">
        <v>2400</v>
      </c>
      <c r="V23">
        <v>22.62</v>
      </c>
      <c r="W23">
        <v>36.979999999999997</v>
      </c>
      <c r="X23">
        <v>291.3</v>
      </c>
      <c r="Y23">
        <v>0.93789999999999996</v>
      </c>
      <c r="Z23">
        <v>0.214</v>
      </c>
      <c r="AA23">
        <v>165.2</v>
      </c>
      <c r="AB23">
        <v>952.5</v>
      </c>
      <c r="AC23">
        <v>1.02</v>
      </c>
      <c r="AD23">
        <v>2.5819999999999999</v>
      </c>
      <c r="AE23">
        <v>391</v>
      </c>
      <c r="AF23">
        <v>373.8</v>
      </c>
      <c r="AG23">
        <v>75.599999999999994</v>
      </c>
      <c r="AH23">
        <v>146.80000000000001</v>
      </c>
      <c r="AI23">
        <v>6.3</v>
      </c>
      <c r="AJ23">
        <v>3379</v>
      </c>
      <c r="AK23">
        <v>2.4085000000000001</v>
      </c>
      <c r="AL23">
        <v>167.05</v>
      </c>
      <c r="AM23">
        <v>3431</v>
      </c>
      <c r="AN23">
        <v>13730</v>
      </c>
      <c r="AO23">
        <v>69.7</v>
      </c>
      <c r="AP23">
        <v>848</v>
      </c>
      <c r="AQ23">
        <v>586</v>
      </c>
      <c r="AR23">
        <v>98.5</v>
      </c>
      <c r="AS23">
        <v>63.976000000000013</v>
      </c>
      <c r="AT23">
        <v>0.97400000000000009</v>
      </c>
      <c r="AU23">
        <v>55.45</v>
      </c>
      <c r="AV23">
        <v>79.31</v>
      </c>
      <c r="AW23">
        <v>0.46200000000000002</v>
      </c>
      <c r="AX23">
        <v>758</v>
      </c>
    </row>
    <row r="24" spans="1:50" x14ac:dyDescent="0.2">
      <c r="A24" s="1" t="s">
        <v>87</v>
      </c>
      <c r="B24">
        <v>2059.87</v>
      </c>
      <c r="C24">
        <v>160</v>
      </c>
      <c r="D24">
        <v>133.85</v>
      </c>
      <c r="E24">
        <v>3120</v>
      </c>
      <c r="F24">
        <v>9371</v>
      </c>
      <c r="G24">
        <v>751.7</v>
      </c>
      <c r="H24">
        <v>29.875</v>
      </c>
      <c r="I24">
        <v>4467</v>
      </c>
      <c r="J24">
        <v>355.95</v>
      </c>
      <c r="K24">
        <v>341.8</v>
      </c>
      <c r="L24">
        <v>9097.48</v>
      </c>
      <c r="M24">
        <v>273.3</v>
      </c>
      <c r="N24">
        <v>128.25</v>
      </c>
      <c r="O24">
        <v>3.8239999999999998</v>
      </c>
      <c r="P24">
        <v>113.64</v>
      </c>
      <c r="Q24">
        <v>94.47</v>
      </c>
      <c r="R24">
        <v>859.6</v>
      </c>
      <c r="S24">
        <v>6.7250000000000004E-2</v>
      </c>
      <c r="T24">
        <v>78.709999999999994</v>
      </c>
      <c r="U24">
        <v>2442</v>
      </c>
      <c r="V24">
        <v>22.7</v>
      </c>
      <c r="W24">
        <v>37.674999999999997</v>
      </c>
      <c r="X24">
        <v>291.3</v>
      </c>
      <c r="Y24">
        <v>0.95200000000000007</v>
      </c>
      <c r="Z24">
        <v>0.22245000000000001</v>
      </c>
      <c r="AA24">
        <v>177.35</v>
      </c>
      <c r="AB24">
        <v>970.5</v>
      </c>
      <c r="AC24">
        <v>1.0662</v>
      </c>
      <c r="AD24">
        <v>2.62</v>
      </c>
      <c r="AE24">
        <v>411</v>
      </c>
      <c r="AF24">
        <v>374</v>
      </c>
      <c r="AG24">
        <v>75.55</v>
      </c>
      <c r="AH24">
        <v>154</v>
      </c>
      <c r="AI24">
        <v>6.3849999999999998</v>
      </c>
      <c r="AJ24">
        <v>3390</v>
      </c>
      <c r="AK24">
        <v>2.448</v>
      </c>
      <c r="AL24">
        <v>167.2</v>
      </c>
      <c r="AM24">
        <v>3381.5</v>
      </c>
      <c r="AN24">
        <v>13960</v>
      </c>
      <c r="AO24">
        <v>68</v>
      </c>
      <c r="AP24">
        <v>853</v>
      </c>
      <c r="AQ24">
        <v>600</v>
      </c>
      <c r="AR24">
        <v>100.6</v>
      </c>
      <c r="AS24">
        <v>65.994</v>
      </c>
      <c r="AT24">
        <v>0.97</v>
      </c>
      <c r="AU24">
        <v>55.55</v>
      </c>
      <c r="AV24">
        <v>83.4</v>
      </c>
      <c r="AW24">
        <v>0.47299999999999998</v>
      </c>
      <c r="AX24">
        <v>757</v>
      </c>
    </row>
    <row r="25" spans="1:50" x14ac:dyDescent="0.2">
      <c r="A25" s="1" t="s">
        <v>88</v>
      </c>
      <c r="B25">
        <v>2049</v>
      </c>
      <c r="C25">
        <v>163.4</v>
      </c>
      <c r="D25">
        <v>131.30000000000001</v>
      </c>
      <c r="E25">
        <v>3086</v>
      </c>
      <c r="F25">
        <v>9306</v>
      </c>
      <c r="G25">
        <v>739.8</v>
      </c>
      <c r="H25">
        <v>29.66</v>
      </c>
      <c r="I25">
        <v>4459</v>
      </c>
      <c r="J25">
        <v>365</v>
      </c>
      <c r="K25">
        <v>336.6</v>
      </c>
      <c r="L25">
        <v>9196.91</v>
      </c>
      <c r="M25">
        <v>275</v>
      </c>
      <c r="N25">
        <v>124.47</v>
      </c>
      <c r="O25">
        <v>3.64</v>
      </c>
      <c r="P25">
        <v>111</v>
      </c>
      <c r="Q25">
        <v>94</v>
      </c>
      <c r="R25">
        <v>834.6</v>
      </c>
      <c r="S25">
        <v>6.6000000000000003E-2</v>
      </c>
      <c r="T25">
        <v>79.05</v>
      </c>
      <c r="U25">
        <v>2461</v>
      </c>
      <c r="V25">
        <v>21.96</v>
      </c>
      <c r="W25">
        <v>37.29</v>
      </c>
      <c r="X25">
        <v>290</v>
      </c>
      <c r="Y25">
        <v>0.93599999999999994</v>
      </c>
      <c r="Z25">
        <v>0.2089</v>
      </c>
      <c r="AA25">
        <v>174</v>
      </c>
      <c r="AB25">
        <v>954</v>
      </c>
      <c r="AC25">
        <v>1.0367</v>
      </c>
      <c r="AD25">
        <v>2.57</v>
      </c>
      <c r="AE25">
        <v>410</v>
      </c>
      <c r="AF25">
        <v>375.6</v>
      </c>
      <c r="AG25">
        <v>73.7</v>
      </c>
      <c r="AH25">
        <v>152</v>
      </c>
      <c r="AI25">
        <v>6.19</v>
      </c>
      <c r="AJ25">
        <v>3390</v>
      </c>
      <c r="AK25">
        <v>2.4119999999999999</v>
      </c>
      <c r="AL25">
        <v>167</v>
      </c>
      <c r="AM25">
        <v>3392</v>
      </c>
      <c r="AN25">
        <v>13910</v>
      </c>
      <c r="AO25">
        <v>67.400000000000006</v>
      </c>
      <c r="AP25">
        <v>856</v>
      </c>
      <c r="AQ25">
        <v>598</v>
      </c>
      <c r="AR25">
        <v>100.5</v>
      </c>
      <c r="AS25">
        <v>65.551000000000002</v>
      </c>
      <c r="AT25">
        <v>0.97400000000000009</v>
      </c>
      <c r="AU25">
        <v>57.1</v>
      </c>
      <c r="AV25">
        <v>80.77</v>
      </c>
      <c r="AW25">
        <v>0.47</v>
      </c>
      <c r="AX25">
        <v>755.5</v>
      </c>
    </row>
    <row r="26" spans="1:50" x14ac:dyDescent="0.2">
      <c r="A26" s="1" t="s">
        <v>89</v>
      </c>
      <c r="B26">
        <v>2056.89</v>
      </c>
      <c r="C26">
        <v>164.4</v>
      </c>
      <c r="D26">
        <v>134.80000000000001</v>
      </c>
      <c r="E26">
        <v>3085</v>
      </c>
      <c r="F26">
        <v>9336</v>
      </c>
      <c r="G26">
        <v>746.3</v>
      </c>
      <c r="H26">
        <v>29.61</v>
      </c>
      <c r="I26">
        <v>4455</v>
      </c>
      <c r="J26">
        <v>364</v>
      </c>
      <c r="K26">
        <v>336.5</v>
      </c>
      <c r="L26">
        <v>9122.34</v>
      </c>
      <c r="M26">
        <v>274.55</v>
      </c>
      <c r="N26">
        <v>118.26</v>
      </c>
      <c r="O26">
        <v>3.71</v>
      </c>
      <c r="P26">
        <v>111.5</v>
      </c>
      <c r="Q26">
        <v>95.85</v>
      </c>
      <c r="R26">
        <v>825</v>
      </c>
      <c r="S26">
        <v>6.6000000000000003E-2</v>
      </c>
      <c r="T26">
        <v>79.13</v>
      </c>
      <c r="U26">
        <v>2421</v>
      </c>
      <c r="V26">
        <v>21.795000000000002</v>
      </c>
      <c r="W26">
        <v>37.505000000000003</v>
      </c>
      <c r="X26">
        <v>290</v>
      </c>
      <c r="Y26">
        <v>1.0029999999999999</v>
      </c>
      <c r="Z26">
        <v>0.21049999999999999</v>
      </c>
      <c r="AA26">
        <v>168.85</v>
      </c>
      <c r="AB26">
        <v>947</v>
      </c>
      <c r="AC26">
        <v>1.0629999999999999</v>
      </c>
      <c r="AD26">
        <v>2.5920000000000001</v>
      </c>
      <c r="AE26">
        <v>407</v>
      </c>
      <c r="AF26">
        <v>381</v>
      </c>
      <c r="AG26">
        <v>75.5</v>
      </c>
      <c r="AH26">
        <v>151.76</v>
      </c>
      <c r="AI26">
        <v>6.125</v>
      </c>
      <c r="AJ26">
        <v>3408</v>
      </c>
      <c r="AK26">
        <v>2.4895</v>
      </c>
      <c r="AL26">
        <v>167</v>
      </c>
      <c r="AM26">
        <v>3449</v>
      </c>
      <c r="AN26">
        <v>13930</v>
      </c>
      <c r="AO26">
        <v>66.3</v>
      </c>
      <c r="AP26">
        <v>851</v>
      </c>
      <c r="AQ26">
        <v>596</v>
      </c>
      <c r="AR26">
        <v>101.1</v>
      </c>
      <c r="AS26">
        <v>62.646999999999998</v>
      </c>
      <c r="AT26">
        <v>0.96900000000000008</v>
      </c>
      <c r="AU26">
        <v>57.65</v>
      </c>
      <c r="AV26">
        <v>82.41</v>
      </c>
      <c r="AW26">
        <v>0.47270000000000001</v>
      </c>
      <c r="AX26">
        <v>755.5</v>
      </c>
    </row>
    <row r="27" spans="1:50" x14ac:dyDescent="0.2">
      <c r="A27" s="1" t="s">
        <v>90</v>
      </c>
      <c r="B27">
        <v>2047.42</v>
      </c>
      <c r="C27">
        <v>162</v>
      </c>
      <c r="D27">
        <v>134.6</v>
      </c>
      <c r="E27">
        <v>3078.5</v>
      </c>
      <c r="F27">
        <v>9324</v>
      </c>
      <c r="G27">
        <v>755</v>
      </c>
      <c r="H27">
        <v>29.64</v>
      </c>
      <c r="I27">
        <v>4455</v>
      </c>
      <c r="J27">
        <v>370</v>
      </c>
      <c r="K27">
        <v>332</v>
      </c>
      <c r="L27">
        <v>9196.91</v>
      </c>
      <c r="M27">
        <v>273</v>
      </c>
      <c r="N27">
        <v>113.51</v>
      </c>
      <c r="O27">
        <v>3.6524999999999999</v>
      </c>
      <c r="P27">
        <v>110</v>
      </c>
      <c r="Q27">
        <v>94.39</v>
      </c>
      <c r="R27">
        <v>823.1</v>
      </c>
      <c r="S27">
        <v>6.6000000000000003E-2</v>
      </c>
      <c r="T27">
        <v>79.349999999999994</v>
      </c>
      <c r="U27">
        <v>2444</v>
      </c>
      <c r="V27">
        <v>22.5</v>
      </c>
      <c r="W27">
        <v>36.78</v>
      </c>
      <c r="X27">
        <v>290.10000000000002</v>
      </c>
      <c r="Y27">
        <v>0.97319999999999995</v>
      </c>
      <c r="Z27">
        <v>0.20760000000000001</v>
      </c>
      <c r="AA27">
        <v>167.1</v>
      </c>
      <c r="AB27">
        <v>949</v>
      </c>
      <c r="AC27">
        <v>1.026</v>
      </c>
      <c r="AD27">
        <v>2.5449999999999999</v>
      </c>
      <c r="AE27">
        <v>411</v>
      </c>
      <c r="AF27">
        <v>379.6</v>
      </c>
      <c r="AG27">
        <v>74.5</v>
      </c>
      <c r="AH27">
        <v>150.41999999999999</v>
      </c>
      <c r="AI27">
        <v>6.21</v>
      </c>
      <c r="AJ27">
        <v>3370</v>
      </c>
      <c r="AK27">
        <v>2.4824999999999999</v>
      </c>
      <c r="AL27">
        <v>166.85</v>
      </c>
      <c r="AM27">
        <v>3478.5</v>
      </c>
      <c r="AN27">
        <v>13870</v>
      </c>
      <c r="AO27">
        <v>67</v>
      </c>
      <c r="AP27">
        <v>858</v>
      </c>
      <c r="AQ27">
        <v>609</v>
      </c>
      <c r="AR27">
        <v>102.2</v>
      </c>
      <c r="AS27">
        <v>63.878</v>
      </c>
      <c r="AT27">
        <v>0.97</v>
      </c>
      <c r="AU27">
        <v>57.6</v>
      </c>
      <c r="AV27">
        <v>81.8</v>
      </c>
      <c r="AW27">
        <v>0.46400000000000002</v>
      </c>
      <c r="AX27">
        <v>751.5</v>
      </c>
    </row>
    <row r="28" spans="1:50" x14ac:dyDescent="0.2">
      <c r="A28" s="1" t="s">
        <v>91</v>
      </c>
      <c r="B28">
        <v>2024.84</v>
      </c>
      <c r="C28">
        <v>160.97999999999999</v>
      </c>
      <c r="D28">
        <v>132.88999999999999</v>
      </c>
      <c r="E28">
        <v>3070</v>
      </c>
      <c r="F28">
        <v>9061</v>
      </c>
      <c r="G28">
        <v>746.3</v>
      </c>
      <c r="H28">
        <v>29.2</v>
      </c>
      <c r="I28">
        <v>4470</v>
      </c>
      <c r="J28">
        <v>354.95</v>
      </c>
      <c r="K28">
        <v>329.1</v>
      </c>
      <c r="L28">
        <v>9180</v>
      </c>
      <c r="M28">
        <v>270</v>
      </c>
      <c r="N28">
        <v>116.45</v>
      </c>
      <c r="O28">
        <v>3.6120000000000001</v>
      </c>
      <c r="P28">
        <v>108.52</v>
      </c>
      <c r="Q28">
        <v>91.9</v>
      </c>
      <c r="R28">
        <v>798.3</v>
      </c>
      <c r="S28">
        <v>6.6000000000000003E-2</v>
      </c>
      <c r="T28">
        <v>76.5</v>
      </c>
      <c r="U28">
        <v>2460</v>
      </c>
      <c r="V28">
        <v>22.38</v>
      </c>
      <c r="W28">
        <v>34.78</v>
      </c>
      <c r="X28">
        <v>291.2</v>
      </c>
      <c r="Y28">
        <v>0.94099999999999995</v>
      </c>
      <c r="Z28">
        <v>0.1981</v>
      </c>
      <c r="AA28">
        <v>161.15</v>
      </c>
      <c r="AB28">
        <v>945.5</v>
      </c>
      <c r="AC28">
        <v>0.96160000000000001</v>
      </c>
      <c r="AD28">
        <v>2.504</v>
      </c>
      <c r="AE28">
        <v>410.5</v>
      </c>
      <c r="AF28">
        <v>381</v>
      </c>
      <c r="AG28">
        <v>74</v>
      </c>
      <c r="AH28">
        <v>145.81</v>
      </c>
      <c r="AI28">
        <v>6.11</v>
      </c>
      <c r="AJ28">
        <v>3380</v>
      </c>
      <c r="AK28">
        <v>2.4649999999999999</v>
      </c>
      <c r="AL28">
        <v>167</v>
      </c>
      <c r="AM28">
        <v>3498</v>
      </c>
      <c r="AN28">
        <v>13910</v>
      </c>
      <c r="AO28">
        <v>67</v>
      </c>
      <c r="AP28">
        <v>861</v>
      </c>
      <c r="AQ28">
        <v>617</v>
      </c>
      <c r="AR28">
        <v>101</v>
      </c>
      <c r="AS28">
        <v>62.106000000000002</v>
      </c>
      <c r="AT28">
        <v>0.9840000000000001</v>
      </c>
      <c r="AU28">
        <v>56.8</v>
      </c>
      <c r="AV28">
        <v>77.8</v>
      </c>
      <c r="AW28">
        <v>0.45129999999999998</v>
      </c>
      <c r="AX28">
        <v>747.5</v>
      </c>
    </row>
    <row r="29" spans="1:50" x14ac:dyDescent="0.2">
      <c r="A29" s="1" t="s">
        <v>92</v>
      </c>
      <c r="B29">
        <v>2024.84</v>
      </c>
      <c r="C29">
        <v>160.97999999999999</v>
      </c>
      <c r="D29">
        <v>132.88999999999999</v>
      </c>
      <c r="E29">
        <v>3070</v>
      </c>
      <c r="F29">
        <v>9061</v>
      </c>
      <c r="G29">
        <v>746.3</v>
      </c>
      <c r="H29">
        <v>29.2</v>
      </c>
      <c r="I29">
        <v>4470</v>
      </c>
      <c r="J29">
        <v>354.95</v>
      </c>
      <c r="K29">
        <v>329.1</v>
      </c>
      <c r="L29">
        <v>9180</v>
      </c>
      <c r="M29">
        <v>270</v>
      </c>
      <c r="N29">
        <v>116.45</v>
      </c>
      <c r="O29">
        <v>3.6120000000000001</v>
      </c>
      <c r="P29">
        <v>108.52</v>
      </c>
      <c r="Q29">
        <v>91.9</v>
      </c>
      <c r="R29">
        <v>798.3</v>
      </c>
      <c r="S29">
        <v>6.6000000000000003E-2</v>
      </c>
      <c r="T29">
        <v>76.5</v>
      </c>
      <c r="U29">
        <v>2460</v>
      </c>
      <c r="V29">
        <v>22.38</v>
      </c>
      <c r="W29">
        <v>34.78</v>
      </c>
      <c r="X29">
        <v>291.2</v>
      </c>
      <c r="Y29">
        <v>0.94099999999999995</v>
      </c>
      <c r="Z29">
        <v>0.1981</v>
      </c>
      <c r="AA29">
        <v>161.15</v>
      </c>
      <c r="AB29">
        <v>945.5</v>
      </c>
      <c r="AC29">
        <v>0.96160000000000001</v>
      </c>
      <c r="AD29">
        <v>2.504</v>
      </c>
      <c r="AE29">
        <v>410.5</v>
      </c>
      <c r="AF29">
        <v>381</v>
      </c>
      <c r="AG29">
        <v>74</v>
      </c>
      <c r="AH29">
        <v>145.81</v>
      </c>
      <c r="AI29">
        <v>6.11</v>
      </c>
      <c r="AJ29">
        <v>3380</v>
      </c>
      <c r="AK29">
        <v>2.4649999999999999</v>
      </c>
      <c r="AL29">
        <v>167</v>
      </c>
      <c r="AM29">
        <v>3498</v>
      </c>
      <c r="AN29">
        <v>13910</v>
      </c>
      <c r="AO29">
        <v>67</v>
      </c>
      <c r="AP29">
        <v>861</v>
      </c>
      <c r="AQ29">
        <v>617</v>
      </c>
      <c r="AR29">
        <v>101</v>
      </c>
      <c r="AS29">
        <v>62.106000000000002</v>
      </c>
      <c r="AT29">
        <v>0.9840000000000001</v>
      </c>
      <c r="AU29">
        <v>56.8</v>
      </c>
      <c r="AV29">
        <v>77.8</v>
      </c>
      <c r="AW29">
        <v>0.45129999999999998</v>
      </c>
      <c r="AX29">
        <v>747.5</v>
      </c>
    </row>
    <row r="30" spans="1:50" x14ac:dyDescent="0.2">
      <c r="A30" s="1" t="s">
        <v>93</v>
      </c>
      <c r="B30">
        <v>1974.24</v>
      </c>
      <c r="C30">
        <v>156.19999999999999</v>
      </c>
      <c r="D30">
        <v>129</v>
      </c>
      <c r="E30">
        <v>2970</v>
      </c>
      <c r="F30">
        <v>8807</v>
      </c>
      <c r="G30">
        <v>715.2</v>
      </c>
      <c r="H30">
        <v>29.195</v>
      </c>
      <c r="I30">
        <v>4439</v>
      </c>
      <c r="J30">
        <v>342.7</v>
      </c>
      <c r="K30">
        <v>318.85000000000002</v>
      </c>
      <c r="L30">
        <v>9008.99</v>
      </c>
      <c r="M30">
        <v>257</v>
      </c>
      <c r="N30">
        <v>113.5</v>
      </c>
      <c r="O30">
        <v>3.5350000000000001</v>
      </c>
      <c r="P30">
        <v>108.36</v>
      </c>
      <c r="Q30">
        <v>88.99</v>
      </c>
      <c r="R30">
        <v>809.1</v>
      </c>
      <c r="S30">
        <v>6.4600000000000005E-2</v>
      </c>
      <c r="T30">
        <v>75.5</v>
      </c>
      <c r="U30">
        <v>2384</v>
      </c>
      <c r="V30">
        <v>21.21</v>
      </c>
      <c r="W30">
        <v>34.17</v>
      </c>
      <c r="X30">
        <v>290</v>
      </c>
      <c r="Y30">
        <v>0.90549999999999997</v>
      </c>
      <c r="Z30">
        <v>0.16375000000000001</v>
      </c>
      <c r="AA30">
        <v>152.65</v>
      </c>
      <c r="AB30">
        <v>929</v>
      </c>
      <c r="AC30">
        <v>0.83289999999999997</v>
      </c>
      <c r="AD30">
        <v>2.4209999999999998</v>
      </c>
      <c r="AE30">
        <v>398</v>
      </c>
      <c r="AF30">
        <v>387.6</v>
      </c>
      <c r="AG30">
        <v>74.8</v>
      </c>
      <c r="AH30">
        <v>134.47</v>
      </c>
      <c r="AI30">
        <v>5.8</v>
      </c>
      <c r="AJ30">
        <v>3349</v>
      </c>
      <c r="AK30">
        <v>2.2949999999999999</v>
      </c>
      <c r="AL30">
        <v>170</v>
      </c>
      <c r="AM30">
        <v>3732.5</v>
      </c>
      <c r="AN30">
        <v>13650</v>
      </c>
      <c r="AO30">
        <v>60.6</v>
      </c>
      <c r="AP30">
        <v>830</v>
      </c>
      <c r="AQ30">
        <v>612</v>
      </c>
      <c r="AR30">
        <v>97.5</v>
      </c>
      <c r="AS30">
        <v>56.89</v>
      </c>
      <c r="AT30">
        <v>0.94099999999999995</v>
      </c>
      <c r="AU30">
        <v>56.35</v>
      </c>
      <c r="AV30">
        <v>64.5</v>
      </c>
      <c r="AW30">
        <v>0.42349999999999999</v>
      </c>
      <c r="AX30">
        <v>743</v>
      </c>
    </row>
    <row r="31" spans="1:50" x14ac:dyDescent="0.2">
      <c r="A31" s="1" t="s">
        <v>94</v>
      </c>
      <c r="B31">
        <v>1973.96</v>
      </c>
      <c r="C31">
        <v>157.5</v>
      </c>
      <c r="D31">
        <v>128.78</v>
      </c>
      <c r="E31">
        <v>3028</v>
      </c>
      <c r="F31">
        <v>8855</v>
      </c>
      <c r="G31">
        <v>707.3</v>
      </c>
      <c r="H31">
        <v>28.2</v>
      </c>
      <c r="I31">
        <v>4450</v>
      </c>
      <c r="J31">
        <v>341.1</v>
      </c>
      <c r="K31">
        <v>315</v>
      </c>
      <c r="L31">
        <v>9102.4500000000007</v>
      </c>
      <c r="M31">
        <v>255.2</v>
      </c>
      <c r="N31">
        <v>113</v>
      </c>
      <c r="O31">
        <v>3.6</v>
      </c>
      <c r="P31">
        <v>108.04</v>
      </c>
      <c r="Q31">
        <v>86</v>
      </c>
      <c r="R31">
        <v>810.2</v>
      </c>
      <c r="S31">
        <v>6.5049999999999997E-2</v>
      </c>
      <c r="T31">
        <v>74.900000000000006</v>
      </c>
      <c r="U31">
        <v>2299</v>
      </c>
      <c r="V31">
        <v>20.965</v>
      </c>
      <c r="W31">
        <v>33</v>
      </c>
      <c r="X31">
        <v>290</v>
      </c>
      <c r="Y31">
        <v>0.9335</v>
      </c>
      <c r="Z31">
        <v>0.17474999999999999</v>
      </c>
      <c r="AA31">
        <v>149.19999999999999</v>
      </c>
      <c r="AB31">
        <v>917.5</v>
      </c>
      <c r="AC31">
        <v>0.88300000000000001</v>
      </c>
      <c r="AD31">
        <v>2.452</v>
      </c>
      <c r="AE31">
        <v>400</v>
      </c>
      <c r="AF31">
        <v>382</v>
      </c>
      <c r="AG31">
        <v>73</v>
      </c>
      <c r="AH31">
        <v>133</v>
      </c>
      <c r="AI31">
        <v>5.8949999999999996</v>
      </c>
      <c r="AJ31">
        <v>3290</v>
      </c>
      <c r="AK31">
        <v>2.3380000000000001</v>
      </c>
      <c r="AL31">
        <v>167.05</v>
      </c>
      <c r="AM31">
        <v>3604</v>
      </c>
      <c r="AN31">
        <v>13520</v>
      </c>
      <c r="AO31">
        <v>61.8</v>
      </c>
      <c r="AP31">
        <v>854</v>
      </c>
      <c r="AQ31">
        <v>604</v>
      </c>
      <c r="AR31">
        <v>97.9</v>
      </c>
      <c r="AS31">
        <v>58.463999999999999</v>
      </c>
      <c r="AT31">
        <v>0.98</v>
      </c>
      <c r="AU31">
        <v>56.7</v>
      </c>
      <c r="AV31">
        <v>66.510000000000005</v>
      </c>
      <c r="AW31">
        <v>0.43099999999999999</v>
      </c>
      <c r="AX31">
        <v>743</v>
      </c>
    </row>
    <row r="32" spans="1:50" x14ac:dyDescent="0.2">
      <c r="A32" s="1" t="s">
        <v>95</v>
      </c>
      <c r="B32">
        <v>2000.14</v>
      </c>
      <c r="C32">
        <v>158.91999999999999</v>
      </c>
      <c r="D32">
        <v>129.93</v>
      </c>
      <c r="E32">
        <v>3051</v>
      </c>
      <c r="F32">
        <v>8965</v>
      </c>
      <c r="G32">
        <v>721.8</v>
      </c>
      <c r="H32">
        <v>28.35</v>
      </c>
      <c r="I32">
        <v>4450</v>
      </c>
      <c r="J32">
        <v>363.4</v>
      </c>
      <c r="K32">
        <v>318.25</v>
      </c>
      <c r="L32">
        <v>9181.99</v>
      </c>
      <c r="M32">
        <v>271.8</v>
      </c>
      <c r="N32">
        <v>114.02</v>
      </c>
      <c r="O32">
        <v>3.7130000000000001</v>
      </c>
      <c r="P32">
        <v>108.02</v>
      </c>
      <c r="Q32">
        <v>87.99</v>
      </c>
      <c r="R32">
        <v>811.3</v>
      </c>
      <c r="S32">
        <v>6.5263000000000002E-2</v>
      </c>
      <c r="T32">
        <v>76.41</v>
      </c>
      <c r="U32">
        <v>2304</v>
      </c>
      <c r="V32">
        <v>21.76</v>
      </c>
      <c r="W32">
        <v>34</v>
      </c>
      <c r="X32">
        <v>298</v>
      </c>
      <c r="Y32">
        <v>0.93210000000000004</v>
      </c>
      <c r="Z32">
        <v>0.17649999999999999</v>
      </c>
      <c r="AA32">
        <v>157.4</v>
      </c>
      <c r="AB32">
        <v>918</v>
      </c>
      <c r="AC32">
        <v>0.90700000000000003</v>
      </c>
      <c r="AD32">
        <v>2.46</v>
      </c>
      <c r="AE32">
        <v>396</v>
      </c>
      <c r="AF32">
        <v>385.9</v>
      </c>
      <c r="AG32">
        <v>73.900000000000006</v>
      </c>
      <c r="AH32">
        <v>143</v>
      </c>
      <c r="AI32">
        <v>5.94</v>
      </c>
      <c r="AJ32">
        <v>3270</v>
      </c>
      <c r="AK32">
        <v>2.3494999999999999</v>
      </c>
      <c r="AL32">
        <v>168.4</v>
      </c>
      <c r="AM32">
        <v>3700</v>
      </c>
      <c r="AN32">
        <v>13880</v>
      </c>
      <c r="AO32">
        <v>61.9</v>
      </c>
      <c r="AP32">
        <v>844</v>
      </c>
      <c r="AQ32">
        <v>604</v>
      </c>
      <c r="AR32">
        <v>98.6</v>
      </c>
      <c r="AS32">
        <v>58.071000000000012</v>
      </c>
      <c r="AT32">
        <v>1.0349999999999999</v>
      </c>
      <c r="AU32">
        <v>57.2</v>
      </c>
      <c r="AV32">
        <v>65.86</v>
      </c>
      <c r="AW32">
        <v>0.41549999999999998</v>
      </c>
      <c r="AX32">
        <v>742</v>
      </c>
    </row>
    <row r="33" spans="1:50" x14ac:dyDescent="0.2">
      <c r="A33" s="1" t="s">
        <v>96</v>
      </c>
      <c r="B33">
        <v>2001.25</v>
      </c>
      <c r="C33">
        <v>157.41999999999999</v>
      </c>
      <c r="D33">
        <v>128.80000000000001</v>
      </c>
      <c r="E33">
        <v>3080</v>
      </c>
      <c r="F33">
        <v>9097</v>
      </c>
      <c r="G33">
        <v>717.4</v>
      </c>
      <c r="H33">
        <v>28.655000000000001</v>
      </c>
      <c r="I33">
        <v>4455</v>
      </c>
      <c r="J33">
        <v>365.4</v>
      </c>
      <c r="K33">
        <v>315.39999999999998</v>
      </c>
      <c r="L33">
        <v>9216.7900000000009</v>
      </c>
      <c r="M33">
        <v>269</v>
      </c>
      <c r="N33">
        <v>113.2</v>
      </c>
      <c r="O33">
        <v>3.8565</v>
      </c>
      <c r="P33">
        <v>110.61</v>
      </c>
      <c r="Q33">
        <v>87.85</v>
      </c>
      <c r="R33">
        <v>822.8</v>
      </c>
      <c r="S33">
        <v>6.5062999999999996E-2</v>
      </c>
      <c r="T33">
        <v>77.06</v>
      </c>
      <c r="U33">
        <v>2392</v>
      </c>
      <c r="V33">
        <v>22.274999999999999</v>
      </c>
      <c r="W33">
        <v>35.15</v>
      </c>
      <c r="X33">
        <v>299.2</v>
      </c>
      <c r="Y33">
        <v>0.94</v>
      </c>
      <c r="Z33">
        <v>0.17785000000000001</v>
      </c>
      <c r="AA33">
        <v>154.6</v>
      </c>
      <c r="AB33">
        <v>920</v>
      </c>
      <c r="AC33">
        <v>0.89700000000000002</v>
      </c>
      <c r="AD33">
        <v>2.48</v>
      </c>
      <c r="AE33">
        <v>401.5</v>
      </c>
      <c r="AF33">
        <v>385.5</v>
      </c>
      <c r="AG33">
        <v>74.25</v>
      </c>
      <c r="AH33">
        <v>139.25</v>
      </c>
      <c r="AI33">
        <v>6.1950000000000003</v>
      </c>
      <c r="AJ33">
        <v>3270</v>
      </c>
      <c r="AK33">
        <v>2.33</v>
      </c>
      <c r="AL33">
        <v>167.45</v>
      </c>
      <c r="AM33">
        <v>3549</v>
      </c>
      <c r="AN33">
        <v>14070</v>
      </c>
      <c r="AO33">
        <v>61.7</v>
      </c>
      <c r="AP33">
        <v>838</v>
      </c>
      <c r="AQ33">
        <v>614</v>
      </c>
      <c r="AR33">
        <v>100.3</v>
      </c>
      <c r="AS33">
        <v>58.071000000000012</v>
      </c>
      <c r="AT33">
        <v>1.0369999999999999</v>
      </c>
      <c r="AU33">
        <v>57</v>
      </c>
      <c r="AV33">
        <v>66.03</v>
      </c>
      <c r="AW33">
        <v>0.41399999999999998</v>
      </c>
      <c r="AX33">
        <v>742</v>
      </c>
    </row>
    <row r="34" spans="1:50" x14ac:dyDescent="0.2">
      <c r="A34" s="1" t="s">
        <v>97</v>
      </c>
      <c r="B34">
        <v>1992.59</v>
      </c>
      <c r="C34">
        <v>156.19999999999999</v>
      </c>
      <c r="D34">
        <v>127.6</v>
      </c>
      <c r="E34">
        <v>3088</v>
      </c>
      <c r="F34">
        <v>9057</v>
      </c>
      <c r="G34">
        <v>723.2</v>
      </c>
      <c r="H34">
        <v>28.434999999999999</v>
      </c>
      <c r="I34">
        <v>4476</v>
      </c>
      <c r="J34">
        <v>356</v>
      </c>
      <c r="K34">
        <v>314.7</v>
      </c>
      <c r="L34">
        <v>9292.35</v>
      </c>
      <c r="M34">
        <v>260.10000000000002</v>
      </c>
      <c r="N34">
        <v>110.15</v>
      </c>
      <c r="O34">
        <v>3.9155000000000002</v>
      </c>
      <c r="P34">
        <v>110.43</v>
      </c>
      <c r="Q34">
        <v>87.01</v>
      </c>
      <c r="R34">
        <v>813</v>
      </c>
      <c r="S34">
        <v>6.5138000000000001E-2</v>
      </c>
      <c r="T34">
        <v>76.64</v>
      </c>
      <c r="U34">
        <v>2338</v>
      </c>
      <c r="V34">
        <v>21.545000000000002</v>
      </c>
      <c r="W34">
        <v>35.185000000000002</v>
      </c>
      <c r="X34">
        <v>299.39999999999998</v>
      </c>
      <c r="Y34">
        <v>0.94</v>
      </c>
      <c r="Z34">
        <v>0.17929999999999999</v>
      </c>
      <c r="AA34">
        <v>153.1</v>
      </c>
      <c r="AB34">
        <v>914.5</v>
      </c>
      <c r="AC34">
        <v>0.88580000000000003</v>
      </c>
      <c r="AD34">
        <v>2.5590000000000002</v>
      </c>
      <c r="AE34">
        <v>403</v>
      </c>
      <c r="AF34">
        <v>386.1</v>
      </c>
      <c r="AG34">
        <v>74.7</v>
      </c>
      <c r="AH34">
        <v>140.02000000000001</v>
      </c>
      <c r="AI34">
        <v>6.3550000000000004</v>
      </c>
      <c r="AJ34">
        <v>3230</v>
      </c>
      <c r="AK34">
        <v>2.351</v>
      </c>
      <c r="AL34">
        <v>168.7</v>
      </c>
      <c r="AM34">
        <v>3480.5</v>
      </c>
      <c r="AN34">
        <v>14170</v>
      </c>
      <c r="AO34">
        <v>61.8</v>
      </c>
      <c r="AP34">
        <v>836</v>
      </c>
      <c r="AQ34">
        <v>615</v>
      </c>
      <c r="AR34">
        <v>99.8</v>
      </c>
      <c r="AS34">
        <v>58.071000000000012</v>
      </c>
      <c r="AT34">
        <v>1.0489999999999999</v>
      </c>
      <c r="AU34">
        <v>57.05</v>
      </c>
      <c r="AV34">
        <v>65.67</v>
      </c>
      <c r="AW34">
        <v>0.41349999999999998</v>
      </c>
      <c r="AX34">
        <v>740.5</v>
      </c>
    </row>
    <row r="35" spans="1:50" x14ac:dyDescent="0.2">
      <c r="A35" s="1" t="s">
        <v>98</v>
      </c>
      <c r="B35">
        <v>2014.37</v>
      </c>
      <c r="C35">
        <v>158.35</v>
      </c>
      <c r="D35">
        <v>128.05000000000001</v>
      </c>
      <c r="E35">
        <v>3095</v>
      </c>
      <c r="F35">
        <v>9054</v>
      </c>
      <c r="G35">
        <v>722.1</v>
      </c>
      <c r="H35">
        <v>28.65</v>
      </c>
      <c r="I35">
        <v>4400</v>
      </c>
      <c r="J35">
        <v>371</v>
      </c>
      <c r="K35">
        <v>313.95</v>
      </c>
      <c r="L35">
        <v>9644.32</v>
      </c>
      <c r="M35">
        <v>269.60000000000002</v>
      </c>
      <c r="N35">
        <v>112.81</v>
      </c>
      <c r="O35">
        <v>3.9329999999999998</v>
      </c>
      <c r="P35">
        <v>111.49</v>
      </c>
      <c r="Q35">
        <v>91.5</v>
      </c>
      <c r="R35">
        <v>833.5</v>
      </c>
      <c r="S35">
        <v>6.5500000000000003E-2</v>
      </c>
      <c r="T35">
        <v>76.2</v>
      </c>
      <c r="U35">
        <v>2370</v>
      </c>
      <c r="V35">
        <v>22.204999999999998</v>
      </c>
      <c r="W35">
        <v>36.35</v>
      </c>
      <c r="X35">
        <v>293.2</v>
      </c>
      <c r="Y35">
        <v>0.95250000000000001</v>
      </c>
      <c r="Z35">
        <v>0.18995000000000001</v>
      </c>
      <c r="AA35">
        <v>159.4</v>
      </c>
      <c r="AB35">
        <v>919.5</v>
      </c>
      <c r="AC35">
        <v>0.91</v>
      </c>
      <c r="AD35">
        <v>2.58</v>
      </c>
      <c r="AE35">
        <v>398.5</v>
      </c>
      <c r="AF35">
        <v>386.9</v>
      </c>
      <c r="AG35">
        <v>74</v>
      </c>
      <c r="AH35">
        <v>142.08000000000001</v>
      </c>
      <c r="AI35">
        <v>6.32</v>
      </c>
      <c r="AJ35">
        <v>3265</v>
      </c>
      <c r="AK35">
        <v>2.4500000000000002</v>
      </c>
      <c r="AL35">
        <v>167</v>
      </c>
      <c r="AM35">
        <v>3337.5</v>
      </c>
      <c r="AN35">
        <v>14010</v>
      </c>
      <c r="AO35">
        <v>61.9</v>
      </c>
      <c r="AP35">
        <v>839</v>
      </c>
      <c r="AQ35">
        <v>609</v>
      </c>
      <c r="AR35">
        <v>100.4</v>
      </c>
      <c r="AS35">
        <v>59.695</v>
      </c>
      <c r="AT35">
        <v>1.042</v>
      </c>
      <c r="AU35">
        <v>57.1</v>
      </c>
      <c r="AV35">
        <v>68.400000000000006</v>
      </c>
      <c r="AW35">
        <v>0.43540000000000001</v>
      </c>
      <c r="AX35">
        <v>740</v>
      </c>
    </row>
    <row r="36" spans="1:50" x14ac:dyDescent="0.2">
      <c r="A36" s="1" t="s">
        <v>99</v>
      </c>
      <c r="B36">
        <v>2036.96</v>
      </c>
      <c r="C36">
        <v>161.15</v>
      </c>
      <c r="D36">
        <v>128.94</v>
      </c>
      <c r="E36">
        <v>3130</v>
      </c>
      <c r="F36">
        <v>9169</v>
      </c>
      <c r="G36">
        <v>740</v>
      </c>
      <c r="H36">
        <v>28.934999999999999</v>
      </c>
      <c r="I36">
        <v>4447</v>
      </c>
      <c r="J36">
        <v>368.7</v>
      </c>
      <c r="K36">
        <v>314.45</v>
      </c>
      <c r="L36">
        <v>9644.32</v>
      </c>
      <c r="M36">
        <v>268.14999999999998</v>
      </c>
      <c r="N36">
        <v>114.45</v>
      </c>
      <c r="O36">
        <v>3.9925000000000002</v>
      </c>
      <c r="P36">
        <v>114.16</v>
      </c>
      <c r="Q36">
        <v>94.5</v>
      </c>
      <c r="R36">
        <v>833.5</v>
      </c>
      <c r="S36">
        <v>6.6250000000000003E-2</v>
      </c>
      <c r="T36">
        <v>75</v>
      </c>
      <c r="U36">
        <v>2391</v>
      </c>
      <c r="V36">
        <v>22.315000000000001</v>
      </c>
      <c r="W36">
        <v>37.01</v>
      </c>
      <c r="X36">
        <v>291.3</v>
      </c>
      <c r="Y36">
        <v>0.95799999999999996</v>
      </c>
      <c r="Z36">
        <v>0.19055</v>
      </c>
      <c r="AA36">
        <v>161.55000000000001</v>
      </c>
      <c r="AB36">
        <v>930</v>
      </c>
      <c r="AC36">
        <v>0.94989999999999997</v>
      </c>
      <c r="AD36">
        <v>2.59</v>
      </c>
      <c r="AE36">
        <v>397</v>
      </c>
      <c r="AF36">
        <v>384.9</v>
      </c>
      <c r="AG36">
        <v>73.25</v>
      </c>
      <c r="AH36">
        <v>147.51</v>
      </c>
      <c r="AI36">
        <v>6.3449999999999998</v>
      </c>
      <c r="AJ36">
        <v>3255</v>
      </c>
      <c r="AK36">
        <v>2.3849999999999998</v>
      </c>
      <c r="AL36">
        <v>168.75</v>
      </c>
      <c r="AM36">
        <v>3305</v>
      </c>
      <c r="AN36">
        <v>13950</v>
      </c>
      <c r="AO36">
        <v>60</v>
      </c>
      <c r="AP36">
        <v>841</v>
      </c>
      <c r="AQ36">
        <v>606</v>
      </c>
      <c r="AR36">
        <v>102.5</v>
      </c>
      <c r="AS36">
        <v>59.841999999999999</v>
      </c>
      <c r="AT36">
        <v>1.05</v>
      </c>
      <c r="AU36">
        <v>59.6</v>
      </c>
      <c r="AV36">
        <v>73.08</v>
      </c>
      <c r="AW36">
        <v>0.45300000000000001</v>
      </c>
      <c r="AX36">
        <v>740</v>
      </c>
    </row>
    <row r="37" spans="1:50" x14ac:dyDescent="0.2">
      <c r="A37" s="1" t="s">
        <v>100</v>
      </c>
      <c r="B37">
        <v>2042.72</v>
      </c>
      <c r="C37">
        <v>163.80000000000001</v>
      </c>
      <c r="D37">
        <v>128.79</v>
      </c>
      <c r="E37">
        <v>3092.5</v>
      </c>
      <c r="F37">
        <v>9011</v>
      </c>
      <c r="G37">
        <v>738.1</v>
      </c>
      <c r="H37">
        <v>29.47</v>
      </c>
      <c r="I37">
        <v>4410</v>
      </c>
      <c r="J37">
        <v>364.45</v>
      </c>
      <c r="K37">
        <v>311.14999999999998</v>
      </c>
      <c r="L37">
        <v>9723.86</v>
      </c>
      <c r="M37">
        <v>275.35000000000002</v>
      </c>
      <c r="N37">
        <v>117.16</v>
      </c>
      <c r="O37">
        <v>4.0599999999999996</v>
      </c>
      <c r="P37">
        <v>114.1</v>
      </c>
      <c r="Q37">
        <v>93.82</v>
      </c>
      <c r="R37">
        <v>815.4</v>
      </c>
      <c r="S37">
        <v>6.7199999999999996E-2</v>
      </c>
      <c r="T37">
        <v>78.25</v>
      </c>
      <c r="U37">
        <v>2359</v>
      </c>
      <c r="V37">
        <v>21.745000000000001</v>
      </c>
      <c r="W37">
        <v>37.799999999999997</v>
      </c>
      <c r="X37">
        <v>288.60000000000002</v>
      </c>
      <c r="Y37">
        <v>0.97319999999999995</v>
      </c>
      <c r="Z37">
        <v>0.19489999999999999</v>
      </c>
      <c r="AA37">
        <v>159.30000000000001</v>
      </c>
      <c r="AB37">
        <v>919.5</v>
      </c>
      <c r="AC37">
        <v>0.96389999999999998</v>
      </c>
      <c r="AD37">
        <v>2.7450000000000001</v>
      </c>
      <c r="AE37">
        <v>397</v>
      </c>
      <c r="AF37">
        <v>383</v>
      </c>
      <c r="AG37">
        <v>74.099999999999994</v>
      </c>
      <c r="AH37">
        <v>149.19999999999999</v>
      </c>
      <c r="AI37">
        <v>6.3</v>
      </c>
      <c r="AJ37">
        <v>3318</v>
      </c>
      <c r="AK37">
        <v>2.464</v>
      </c>
      <c r="AL37">
        <v>167.05</v>
      </c>
      <c r="AM37">
        <v>3341.5</v>
      </c>
      <c r="AN37">
        <v>14020</v>
      </c>
      <c r="AO37">
        <v>59.9</v>
      </c>
      <c r="AP37">
        <v>844</v>
      </c>
      <c r="AQ37">
        <v>606</v>
      </c>
      <c r="AR37">
        <v>102.9</v>
      </c>
      <c r="AS37">
        <v>61.908999999999999</v>
      </c>
      <c r="AT37">
        <v>1.05</v>
      </c>
      <c r="AU37">
        <v>58.6</v>
      </c>
      <c r="AV37">
        <v>75.72</v>
      </c>
      <c r="AW37">
        <v>0.46810000000000002</v>
      </c>
      <c r="AX37">
        <v>743</v>
      </c>
    </row>
    <row r="38" spans="1:50" x14ac:dyDescent="0.2">
      <c r="A38" s="1" t="s">
        <v>101</v>
      </c>
      <c r="B38">
        <v>2048.0700000000002</v>
      </c>
      <c r="C38">
        <v>162.97999999999999</v>
      </c>
      <c r="D38">
        <v>129.30000000000001</v>
      </c>
      <c r="E38">
        <v>3101</v>
      </c>
      <c r="F38">
        <v>9109</v>
      </c>
      <c r="G38">
        <v>742.5</v>
      </c>
      <c r="H38">
        <v>29.655000000000001</v>
      </c>
      <c r="I38">
        <v>4374</v>
      </c>
      <c r="J38">
        <v>364.7</v>
      </c>
      <c r="K38">
        <v>316</v>
      </c>
      <c r="L38">
        <v>9674.15</v>
      </c>
      <c r="M38">
        <v>283.75</v>
      </c>
      <c r="N38">
        <v>114.38</v>
      </c>
      <c r="O38">
        <v>4.0149999999999997</v>
      </c>
      <c r="P38">
        <v>114.35</v>
      </c>
      <c r="Q38">
        <v>94.5</v>
      </c>
      <c r="R38">
        <v>834.2</v>
      </c>
      <c r="S38">
        <v>6.6799999999999998E-2</v>
      </c>
      <c r="T38">
        <v>78</v>
      </c>
      <c r="U38">
        <v>2389</v>
      </c>
      <c r="V38">
        <v>22</v>
      </c>
      <c r="W38">
        <v>37.5</v>
      </c>
      <c r="X38">
        <v>287.2</v>
      </c>
      <c r="Y38">
        <v>0.95009999999999994</v>
      </c>
      <c r="Z38">
        <v>0.18804999999999999</v>
      </c>
      <c r="AA38">
        <v>159</v>
      </c>
      <c r="AB38">
        <v>919.5</v>
      </c>
      <c r="AC38">
        <v>0.97799999999999998</v>
      </c>
      <c r="AD38">
        <v>2.6850000000000001</v>
      </c>
      <c r="AE38">
        <v>398</v>
      </c>
      <c r="AF38">
        <v>381.1</v>
      </c>
      <c r="AG38">
        <v>75.8</v>
      </c>
      <c r="AH38">
        <v>144.6</v>
      </c>
      <c r="AI38">
        <v>6.25</v>
      </c>
      <c r="AJ38">
        <v>3341</v>
      </c>
      <c r="AK38">
        <v>2.4649999999999999</v>
      </c>
      <c r="AL38">
        <v>167.2</v>
      </c>
      <c r="AM38">
        <v>3337</v>
      </c>
      <c r="AN38">
        <v>14040</v>
      </c>
      <c r="AO38">
        <v>59.4</v>
      </c>
      <c r="AP38">
        <v>843</v>
      </c>
      <c r="AQ38">
        <v>602</v>
      </c>
      <c r="AR38">
        <v>102.9</v>
      </c>
      <c r="AS38">
        <v>62.843999999999987</v>
      </c>
      <c r="AT38">
        <v>1.036</v>
      </c>
      <c r="AU38">
        <v>59.1</v>
      </c>
      <c r="AV38">
        <v>73.7</v>
      </c>
      <c r="AW38">
        <v>0.46510000000000001</v>
      </c>
      <c r="AX38">
        <v>743.5</v>
      </c>
    </row>
    <row r="39" spans="1:50" x14ac:dyDescent="0.2">
      <c r="A39" s="1" t="s">
        <v>102</v>
      </c>
      <c r="B39">
        <v>2061.5300000000002</v>
      </c>
      <c r="C39">
        <v>162.91999999999999</v>
      </c>
      <c r="D39">
        <v>131.65</v>
      </c>
      <c r="E39">
        <v>3120.5</v>
      </c>
      <c r="F39">
        <v>9180</v>
      </c>
      <c r="G39">
        <v>747</v>
      </c>
      <c r="H39">
        <v>30.074999999999999</v>
      </c>
      <c r="I39">
        <v>4369</v>
      </c>
      <c r="J39">
        <v>365.5</v>
      </c>
      <c r="K39">
        <v>320.35000000000002</v>
      </c>
      <c r="L39">
        <v>9385.81</v>
      </c>
      <c r="M39">
        <v>287.5</v>
      </c>
      <c r="N39">
        <v>113.49</v>
      </c>
      <c r="O39">
        <v>4.069</v>
      </c>
      <c r="P39">
        <v>112.91</v>
      </c>
      <c r="Q39">
        <v>92.85</v>
      </c>
      <c r="R39">
        <v>836.3</v>
      </c>
      <c r="S39">
        <v>6.6969000000000001E-2</v>
      </c>
      <c r="T39">
        <v>77.900000000000006</v>
      </c>
      <c r="U39">
        <v>2405</v>
      </c>
      <c r="V39">
        <v>21.85</v>
      </c>
      <c r="W39">
        <v>37.5</v>
      </c>
      <c r="X39">
        <v>286.8</v>
      </c>
      <c r="Y39">
        <v>0.95700000000000007</v>
      </c>
      <c r="Z39">
        <v>0.1948</v>
      </c>
      <c r="AA39">
        <v>164.25</v>
      </c>
      <c r="AB39">
        <v>919</v>
      </c>
      <c r="AC39">
        <v>0.99370000000000003</v>
      </c>
      <c r="AD39">
        <v>2.7029999999999998</v>
      </c>
      <c r="AE39">
        <v>398</v>
      </c>
      <c r="AF39">
        <v>383</v>
      </c>
      <c r="AG39">
        <v>75.75</v>
      </c>
      <c r="AH39">
        <v>144.16999999999999</v>
      </c>
      <c r="AI39">
        <v>6.07</v>
      </c>
      <c r="AJ39">
        <v>3330</v>
      </c>
      <c r="AK39">
        <v>2.4335</v>
      </c>
      <c r="AL39">
        <v>168.25</v>
      </c>
      <c r="AM39">
        <v>3692.5</v>
      </c>
      <c r="AN39">
        <v>13970</v>
      </c>
      <c r="AO39">
        <v>59.2</v>
      </c>
      <c r="AP39">
        <v>838</v>
      </c>
      <c r="AQ39">
        <v>599</v>
      </c>
      <c r="AR39">
        <v>101</v>
      </c>
      <c r="AS39">
        <v>63.386000000000003</v>
      </c>
      <c r="AT39">
        <v>1.0149999999999999</v>
      </c>
      <c r="AU39">
        <v>59</v>
      </c>
      <c r="AV39">
        <v>73.55</v>
      </c>
      <c r="AW39">
        <v>0.46639999999999998</v>
      </c>
      <c r="AX39">
        <v>743.5</v>
      </c>
    </row>
    <row r="40" spans="1:50" x14ac:dyDescent="0.2">
      <c r="A40" s="1" t="s">
        <v>103</v>
      </c>
      <c r="B40">
        <v>2051.04</v>
      </c>
      <c r="C40">
        <v>164.15</v>
      </c>
      <c r="D40">
        <v>130.99</v>
      </c>
      <c r="E40">
        <v>3066</v>
      </c>
      <c r="F40">
        <v>9182</v>
      </c>
      <c r="G40">
        <v>738.6</v>
      </c>
      <c r="H40">
        <v>29.55</v>
      </c>
      <c r="I40">
        <v>4333</v>
      </c>
      <c r="J40">
        <v>359.95</v>
      </c>
      <c r="K40">
        <v>317.95</v>
      </c>
      <c r="L40">
        <v>9316.2199999999993</v>
      </c>
      <c r="M40">
        <v>290</v>
      </c>
      <c r="N40">
        <v>112.01</v>
      </c>
      <c r="O40">
        <v>4.1389999999999993</v>
      </c>
      <c r="P40">
        <v>110.5</v>
      </c>
      <c r="Q40">
        <v>96.21</v>
      </c>
      <c r="R40">
        <v>824.5</v>
      </c>
      <c r="S40">
        <v>6.6780999999999993E-2</v>
      </c>
      <c r="T40">
        <v>77.849999999999994</v>
      </c>
      <c r="U40">
        <v>2404</v>
      </c>
      <c r="V40">
        <v>21.97</v>
      </c>
      <c r="W40">
        <v>37.375</v>
      </c>
      <c r="X40">
        <v>283.3</v>
      </c>
      <c r="Y40">
        <v>0.94259999999999999</v>
      </c>
      <c r="Z40">
        <v>0.18920000000000001</v>
      </c>
      <c r="AA40">
        <v>165.45</v>
      </c>
      <c r="AB40">
        <v>918</v>
      </c>
      <c r="AC40">
        <v>0.99900000000000011</v>
      </c>
      <c r="AD40">
        <v>2.6579999999999999</v>
      </c>
      <c r="AE40">
        <v>399</v>
      </c>
      <c r="AF40">
        <v>381.1</v>
      </c>
      <c r="AG40">
        <v>75.3</v>
      </c>
      <c r="AH40">
        <v>143.65</v>
      </c>
      <c r="AI40">
        <v>6.11</v>
      </c>
      <c r="AJ40">
        <v>3348</v>
      </c>
      <c r="AK40">
        <v>2.4085000000000001</v>
      </c>
      <c r="AL40">
        <v>167</v>
      </c>
      <c r="AM40">
        <v>3640</v>
      </c>
      <c r="AN40">
        <v>14000</v>
      </c>
      <c r="AO40">
        <v>58.4</v>
      </c>
      <c r="AP40">
        <v>837</v>
      </c>
      <c r="AQ40">
        <v>590</v>
      </c>
      <c r="AR40">
        <v>100.9</v>
      </c>
      <c r="AS40">
        <v>64.123999999999995</v>
      </c>
      <c r="AT40">
        <v>1.0049999999999999</v>
      </c>
      <c r="AU40">
        <v>59.2</v>
      </c>
      <c r="AV40">
        <v>76</v>
      </c>
      <c r="AW40">
        <v>0.45850000000000002</v>
      </c>
      <c r="AX40">
        <v>743.5</v>
      </c>
    </row>
    <row r="41" spans="1:50" x14ac:dyDescent="0.2">
      <c r="A41" s="1" t="s">
        <v>104</v>
      </c>
      <c r="B41">
        <v>2039.77</v>
      </c>
      <c r="C41">
        <v>164.52</v>
      </c>
      <c r="D41">
        <v>130.05000000000001</v>
      </c>
      <c r="E41">
        <v>3017.5</v>
      </c>
      <c r="F41">
        <v>9165</v>
      </c>
      <c r="G41">
        <v>736</v>
      </c>
      <c r="H41">
        <v>29.425000000000001</v>
      </c>
      <c r="I41">
        <v>4448</v>
      </c>
      <c r="J41">
        <v>349</v>
      </c>
      <c r="K41">
        <v>315.64999999999998</v>
      </c>
      <c r="L41">
        <v>9296.33</v>
      </c>
      <c r="M41">
        <v>288.85000000000002</v>
      </c>
      <c r="N41">
        <v>114.32</v>
      </c>
      <c r="O41">
        <v>4.133</v>
      </c>
      <c r="P41">
        <v>111.98</v>
      </c>
      <c r="Q41">
        <v>96</v>
      </c>
      <c r="R41">
        <v>825</v>
      </c>
      <c r="S41">
        <v>6.6400000000000001E-2</v>
      </c>
      <c r="T41">
        <v>77.5</v>
      </c>
      <c r="U41">
        <v>2383</v>
      </c>
      <c r="V41">
        <v>22.3</v>
      </c>
      <c r="W41">
        <v>37.604999999999997</v>
      </c>
      <c r="X41">
        <v>282.7</v>
      </c>
      <c r="Y41">
        <v>0.94499999999999995</v>
      </c>
      <c r="Z41">
        <v>0.19040000000000001</v>
      </c>
      <c r="AA41">
        <v>167.6</v>
      </c>
      <c r="AB41">
        <v>913.5</v>
      </c>
      <c r="AC41">
        <v>0.99319999999999997</v>
      </c>
      <c r="AD41">
        <v>2.64</v>
      </c>
      <c r="AE41">
        <v>394.5</v>
      </c>
      <c r="AF41">
        <v>380.8</v>
      </c>
      <c r="AG41">
        <v>75.25</v>
      </c>
      <c r="AH41">
        <v>143.09</v>
      </c>
      <c r="AI41">
        <v>6.07</v>
      </c>
      <c r="AJ41">
        <v>3288</v>
      </c>
      <c r="AK41">
        <v>2.4060000000000001</v>
      </c>
      <c r="AL41">
        <v>167</v>
      </c>
      <c r="AM41">
        <v>3662.5</v>
      </c>
      <c r="AN41">
        <v>14090</v>
      </c>
      <c r="AO41">
        <v>56.8</v>
      </c>
      <c r="AP41">
        <v>843</v>
      </c>
      <c r="AQ41">
        <v>590</v>
      </c>
      <c r="AR41">
        <v>101.9</v>
      </c>
      <c r="AS41">
        <v>65.846000000000004</v>
      </c>
      <c r="AT41">
        <v>1.008</v>
      </c>
      <c r="AU41">
        <v>59.3</v>
      </c>
      <c r="AV41">
        <v>73.95</v>
      </c>
      <c r="AW41">
        <v>0.45850000000000002</v>
      </c>
      <c r="AX41">
        <v>743.5</v>
      </c>
    </row>
    <row r="42" spans="1:50" x14ac:dyDescent="0.2">
      <c r="A42" s="1" t="s">
        <v>105</v>
      </c>
      <c r="B42">
        <v>2013.16</v>
      </c>
      <c r="C42">
        <v>162.69</v>
      </c>
      <c r="D42">
        <v>128.80000000000001</v>
      </c>
      <c r="E42">
        <v>3003</v>
      </c>
      <c r="F42">
        <v>8891</v>
      </c>
      <c r="G42">
        <v>727.7</v>
      </c>
      <c r="H42">
        <v>29</v>
      </c>
      <c r="I42">
        <v>4440</v>
      </c>
      <c r="J42">
        <v>347.35</v>
      </c>
      <c r="K42">
        <v>309.8</v>
      </c>
      <c r="L42">
        <v>9297.33</v>
      </c>
      <c r="M42">
        <v>283</v>
      </c>
      <c r="N42">
        <v>112.4</v>
      </c>
      <c r="O42">
        <v>4.0999999999999996</v>
      </c>
      <c r="P42">
        <v>111.66</v>
      </c>
      <c r="Q42">
        <v>94.69</v>
      </c>
      <c r="R42">
        <v>821.3</v>
      </c>
      <c r="S42">
        <v>6.5500000000000003E-2</v>
      </c>
      <c r="T42">
        <v>76.599999999999994</v>
      </c>
      <c r="U42">
        <v>2328</v>
      </c>
      <c r="V42">
        <v>22.02</v>
      </c>
      <c r="W42">
        <v>37.35</v>
      </c>
      <c r="X42">
        <v>281.8</v>
      </c>
      <c r="Y42">
        <v>0.90949999999999998</v>
      </c>
      <c r="Z42">
        <v>0.17899999999999999</v>
      </c>
      <c r="AA42">
        <v>165</v>
      </c>
      <c r="AB42">
        <v>914</v>
      </c>
      <c r="AC42">
        <v>0.94350000000000001</v>
      </c>
      <c r="AD42">
        <v>2.64</v>
      </c>
      <c r="AE42">
        <v>390.5</v>
      </c>
      <c r="AF42">
        <v>377.5</v>
      </c>
      <c r="AG42">
        <v>72.599999999999994</v>
      </c>
      <c r="AH42">
        <v>140.36000000000001</v>
      </c>
      <c r="AI42">
        <v>5.95</v>
      </c>
      <c r="AJ42">
        <v>3290</v>
      </c>
      <c r="AK42">
        <v>2.3494999999999999</v>
      </c>
      <c r="AL42">
        <v>167.05</v>
      </c>
      <c r="AM42">
        <v>3701.5</v>
      </c>
      <c r="AN42">
        <v>13830</v>
      </c>
      <c r="AO42">
        <v>54.6</v>
      </c>
      <c r="AP42">
        <v>835</v>
      </c>
      <c r="AQ42">
        <v>592</v>
      </c>
      <c r="AR42">
        <v>102.5</v>
      </c>
      <c r="AS42">
        <v>62.991999999999997</v>
      </c>
      <c r="AT42">
        <v>0.98499999999999999</v>
      </c>
      <c r="AU42">
        <v>57.6</v>
      </c>
      <c r="AV42">
        <v>68.91</v>
      </c>
      <c r="AW42">
        <v>0.4415</v>
      </c>
      <c r="AX42">
        <v>743.5</v>
      </c>
    </row>
    <row r="43" spans="1:50" x14ac:dyDescent="0.2">
      <c r="A43" s="1" t="s">
        <v>106</v>
      </c>
      <c r="B43">
        <v>2032.54</v>
      </c>
      <c r="C43">
        <v>163.66</v>
      </c>
      <c r="D43">
        <v>129.19999999999999</v>
      </c>
      <c r="E43">
        <v>3055</v>
      </c>
      <c r="F43">
        <v>9011</v>
      </c>
      <c r="G43">
        <v>740.6</v>
      </c>
      <c r="H43">
        <v>29.5</v>
      </c>
      <c r="I43">
        <v>4437</v>
      </c>
      <c r="J43">
        <v>351.9</v>
      </c>
      <c r="K43">
        <v>314.60000000000002</v>
      </c>
      <c r="L43">
        <v>9544.9</v>
      </c>
      <c r="M43">
        <v>284.5</v>
      </c>
      <c r="N43">
        <v>114.62</v>
      </c>
      <c r="O43">
        <v>4.1050000000000004</v>
      </c>
      <c r="P43">
        <v>112.26</v>
      </c>
      <c r="Q43">
        <v>94.48</v>
      </c>
      <c r="R43">
        <v>830</v>
      </c>
      <c r="S43">
        <v>6.5519000000000008E-2</v>
      </c>
      <c r="T43">
        <v>76.58</v>
      </c>
      <c r="U43">
        <v>2347</v>
      </c>
      <c r="V43">
        <v>22.8</v>
      </c>
      <c r="W43">
        <v>37.950000000000003</v>
      </c>
      <c r="X43">
        <v>278.60000000000002</v>
      </c>
      <c r="Y43">
        <v>0.91830000000000001</v>
      </c>
      <c r="Z43">
        <v>0.17249999999999999</v>
      </c>
      <c r="AA43">
        <v>165.65</v>
      </c>
      <c r="AB43">
        <v>936</v>
      </c>
      <c r="AC43">
        <v>0.92299999999999993</v>
      </c>
      <c r="AD43">
        <v>2.665</v>
      </c>
      <c r="AE43">
        <v>387</v>
      </c>
      <c r="AF43">
        <v>379.5</v>
      </c>
      <c r="AG43">
        <v>75</v>
      </c>
      <c r="AH43">
        <v>148.52000000000001</v>
      </c>
      <c r="AI43">
        <v>5.85</v>
      </c>
      <c r="AJ43">
        <v>3330</v>
      </c>
      <c r="AK43">
        <v>2.3519999999999999</v>
      </c>
      <c r="AL43">
        <v>165.1</v>
      </c>
      <c r="AM43">
        <v>3789</v>
      </c>
      <c r="AN43">
        <v>13930</v>
      </c>
      <c r="AO43">
        <v>55.2</v>
      </c>
      <c r="AP43">
        <v>843</v>
      </c>
      <c r="AQ43">
        <v>593</v>
      </c>
      <c r="AR43">
        <v>105.8</v>
      </c>
      <c r="AS43">
        <v>62.991999999999997</v>
      </c>
      <c r="AT43">
        <v>1.0089999999999999</v>
      </c>
      <c r="AU43">
        <v>58</v>
      </c>
      <c r="AV43">
        <v>70.64</v>
      </c>
      <c r="AW43">
        <v>0.46779999999999999</v>
      </c>
      <c r="AX43">
        <v>739.5</v>
      </c>
    </row>
    <row r="44" spans="1:50" x14ac:dyDescent="0.2">
      <c r="A44" s="1" t="s">
        <v>107</v>
      </c>
      <c r="B44">
        <v>2023.71</v>
      </c>
      <c r="C44">
        <v>163.22</v>
      </c>
      <c r="D44">
        <v>128.81</v>
      </c>
      <c r="E44">
        <v>3061</v>
      </c>
      <c r="F44">
        <v>8985</v>
      </c>
      <c r="G44">
        <v>729.2</v>
      </c>
      <c r="H44">
        <v>29.53</v>
      </c>
      <c r="I44">
        <v>4441</v>
      </c>
      <c r="J44">
        <v>354</v>
      </c>
      <c r="K44">
        <v>322.2</v>
      </c>
      <c r="L44">
        <v>9273.4599999999991</v>
      </c>
      <c r="M44">
        <v>285.05</v>
      </c>
      <c r="N44">
        <v>113.41</v>
      </c>
      <c r="O44">
        <v>4.1064999999999996</v>
      </c>
      <c r="P44">
        <v>113.2</v>
      </c>
      <c r="Q44">
        <v>92</v>
      </c>
      <c r="R44">
        <v>830.5</v>
      </c>
      <c r="S44">
        <v>6.6187999999999997E-2</v>
      </c>
      <c r="T44">
        <v>75.95</v>
      </c>
      <c r="U44">
        <v>2424</v>
      </c>
      <c r="V44">
        <v>22.7</v>
      </c>
      <c r="W44">
        <v>37.375</v>
      </c>
      <c r="X44">
        <v>278.7</v>
      </c>
      <c r="Y44">
        <v>0.94779999999999998</v>
      </c>
      <c r="Z44">
        <v>0.17530000000000001</v>
      </c>
      <c r="AA44">
        <v>166.25</v>
      </c>
      <c r="AB44">
        <v>943</v>
      </c>
      <c r="AC44">
        <v>0.93200000000000005</v>
      </c>
      <c r="AD44">
        <v>2.6869999999999998</v>
      </c>
      <c r="AE44">
        <v>388</v>
      </c>
      <c r="AF44">
        <v>376.5</v>
      </c>
      <c r="AG44">
        <v>74.8</v>
      </c>
      <c r="AH44">
        <v>161.13</v>
      </c>
      <c r="AI44">
        <v>6</v>
      </c>
      <c r="AJ44">
        <v>3299</v>
      </c>
      <c r="AK44">
        <v>2.3784999999999998</v>
      </c>
      <c r="AL44">
        <v>165.25</v>
      </c>
      <c r="AM44">
        <v>3700</v>
      </c>
      <c r="AN44">
        <v>13750</v>
      </c>
      <c r="AO44">
        <v>54.1</v>
      </c>
      <c r="AP44">
        <v>863</v>
      </c>
      <c r="AQ44">
        <v>605</v>
      </c>
      <c r="AR44">
        <v>108.4</v>
      </c>
      <c r="AS44">
        <v>62.597999999999999</v>
      </c>
      <c r="AT44">
        <v>1.0109999999999999</v>
      </c>
      <c r="AU44">
        <v>57.3</v>
      </c>
      <c r="AV44">
        <v>72.069999999999993</v>
      </c>
      <c r="AW44">
        <v>0.47070000000000001</v>
      </c>
      <c r="AX44">
        <v>739.5</v>
      </c>
    </row>
    <row r="45" spans="1:50" x14ac:dyDescent="0.2">
      <c r="A45" s="1" t="s">
        <v>108</v>
      </c>
      <c r="B45">
        <v>2021.88</v>
      </c>
      <c r="C45">
        <v>163.5</v>
      </c>
      <c r="D45">
        <v>128.49</v>
      </c>
      <c r="E45">
        <v>2982</v>
      </c>
      <c r="F45">
        <v>8989</v>
      </c>
      <c r="G45">
        <v>714.1</v>
      </c>
      <c r="H45">
        <v>29.37</v>
      </c>
      <c r="I45">
        <v>4443</v>
      </c>
      <c r="J45">
        <v>359.9</v>
      </c>
      <c r="K45">
        <v>328.7</v>
      </c>
      <c r="L45">
        <v>9525.01</v>
      </c>
      <c r="M45">
        <v>280.25</v>
      </c>
      <c r="N45">
        <v>114.1</v>
      </c>
      <c r="O45">
        <v>4.1389999999999993</v>
      </c>
      <c r="P45">
        <v>113.2</v>
      </c>
      <c r="Q45">
        <v>93.55</v>
      </c>
      <c r="R45">
        <v>815.1</v>
      </c>
      <c r="S45">
        <v>6.6799999999999998E-2</v>
      </c>
      <c r="T45">
        <v>76.72</v>
      </c>
      <c r="U45">
        <v>2409</v>
      </c>
      <c r="V45">
        <v>22.65</v>
      </c>
      <c r="W45">
        <v>36.9</v>
      </c>
      <c r="X45">
        <v>288.8</v>
      </c>
      <c r="Y45">
        <v>0.94599999999999995</v>
      </c>
      <c r="Z45">
        <v>0.1857</v>
      </c>
      <c r="AA45">
        <v>168.8</v>
      </c>
      <c r="AB45">
        <v>942.5</v>
      </c>
      <c r="AC45">
        <v>0.97570000000000001</v>
      </c>
      <c r="AD45">
        <v>2.7360000000000002</v>
      </c>
      <c r="AE45">
        <v>384</v>
      </c>
      <c r="AF45">
        <v>370.5</v>
      </c>
      <c r="AG45">
        <v>74.95</v>
      </c>
      <c r="AH45">
        <v>157.52000000000001</v>
      </c>
      <c r="AI45">
        <v>6.07</v>
      </c>
      <c r="AJ45">
        <v>3266</v>
      </c>
      <c r="AK45">
        <v>2.4215</v>
      </c>
      <c r="AL45">
        <v>163.6</v>
      </c>
      <c r="AM45">
        <v>3632</v>
      </c>
      <c r="AN45">
        <v>13810</v>
      </c>
      <c r="AO45">
        <v>52.3</v>
      </c>
      <c r="AP45">
        <v>851</v>
      </c>
      <c r="AQ45">
        <v>599</v>
      </c>
      <c r="AR45">
        <v>107.3</v>
      </c>
      <c r="AS45">
        <v>61.122</v>
      </c>
      <c r="AT45">
        <v>1.0089999999999999</v>
      </c>
      <c r="AU45">
        <v>58.15</v>
      </c>
      <c r="AV45">
        <v>71.92</v>
      </c>
      <c r="AW45">
        <v>0.46139999999999998</v>
      </c>
      <c r="AX45">
        <v>739.5</v>
      </c>
    </row>
    <row r="46" spans="1:50" x14ac:dyDescent="0.2">
      <c r="A46" s="1" t="s">
        <v>109</v>
      </c>
      <c r="B46">
        <v>1995.9</v>
      </c>
      <c r="C46">
        <v>159.80000000000001</v>
      </c>
      <c r="D46">
        <v>127.9</v>
      </c>
      <c r="E46">
        <v>2981</v>
      </c>
      <c r="F46">
        <v>8929</v>
      </c>
      <c r="G46">
        <v>704.9</v>
      </c>
      <c r="H46">
        <v>29.45</v>
      </c>
      <c r="I46">
        <v>4450</v>
      </c>
      <c r="J46">
        <v>347.65</v>
      </c>
      <c r="K46">
        <v>323.5</v>
      </c>
      <c r="L46">
        <v>9207.84</v>
      </c>
      <c r="M46">
        <v>272.60000000000002</v>
      </c>
      <c r="N46">
        <v>111.51</v>
      </c>
      <c r="O46">
        <v>4.0125000000000002</v>
      </c>
      <c r="P46">
        <v>113.11</v>
      </c>
      <c r="Q46">
        <v>91.01</v>
      </c>
      <c r="R46">
        <v>809.9</v>
      </c>
      <c r="S46">
        <v>6.6250000000000003E-2</v>
      </c>
      <c r="T46">
        <v>76.95</v>
      </c>
      <c r="U46">
        <v>2366</v>
      </c>
      <c r="V46">
        <v>22.23</v>
      </c>
      <c r="W46">
        <v>36.634999999999998</v>
      </c>
      <c r="X46">
        <v>296.60000000000002</v>
      </c>
      <c r="Y46">
        <v>0.93289999999999995</v>
      </c>
      <c r="Z46">
        <v>0.17910000000000001</v>
      </c>
      <c r="AA46">
        <v>168</v>
      </c>
      <c r="AB46">
        <v>927</v>
      </c>
      <c r="AC46">
        <v>0.93979999999999997</v>
      </c>
      <c r="AD46">
        <v>2.6739999999999999</v>
      </c>
      <c r="AE46">
        <v>381.5</v>
      </c>
      <c r="AF46">
        <v>375.4</v>
      </c>
      <c r="AG46">
        <v>73.5</v>
      </c>
      <c r="AH46">
        <v>151.62</v>
      </c>
      <c r="AI46">
        <v>6.05</v>
      </c>
      <c r="AJ46">
        <v>3309</v>
      </c>
      <c r="AK46">
        <v>2.4020000000000001</v>
      </c>
      <c r="AL46">
        <v>163.1</v>
      </c>
      <c r="AM46">
        <v>3604</v>
      </c>
      <c r="AN46">
        <v>13950</v>
      </c>
      <c r="AO46">
        <v>53.6</v>
      </c>
      <c r="AP46">
        <v>848</v>
      </c>
      <c r="AQ46">
        <v>579</v>
      </c>
      <c r="AR46">
        <v>104.5</v>
      </c>
      <c r="AS46">
        <v>59.891000000000012</v>
      </c>
      <c r="AT46">
        <v>0.997</v>
      </c>
      <c r="AU46">
        <v>57.85</v>
      </c>
      <c r="AV46">
        <v>69.58</v>
      </c>
      <c r="AW46">
        <v>0.45100000000000001</v>
      </c>
      <c r="AX46">
        <v>738</v>
      </c>
    </row>
    <row r="47" spans="1:50" x14ac:dyDescent="0.2">
      <c r="A47" s="1" t="s">
        <v>110</v>
      </c>
      <c r="B47">
        <v>2008.61</v>
      </c>
      <c r="C47">
        <v>161.80000000000001</v>
      </c>
      <c r="D47">
        <v>127.21</v>
      </c>
      <c r="E47">
        <v>3026.5</v>
      </c>
      <c r="F47">
        <v>8974</v>
      </c>
      <c r="G47">
        <v>701.5</v>
      </c>
      <c r="H47">
        <v>29.18</v>
      </c>
      <c r="I47">
        <v>4439</v>
      </c>
      <c r="J47">
        <v>351</v>
      </c>
      <c r="K47">
        <v>328.4</v>
      </c>
      <c r="L47">
        <v>9259.5400000000009</v>
      </c>
      <c r="M47">
        <v>273.55</v>
      </c>
      <c r="N47">
        <v>114.6</v>
      </c>
      <c r="O47">
        <v>4.0994999999999999</v>
      </c>
      <c r="P47">
        <v>112.62</v>
      </c>
      <c r="Q47">
        <v>91.9</v>
      </c>
      <c r="R47">
        <v>839</v>
      </c>
      <c r="S47">
        <v>6.6863000000000006E-2</v>
      </c>
      <c r="T47">
        <v>76.989999999999995</v>
      </c>
      <c r="U47">
        <v>2377</v>
      </c>
      <c r="V47">
        <v>23</v>
      </c>
      <c r="W47">
        <v>37.090000000000003</v>
      </c>
      <c r="X47">
        <v>287.7</v>
      </c>
      <c r="Y47">
        <v>0.95050000000000001</v>
      </c>
      <c r="Z47">
        <v>0.18385000000000001</v>
      </c>
      <c r="AA47">
        <v>168.3</v>
      </c>
      <c r="AB47">
        <v>930</v>
      </c>
      <c r="AC47">
        <v>0.95789999999999997</v>
      </c>
      <c r="AD47">
        <v>2.67</v>
      </c>
      <c r="AE47">
        <v>383</v>
      </c>
      <c r="AF47">
        <v>373.3</v>
      </c>
      <c r="AG47">
        <v>74.150000000000006</v>
      </c>
      <c r="AH47">
        <v>156.12</v>
      </c>
      <c r="AI47">
        <v>6.26</v>
      </c>
      <c r="AJ47">
        <v>3305</v>
      </c>
      <c r="AK47">
        <v>2.4220000000000002</v>
      </c>
      <c r="AL47">
        <v>162.19999999999999</v>
      </c>
      <c r="AM47">
        <v>3649.5</v>
      </c>
      <c r="AN47">
        <v>14300</v>
      </c>
      <c r="AO47">
        <v>54.9</v>
      </c>
      <c r="AP47">
        <v>844</v>
      </c>
      <c r="AQ47">
        <v>582</v>
      </c>
      <c r="AR47">
        <v>106.2</v>
      </c>
      <c r="AS47">
        <v>59.055</v>
      </c>
      <c r="AT47">
        <v>0.995</v>
      </c>
      <c r="AU47">
        <v>58.3</v>
      </c>
      <c r="AV47">
        <v>70.13</v>
      </c>
      <c r="AW47">
        <v>0.45379999999999998</v>
      </c>
      <c r="AX47">
        <v>737.5</v>
      </c>
    </row>
    <row r="48" spans="1:50" x14ac:dyDescent="0.2">
      <c r="A48" s="1" t="s">
        <v>111</v>
      </c>
      <c r="B48">
        <v>2025.69</v>
      </c>
      <c r="C48">
        <v>163.5</v>
      </c>
      <c r="D48">
        <v>128.81</v>
      </c>
      <c r="E48">
        <v>3050</v>
      </c>
      <c r="F48">
        <v>9000</v>
      </c>
      <c r="G48">
        <v>723</v>
      </c>
      <c r="H48">
        <v>29.535</v>
      </c>
      <c r="I48">
        <v>4434</v>
      </c>
      <c r="J48">
        <v>352.35</v>
      </c>
      <c r="K48">
        <v>331.7</v>
      </c>
      <c r="L48">
        <v>9207.84</v>
      </c>
      <c r="M48">
        <v>279.10000000000002</v>
      </c>
      <c r="N48">
        <v>114.34</v>
      </c>
      <c r="O48">
        <v>4.1150000000000002</v>
      </c>
      <c r="P48">
        <v>112.6</v>
      </c>
      <c r="Q48">
        <v>92</v>
      </c>
      <c r="R48">
        <v>827</v>
      </c>
      <c r="S48">
        <v>6.7100000000000007E-2</v>
      </c>
      <c r="T48">
        <v>76.819999999999993</v>
      </c>
      <c r="U48">
        <v>2369</v>
      </c>
      <c r="V48">
        <v>22.9</v>
      </c>
      <c r="W48">
        <v>36.630000000000003</v>
      </c>
      <c r="X48">
        <v>284.60000000000002</v>
      </c>
      <c r="Y48">
        <v>0.94610000000000005</v>
      </c>
      <c r="Z48">
        <v>0.1888</v>
      </c>
      <c r="AA48">
        <v>168.7</v>
      </c>
      <c r="AB48">
        <v>930.5</v>
      </c>
      <c r="AC48">
        <v>0.98799999999999999</v>
      </c>
      <c r="AD48">
        <v>2.6960000000000002</v>
      </c>
      <c r="AE48">
        <v>383</v>
      </c>
      <c r="AF48">
        <v>372.3</v>
      </c>
      <c r="AG48">
        <v>74.05</v>
      </c>
      <c r="AH48">
        <v>157.26</v>
      </c>
      <c r="AI48">
        <v>6.28</v>
      </c>
      <c r="AJ48">
        <v>3286</v>
      </c>
      <c r="AK48">
        <v>2.3984999999999999</v>
      </c>
      <c r="AL48">
        <v>160.9</v>
      </c>
      <c r="AM48">
        <v>3633</v>
      </c>
      <c r="AN48">
        <v>14400</v>
      </c>
      <c r="AO48">
        <v>56.8</v>
      </c>
      <c r="AP48">
        <v>840</v>
      </c>
      <c r="AQ48">
        <v>577</v>
      </c>
      <c r="AR48">
        <v>106.2</v>
      </c>
      <c r="AS48">
        <v>59.006</v>
      </c>
      <c r="AT48">
        <v>0.996</v>
      </c>
      <c r="AU48">
        <v>58.65</v>
      </c>
      <c r="AV48">
        <v>72.459999999999994</v>
      </c>
      <c r="AW48">
        <v>0.46310000000000001</v>
      </c>
      <c r="AX48">
        <v>740</v>
      </c>
    </row>
    <row r="49" spans="1:50" x14ac:dyDescent="0.2">
      <c r="A49" s="1" t="s">
        <v>112</v>
      </c>
      <c r="B49">
        <v>2056.3200000000002</v>
      </c>
      <c r="C49">
        <v>168.1</v>
      </c>
      <c r="D49">
        <v>130.69</v>
      </c>
      <c r="E49">
        <v>3057</v>
      </c>
      <c r="F49">
        <v>9186</v>
      </c>
      <c r="G49">
        <v>733.3</v>
      </c>
      <c r="H49">
        <v>29.7</v>
      </c>
      <c r="I49">
        <v>4425</v>
      </c>
      <c r="J49">
        <v>369.85</v>
      </c>
      <c r="K49">
        <v>338.2</v>
      </c>
      <c r="L49">
        <v>9415.64</v>
      </c>
      <c r="M49">
        <v>278.95</v>
      </c>
      <c r="N49">
        <v>116.15</v>
      </c>
      <c r="O49">
        <v>4.1630000000000003</v>
      </c>
      <c r="P49">
        <v>112.36</v>
      </c>
      <c r="Q49">
        <v>92.14</v>
      </c>
      <c r="R49">
        <v>860</v>
      </c>
      <c r="S49">
        <v>6.6900000000000001E-2</v>
      </c>
      <c r="T49">
        <v>78.2</v>
      </c>
      <c r="U49">
        <v>2398</v>
      </c>
      <c r="V49">
        <v>22.75</v>
      </c>
      <c r="W49">
        <v>37.200000000000003</v>
      </c>
      <c r="X49">
        <v>281.7</v>
      </c>
      <c r="Y49">
        <v>0.96989999999999998</v>
      </c>
      <c r="Z49">
        <v>0.18895000000000001</v>
      </c>
      <c r="AA49">
        <v>174.95</v>
      </c>
      <c r="AB49">
        <v>941</v>
      </c>
      <c r="AC49">
        <v>0.99050000000000005</v>
      </c>
      <c r="AD49">
        <v>2.7189999999999999</v>
      </c>
      <c r="AE49">
        <v>387</v>
      </c>
      <c r="AF49">
        <v>373.5</v>
      </c>
      <c r="AG49">
        <v>75</v>
      </c>
      <c r="AH49">
        <v>163</v>
      </c>
      <c r="AI49">
        <v>6.26</v>
      </c>
      <c r="AJ49">
        <v>3283</v>
      </c>
      <c r="AK49">
        <v>2.3959999999999999</v>
      </c>
      <c r="AL49">
        <v>160.1</v>
      </c>
      <c r="AM49">
        <v>3685</v>
      </c>
      <c r="AN49">
        <v>14440</v>
      </c>
      <c r="AO49">
        <v>59.6</v>
      </c>
      <c r="AP49">
        <v>838</v>
      </c>
      <c r="AQ49">
        <v>589</v>
      </c>
      <c r="AR49">
        <v>105.6</v>
      </c>
      <c r="AS49">
        <v>61.023000000000003</v>
      </c>
      <c r="AT49">
        <v>0.99400000000000011</v>
      </c>
      <c r="AU49">
        <v>59.2</v>
      </c>
      <c r="AV49">
        <v>74</v>
      </c>
      <c r="AW49">
        <v>0.46489999999999998</v>
      </c>
      <c r="AX49">
        <v>737.5</v>
      </c>
    </row>
    <row r="50" spans="1:50" x14ac:dyDescent="0.2">
      <c r="A50" s="1" t="s">
        <v>113</v>
      </c>
      <c r="B50">
        <v>2054.69</v>
      </c>
      <c r="C50">
        <v>167.49</v>
      </c>
      <c r="D50">
        <v>130.5</v>
      </c>
      <c r="E50">
        <v>3057.5</v>
      </c>
      <c r="F50">
        <v>9133</v>
      </c>
      <c r="G50">
        <v>736.5</v>
      </c>
      <c r="H50">
        <v>30</v>
      </c>
      <c r="I50">
        <v>4409</v>
      </c>
      <c r="J50">
        <v>369.45</v>
      </c>
      <c r="K50">
        <v>337.95</v>
      </c>
      <c r="L50">
        <v>9495.18</v>
      </c>
      <c r="M50">
        <v>284.55</v>
      </c>
      <c r="N50">
        <v>114.99</v>
      </c>
      <c r="O50">
        <v>4.1835000000000004</v>
      </c>
      <c r="P50">
        <v>110.81</v>
      </c>
      <c r="Q50">
        <v>91.55</v>
      </c>
      <c r="R50">
        <v>843</v>
      </c>
      <c r="S50">
        <v>6.615E-2</v>
      </c>
      <c r="T50">
        <v>77.78</v>
      </c>
      <c r="U50">
        <v>2410</v>
      </c>
      <c r="V50">
        <v>22.82</v>
      </c>
      <c r="W50">
        <v>36.9</v>
      </c>
      <c r="X50">
        <v>283</v>
      </c>
      <c r="Y50">
        <v>0.97199999999999998</v>
      </c>
      <c r="Z50">
        <v>0.18540000000000001</v>
      </c>
      <c r="AA50">
        <v>177.5</v>
      </c>
      <c r="AB50">
        <v>937.5</v>
      </c>
      <c r="AC50">
        <v>0.99400000000000011</v>
      </c>
      <c r="AD50">
        <v>2.71</v>
      </c>
      <c r="AE50">
        <v>399</v>
      </c>
      <c r="AF50">
        <v>374</v>
      </c>
      <c r="AG50">
        <v>76</v>
      </c>
      <c r="AH50">
        <v>168.86</v>
      </c>
      <c r="AI50">
        <v>6.27</v>
      </c>
      <c r="AJ50">
        <v>3310</v>
      </c>
      <c r="AK50">
        <v>2.4009999999999998</v>
      </c>
      <c r="AL50">
        <v>160.80000000000001</v>
      </c>
      <c r="AM50">
        <v>3680</v>
      </c>
      <c r="AN50">
        <v>14390</v>
      </c>
      <c r="AO50">
        <v>59.8</v>
      </c>
      <c r="AP50">
        <v>839</v>
      </c>
      <c r="AQ50">
        <v>587</v>
      </c>
      <c r="AR50">
        <v>104.5</v>
      </c>
      <c r="AS50">
        <v>61.613999999999997</v>
      </c>
      <c r="AT50">
        <v>0.998</v>
      </c>
      <c r="AU50">
        <v>59.35</v>
      </c>
      <c r="AV50">
        <v>76.38</v>
      </c>
      <c r="AW50">
        <v>0.4597</v>
      </c>
      <c r="AX50">
        <v>737.5</v>
      </c>
    </row>
    <row r="51" spans="1:50" x14ac:dyDescent="0.2">
      <c r="A51" s="1" t="s">
        <v>114</v>
      </c>
      <c r="B51">
        <v>2020.23</v>
      </c>
      <c r="C51">
        <v>161.49</v>
      </c>
      <c r="D51">
        <v>128.72</v>
      </c>
      <c r="E51">
        <v>2991</v>
      </c>
      <c r="F51">
        <v>9025</v>
      </c>
      <c r="G51">
        <v>736.7</v>
      </c>
      <c r="H51">
        <v>29.66</v>
      </c>
      <c r="I51">
        <v>4409</v>
      </c>
      <c r="J51">
        <v>357.7</v>
      </c>
      <c r="K51">
        <v>335.95</v>
      </c>
      <c r="L51">
        <v>9375.8700000000008</v>
      </c>
      <c r="M51">
        <v>281.25</v>
      </c>
      <c r="N51">
        <v>111.75</v>
      </c>
      <c r="O51">
        <v>4.1070000000000002</v>
      </c>
      <c r="P51">
        <v>110.85</v>
      </c>
      <c r="Q51">
        <v>88.57</v>
      </c>
      <c r="R51">
        <v>840</v>
      </c>
      <c r="S51">
        <v>6.5587999999999994E-2</v>
      </c>
      <c r="T51">
        <v>77.22</v>
      </c>
      <c r="U51">
        <v>2425</v>
      </c>
      <c r="V51">
        <v>22.35</v>
      </c>
      <c r="W51">
        <v>35.655000000000001</v>
      </c>
      <c r="X51">
        <v>277.8</v>
      </c>
      <c r="Y51">
        <v>0.94159999999999999</v>
      </c>
      <c r="Z51">
        <v>0.17795</v>
      </c>
      <c r="AA51">
        <v>171.9</v>
      </c>
      <c r="AB51">
        <v>929</v>
      </c>
      <c r="AC51">
        <v>0.94900000000000007</v>
      </c>
      <c r="AD51">
        <v>2.6480000000000001</v>
      </c>
      <c r="AE51">
        <v>387</v>
      </c>
      <c r="AF51">
        <v>375</v>
      </c>
      <c r="AG51">
        <v>75.75</v>
      </c>
      <c r="AH51">
        <v>166.41</v>
      </c>
      <c r="AI51">
        <v>6.2750000000000004</v>
      </c>
      <c r="AJ51">
        <v>3334</v>
      </c>
      <c r="AK51">
        <v>2.2650000000000001</v>
      </c>
      <c r="AL51">
        <v>161</v>
      </c>
      <c r="AM51">
        <v>3590</v>
      </c>
      <c r="AN51">
        <v>14240</v>
      </c>
      <c r="AO51">
        <v>59.1</v>
      </c>
      <c r="AP51">
        <v>858</v>
      </c>
      <c r="AQ51">
        <v>588</v>
      </c>
      <c r="AR51">
        <v>103.7</v>
      </c>
      <c r="AS51">
        <v>60.531000000000013</v>
      </c>
      <c r="AT51">
        <v>0.97</v>
      </c>
      <c r="AU51">
        <v>59</v>
      </c>
      <c r="AV51">
        <v>75.7</v>
      </c>
      <c r="AW51">
        <v>0.43980000000000002</v>
      </c>
      <c r="AX51">
        <v>737.5</v>
      </c>
    </row>
    <row r="52" spans="1:50" x14ac:dyDescent="0.2">
      <c r="A52" s="1" t="s">
        <v>115</v>
      </c>
      <c r="B52">
        <v>1971.23</v>
      </c>
      <c r="C52">
        <v>155.19999999999999</v>
      </c>
      <c r="D52">
        <v>126.16</v>
      </c>
      <c r="E52">
        <v>2956</v>
      </c>
      <c r="F52">
        <v>8956</v>
      </c>
      <c r="G52">
        <v>712.7</v>
      </c>
      <c r="H52">
        <v>28.5</v>
      </c>
      <c r="I52">
        <v>4396</v>
      </c>
      <c r="J52">
        <v>343.3</v>
      </c>
      <c r="K52">
        <v>327.2</v>
      </c>
      <c r="L52">
        <v>9306.27</v>
      </c>
      <c r="M52">
        <v>273.5</v>
      </c>
      <c r="N52">
        <v>107.55</v>
      </c>
      <c r="O52">
        <v>3.9049999999999998</v>
      </c>
      <c r="P52">
        <v>107.2</v>
      </c>
      <c r="Q52">
        <v>85.87</v>
      </c>
      <c r="R52">
        <v>815</v>
      </c>
      <c r="S52">
        <v>6.4730999999999997E-2</v>
      </c>
      <c r="T52">
        <v>76.33</v>
      </c>
      <c r="U52">
        <v>2370</v>
      </c>
      <c r="V52">
        <v>21.48</v>
      </c>
      <c r="W52">
        <v>35.31</v>
      </c>
      <c r="X52">
        <v>279</v>
      </c>
      <c r="Y52">
        <v>0.88</v>
      </c>
      <c r="Z52">
        <v>0.1711</v>
      </c>
      <c r="AA52">
        <v>163.55000000000001</v>
      </c>
      <c r="AB52">
        <v>924</v>
      </c>
      <c r="AC52">
        <v>0.90210000000000001</v>
      </c>
      <c r="AD52">
        <v>2.6219999999999999</v>
      </c>
      <c r="AE52">
        <v>384.5</v>
      </c>
      <c r="AF52">
        <v>375.4</v>
      </c>
      <c r="AG52">
        <v>73</v>
      </c>
      <c r="AH52">
        <v>157.99</v>
      </c>
      <c r="AI52">
        <v>6.24</v>
      </c>
      <c r="AJ52">
        <v>3270</v>
      </c>
      <c r="AK52">
        <v>2.198</v>
      </c>
      <c r="AL52">
        <v>159.69999999999999</v>
      </c>
      <c r="AM52">
        <v>3516</v>
      </c>
      <c r="AN52">
        <v>14000</v>
      </c>
      <c r="AO52">
        <v>57.1</v>
      </c>
      <c r="AP52">
        <v>872</v>
      </c>
      <c r="AQ52">
        <v>573</v>
      </c>
      <c r="AR52">
        <v>104</v>
      </c>
      <c r="AS52">
        <v>61.319000000000003</v>
      </c>
      <c r="AT52">
        <v>0.94799999999999995</v>
      </c>
      <c r="AU52">
        <v>58.15</v>
      </c>
      <c r="AV52">
        <v>70.5</v>
      </c>
      <c r="AW52">
        <v>0.41720000000000002</v>
      </c>
      <c r="AX52">
        <v>734.5</v>
      </c>
    </row>
    <row r="53" spans="1:50" x14ac:dyDescent="0.2">
      <c r="A53" s="1" t="s">
        <v>116</v>
      </c>
      <c r="B53">
        <v>1977.95</v>
      </c>
      <c r="C53">
        <v>156</v>
      </c>
      <c r="D53">
        <v>126</v>
      </c>
      <c r="E53">
        <v>2968</v>
      </c>
      <c r="F53">
        <v>8964</v>
      </c>
      <c r="G53">
        <v>710.1</v>
      </c>
      <c r="H53">
        <v>28.234999999999999</v>
      </c>
      <c r="I53">
        <v>4404</v>
      </c>
      <c r="J53">
        <v>342.15</v>
      </c>
      <c r="K53">
        <v>330.5</v>
      </c>
      <c r="L53">
        <v>9211.82</v>
      </c>
      <c r="M53">
        <v>275.60000000000002</v>
      </c>
      <c r="N53">
        <v>107.55</v>
      </c>
      <c r="O53">
        <v>4.0919999999999996</v>
      </c>
      <c r="P53">
        <v>108</v>
      </c>
      <c r="Q53">
        <v>90.09</v>
      </c>
      <c r="R53">
        <v>812</v>
      </c>
      <c r="S53">
        <v>6.4899999999999999E-2</v>
      </c>
      <c r="T53">
        <v>75.900000000000006</v>
      </c>
      <c r="U53">
        <v>2399</v>
      </c>
      <c r="V53">
        <v>21.65</v>
      </c>
      <c r="W53">
        <v>36.795000000000002</v>
      </c>
      <c r="X53">
        <v>284</v>
      </c>
      <c r="Y53">
        <v>0.878</v>
      </c>
      <c r="Z53">
        <v>0.17419999999999999</v>
      </c>
      <c r="AA53">
        <v>166.35</v>
      </c>
      <c r="AB53">
        <v>908.5</v>
      </c>
      <c r="AC53">
        <v>0.90099999999999991</v>
      </c>
      <c r="AD53">
        <v>2.6419999999999999</v>
      </c>
      <c r="AE53">
        <v>387.5</v>
      </c>
      <c r="AF53">
        <v>373.2</v>
      </c>
      <c r="AG53">
        <v>73.95</v>
      </c>
      <c r="AH53">
        <v>159.66</v>
      </c>
      <c r="AI53">
        <v>6.33</v>
      </c>
      <c r="AJ53">
        <v>3287</v>
      </c>
      <c r="AK53">
        <v>2.214</v>
      </c>
      <c r="AL53">
        <v>160.30000000000001</v>
      </c>
      <c r="AM53">
        <v>3545</v>
      </c>
      <c r="AN53">
        <v>13910</v>
      </c>
      <c r="AO53">
        <v>56.8</v>
      </c>
      <c r="AP53">
        <v>879</v>
      </c>
      <c r="AQ53">
        <v>587</v>
      </c>
      <c r="AR53">
        <v>104.5</v>
      </c>
      <c r="AS53">
        <v>61.023000000000003</v>
      </c>
      <c r="AT53">
        <v>0.95200000000000007</v>
      </c>
      <c r="AU53">
        <v>57.5</v>
      </c>
      <c r="AV53">
        <v>73.45</v>
      </c>
      <c r="AW53">
        <v>0.41820000000000002</v>
      </c>
      <c r="AX53">
        <v>734</v>
      </c>
    </row>
    <row r="54" spans="1:50" x14ac:dyDescent="0.2">
      <c r="A54" s="1" t="s">
        <v>117</v>
      </c>
      <c r="B54">
        <v>1947.88</v>
      </c>
      <c r="C54">
        <v>150.28</v>
      </c>
      <c r="D54">
        <v>125.05</v>
      </c>
      <c r="E54">
        <v>2949.5</v>
      </c>
      <c r="F54">
        <v>8924</v>
      </c>
      <c r="G54">
        <v>702.7</v>
      </c>
      <c r="H54">
        <v>27.32</v>
      </c>
      <c r="I54">
        <v>4402</v>
      </c>
      <c r="J54">
        <v>334.95</v>
      </c>
      <c r="K54">
        <v>325.10000000000002</v>
      </c>
      <c r="L54">
        <v>9047.77</v>
      </c>
      <c r="M54">
        <v>275</v>
      </c>
      <c r="N54">
        <v>104.9</v>
      </c>
      <c r="O54">
        <v>4.0650000000000004</v>
      </c>
      <c r="P54">
        <v>106.05</v>
      </c>
      <c r="Q54">
        <v>89.7</v>
      </c>
      <c r="R54">
        <v>799</v>
      </c>
      <c r="S54">
        <v>6.4100000000000004E-2</v>
      </c>
      <c r="T54">
        <v>75.88</v>
      </c>
      <c r="U54">
        <v>2336</v>
      </c>
      <c r="V54">
        <v>21.49</v>
      </c>
      <c r="W54">
        <v>35.74</v>
      </c>
      <c r="X54">
        <v>284</v>
      </c>
      <c r="Y54">
        <v>0.85400000000000009</v>
      </c>
      <c r="Z54">
        <v>0.17365</v>
      </c>
      <c r="AA54">
        <v>164.2</v>
      </c>
      <c r="AB54">
        <v>902</v>
      </c>
      <c r="AC54">
        <v>0.89</v>
      </c>
      <c r="AD54">
        <v>2.5790000000000002</v>
      </c>
      <c r="AE54">
        <v>382</v>
      </c>
      <c r="AF54">
        <v>373.6</v>
      </c>
      <c r="AG54">
        <v>73.7</v>
      </c>
      <c r="AH54">
        <v>155.74</v>
      </c>
      <c r="AI54">
        <v>6.3</v>
      </c>
      <c r="AJ54">
        <v>3284</v>
      </c>
      <c r="AK54">
        <v>2.1909999999999998</v>
      </c>
      <c r="AL54">
        <v>160</v>
      </c>
      <c r="AM54">
        <v>3273.5</v>
      </c>
      <c r="AN54">
        <v>13950</v>
      </c>
      <c r="AO54">
        <v>58.1</v>
      </c>
      <c r="AP54">
        <v>884</v>
      </c>
      <c r="AQ54">
        <v>576</v>
      </c>
      <c r="AR54">
        <v>103.7</v>
      </c>
      <c r="AS54">
        <v>59.398999999999987</v>
      </c>
      <c r="AT54">
        <v>0.94200000000000006</v>
      </c>
      <c r="AU54">
        <v>56.1</v>
      </c>
      <c r="AV54">
        <v>72.650000000000006</v>
      </c>
      <c r="AW54">
        <v>0.39900000000000002</v>
      </c>
      <c r="AX54">
        <v>730</v>
      </c>
    </row>
    <row r="55" spans="1:50" x14ac:dyDescent="0.2">
      <c r="A55" s="1" t="s">
        <v>118</v>
      </c>
      <c r="B55">
        <v>1944.7</v>
      </c>
      <c r="C55">
        <v>152</v>
      </c>
      <c r="D55">
        <v>124.54</v>
      </c>
      <c r="E55">
        <v>2910</v>
      </c>
      <c r="F55">
        <v>8775</v>
      </c>
      <c r="G55">
        <v>699.9</v>
      </c>
      <c r="H55">
        <v>27.364999999999998</v>
      </c>
      <c r="I55">
        <v>4400</v>
      </c>
      <c r="J55">
        <v>330</v>
      </c>
      <c r="K55">
        <v>321.89999999999998</v>
      </c>
      <c r="L55">
        <v>9107.42</v>
      </c>
      <c r="M55">
        <v>274.5</v>
      </c>
      <c r="N55">
        <v>105.9</v>
      </c>
      <c r="O55">
        <v>4.0449999999999999</v>
      </c>
      <c r="P55">
        <v>105.5</v>
      </c>
      <c r="Q55">
        <v>88.85</v>
      </c>
      <c r="R55">
        <v>795.9</v>
      </c>
      <c r="S55">
        <v>6.4000000000000001E-2</v>
      </c>
      <c r="T55">
        <v>74.23</v>
      </c>
      <c r="U55">
        <v>2324</v>
      </c>
      <c r="V55">
        <v>21.25</v>
      </c>
      <c r="W55">
        <v>36.314999999999998</v>
      </c>
      <c r="X55">
        <v>279.39999999999998</v>
      </c>
      <c r="Y55">
        <v>0.86760000000000004</v>
      </c>
      <c r="Z55">
        <v>0.1749</v>
      </c>
      <c r="AA55">
        <v>166.3</v>
      </c>
      <c r="AB55">
        <v>898</v>
      </c>
      <c r="AC55">
        <v>0.91299999999999992</v>
      </c>
      <c r="AD55">
        <v>2.5529999999999999</v>
      </c>
      <c r="AE55">
        <v>379</v>
      </c>
      <c r="AF55">
        <v>372.8</v>
      </c>
      <c r="AG55">
        <v>73.599999999999994</v>
      </c>
      <c r="AH55">
        <v>159.93</v>
      </c>
      <c r="AI55">
        <v>6.2149999999999999</v>
      </c>
      <c r="AJ55">
        <v>3265</v>
      </c>
      <c r="AK55">
        <v>2.1259999999999999</v>
      </c>
      <c r="AL55">
        <v>161.1</v>
      </c>
      <c r="AM55">
        <v>3319</v>
      </c>
      <c r="AN55">
        <v>13690</v>
      </c>
      <c r="AO55">
        <v>56.4</v>
      </c>
      <c r="AP55">
        <v>922</v>
      </c>
      <c r="AQ55">
        <v>590</v>
      </c>
      <c r="AR55">
        <v>103.2</v>
      </c>
      <c r="AS55">
        <v>58.168999999999997</v>
      </c>
      <c r="AT55">
        <v>0.94900000000000007</v>
      </c>
      <c r="AU55">
        <v>56.2</v>
      </c>
      <c r="AV55">
        <v>72.05</v>
      </c>
      <c r="AW55">
        <v>0.40689999999999998</v>
      </c>
      <c r="AX55">
        <v>725</v>
      </c>
    </row>
    <row r="56" spans="1:50" x14ac:dyDescent="0.2">
      <c r="A56" s="1" t="s">
        <v>119</v>
      </c>
      <c r="B56">
        <v>1916.29</v>
      </c>
      <c r="C56">
        <v>149.24</v>
      </c>
      <c r="D56">
        <v>122.85</v>
      </c>
      <c r="E56">
        <v>2864.5</v>
      </c>
      <c r="F56">
        <v>8710</v>
      </c>
      <c r="G56">
        <v>685</v>
      </c>
      <c r="H56">
        <v>26.785</v>
      </c>
      <c r="I56">
        <v>4399</v>
      </c>
      <c r="J56">
        <v>325</v>
      </c>
      <c r="K56">
        <v>315.75</v>
      </c>
      <c r="L56">
        <v>8933.43</v>
      </c>
      <c r="M56">
        <v>270.8</v>
      </c>
      <c r="N56">
        <v>104.35</v>
      </c>
      <c r="O56">
        <v>3.9510000000000001</v>
      </c>
      <c r="P56">
        <v>104.21</v>
      </c>
      <c r="Q56">
        <v>87.7</v>
      </c>
      <c r="R56">
        <v>781.4</v>
      </c>
      <c r="S56">
        <v>6.4088000000000006E-2</v>
      </c>
      <c r="T56">
        <v>73</v>
      </c>
      <c r="U56">
        <v>2291</v>
      </c>
      <c r="V56">
        <v>20.76</v>
      </c>
      <c r="W56">
        <v>35.700000000000003</v>
      </c>
      <c r="X56">
        <v>279</v>
      </c>
      <c r="Y56">
        <v>0.84750000000000003</v>
      </c>
      <c r="Z56">
        <v>0.17635000000000001</v>
      </c>
      <c r="AA56">
        <v>161.75</v>
      </c>
      <c r="AB56">
        <v>899</v>
      </c>
      <c r="AC56">
        <v>0.88200000000000001</v>
      </c>
      <c r="AD56">
        <v>2.5099999999999998</v>
      </c>
      <c r="AE56">
        <v>378.5</v>
      </c>
      <c r="AF56">
        <v>379.5</v>
      </c>
      <c r="AG56">
        <v>73</v>
      </c>
      <c r="AH56">
        <v>155.34</v>
      </c>
      <c r="AI56">
        <v>6.53</v>
      </c>
      <c r="AJ56">
        <v>3303</v>
      </c>
      <c r="AK56">
        <v>2.2000000000000002</v>
      </c>
      <c r="AL56">
        <v>160.05000000000001</v>
      </c>
      <c r="AM56">
        <v>3225</v>
      </c>
      <c r="AN56">
        <v>14440</v>
      </c>
      <c r="AO56">
        <v>56.3</v>
      </c>
      <c r="AP56">
        <v>924</v>
      </c>
      <c r="AQ56">
        <v>587</v>
      </c>
      <c r="AR56">
        <v>103</v>
      </c>
      <c r="AS56">
        <v>57.923000000000002</v>
      </c>
      <c r="AT56">
        <v>0.94799999999999995</v>
      </c>
      <c r="AU56">
        <v>55.75</v>
      </c>
      <c r="AV56">
        <v>69.94</v>
      </c>
      <c r="AW56">
        <v>0.39</v>
      </c>
      <c r="AX56">
        <v>723</v>
      </c>
    </row>
    <row r="57" spans="1:50" x14ac:dyDescent="0.2">
      <c r="A57" s="1" t="s">
        <v>120</v>
      </c>
      <c r="B57">
        <v>1942.72</v>
      </c>
      <c r="C57">
        <v>153.99</v>
      </c>
      <c r="D57">
        <v>123.7</v>
      </c>
      <c r="E57">
        <v>2880</v>
      </c>
      <c r="F57">
        <v>8841</v>
      </c>
      <c r="G57">
        <v>679</v>
      </c>
      <c r="H57">
        <v>27.21</v>
      </c>
      <c r="I57">
        <v>4400</v>
      </c>
      <c r="J57">
        <v>329</v>
      </c>
      <c r="K57">
        <v>323.25</v>
      </c>
      <c r="L57">
        <v>9082.57</v>
      </c>
      <c r="M57">
        <v>272.25</v>
      </c>
      <c r="N57">
        <v>107.67</v>
      </c>
      <c r="O57">
        <v>3.9849999999999999</v>
      </c>
      <c r="P57">
        <v>105.4</v>
      </c>
      <c r="Q57">
        <v>89.8</v>
      </c>
      <c r="R57">
        <v>793.8</v>
      </c>
      <c r="S57">
        <v>6.4199999999999993E-2</v>
      </c>
      <c r="T57">
        <v>74.989999999999995</v>
      </c>
      <c r="U57">
        <v>2318</v>
      </c>
      <c r="V57">
        <v>21.36</v>
      </c>
      <c r="W57">
        <v>36.35</v>
      </c>
      <c r="X57">
        <v>279.5</v>
      </c>
      <c r="Y57">
        <v>0.86299999999999999</v>
      </c>
      <c r="Z57">
        <v>0.18065000000000001</v>
      </c>
      <c r="AA57">
        <v>163.80000000000001</v>
      </c>
      <c r="AB57">
        <v>898.5</v>
      </c>
      <c r="AC57">
        <v>0.91490000000000005</v>
      </c>
      <c r="AD57">
        <v>2.5569999999999999</v>
      </c>
      <c r="AE57">
        <v>381.5</v>
      </c>
      <c r="AF57">
        <v>379.1</v>
      </c>
      <c r="AG57">
        <v>73.349999999999994</v>
      </c>
      <c r="AH57">
        <v>157.72999999999999</v>
      </c>
      <c r="AI57">
        <v>6.5250000000000004</v>
      </c>
      <c r="AJ57">
        <v>3293</v>
      </c>
      <c r="AK57">
        <v>2.222</v>
      </c>
      <c r="AL57">
        <v>159.5</v>
      </c>
      <c r="AM57">
        <v>3300</v>
      </c>
      <c r="AN57">
        <v>14500</v>
      </c>
      <c r="AO57">
        <v>56</v>
      </c>
      <c r="AP57">
        <v>921</v>
      </c>
      <c r="AQ57">
        <v>587</v>
      </c>
      <c r="AR57">
        <v>103</v>
      </c>
      <c r="AS57">
        <v>58.071000000000012</v>
      </c>
      <c r="AT57">
        <v>0.96</v>
      </c>
      <c r="AU57">
        <v>57.15</v>
      </c>
      <c r="AV57">
        <v>72.400000000000006</v>
      </c>
      <c r="AW57">
        <v>0.40400000000000003</v>
      </c>
      <c r="AX57">
        <v>723</v>
      </c>
    </row>
    <row r="58" spans="1:50" x14ac:dyDescent="0.2">
      <c r="A58" s="1" t="s">
        <v>121</v>
      </c>
      <c r="B58">
        <v>1920.29</v>
      </c>
      <c r="C58">
        <v>153.4</v>
      </c>
      <c r="D58">
        <v>122.22</v>
      </c>
      <c r="E58">
        <v>2828.5</v>
      </c>
      <c r="F58">
        <v>8556</v>
      </c>
      <c r="G58">
        <v>684.4</v>
      </c>
      <c r="H58">
        <v>26.965</v>
      </c>
      <c r="I58">
        <v>4390</v>
      </c>
      <c r="J58">
        <v>323.25</v>
      </c>
      <c r="K58">
        <v>318.39999999999998</v>
      </c>
      <c r="L58">
        <v>9060.69</v>
      </c>
      <c r="M58">
        <v>269.10000000000002</v>
      </c>
      <c r="N58">
        <v>105.5</v>
      </c>
      <c r="O58">
        <v>3.9</v>
      </c>
      <c r="P58">
        <v>101.62</v>
      </c>
      <c r="Q58">
        <v>88</v>
      </c>
      <c r="R58">
        <v>777.5</v>
      </c>
      <c r="S58">
        <v>6.4000000000000001E-2</v>
      </c>
      <c r="T58">
        <v>74.3</v>
      </c>
      <c r="U58">
        <v>2279</v>
      </c>
      <c r="V58">
        <v>21.16</v>
      </c>
      <c r="W58">
        <v>34.76</v>
      </c>
      <c r="X58">
        <v>279</v>
      </c>
      <c r="Y58">
        <v>0.86709999999999998</v>
      </c>
      <c r="Z58">
        <v>0.17415</v>
      </c>
      <c r="AA58">
        <v>163.05000000000001</v>
      </c>
      <c r="AB58">
        <v>872.5</v>
      </c>
      <c r="AC58">
        <v>0.88500000000000001</v>
      </c>
      <c r="AD58">
        <v>2.5779999999999998</v>
      </c>
      <c r="AE58">
        <v>381</v>
      </c>
      <c r="AF58">
        <v>378.6</v>
      </c>
      <c r="AG58">
        <v>71.7</v>
      </c>
      <c r="AH58">
        <v>153.19</v>
      </c>
      <c r="AI58">
        <v>6.95</v>
      </c>
      <c r="AJ58">
        <v>3266</v>
      </c>
      <c r="AK58">
        <v>2.117</v>
      </c>
      <c r="AL58">
        <v>157.6</v>
      </c>
      <c r="AM58">
        <v>3286</v>
      </c>
      <c r="AN58">
        <v>15100</v>
      </c>
      <c r="AO58">
        <v>55.4</v>
      </c>
      <c r="AP58">
        <v>1000</v>
      </c>
      <c r="AQ58">
        <v>583</v>
      </c>
      <c r="AR58">
        <v>102.3</v>
      </c>
      <c r="AS58">
        <v>59.398999999999987</v>
      </c>
      <c r="AT58">
        <v>0.95099999999999996</v>
      </c>
      <c r="AU58">
        <v>57</v>
      </c>
      <c r="AV58">
        <v>70.069999999999993</v>
      </c>
      <c r="AW58">
        <v>0.39500000000000002</v>
      </c>
      <c r="AX58">
        <v>736.5</v>
      </c>
    </row>
    <row r="59" spans="1:50" x14ac:dyDescent="0.2">
      <c r="A59" s="1" t="s">
        <v>122</v>
      </c>
      <c r="B59">
        <v>1916.5</v>
      </c>
      <c r="C59">
        <v>153.6</v>
      </c>
      <c r="D59">
        <v>121.55</v>
      </c>
      <c r="E59">
        <v>2859</v>
      </c>
      <c r="F59">
        <v>8553</v>
      </c>
      <c r="G59">
        <v>678.8</v>
      </c>
      <c r="H59">
        <v>26.54</v>
      </c>
      <c r="I59">
        <v>4400</v>
      </c>
      <c r="J59">
        <v>326.64999999999998</v>
      </c>
      <c r="K59">
        <v>315.05</v>
      </c>
      <c r="L59">
        <v>8948.34</v>
      </c>
      <c r="M59">
        <v>268.10000000000002</v>
      </c>
      <c r="N59">
        <v>106.5</v>
      </c>
      <c r="O59">
        <v>3.9159999999999999</v>
      </c>
      <c r="P59">
        <v>100.7</v>
      </c>
      <c r="Q59">
        <v>88.32</v>
      </c>
      <c r="R59">
        <v>765.4</v>
      </c>
      <c r="S59">
        <v>6.4000000000000001E-2</v>
      </c>
      <c r="T59">
        <v>73.260000000000005</v>
      </c>
      <c r="U59">
        <v>2276</v>
      </c>
      <c r="V59">
        <v>21.02</v>
      </c>
      <c r="W59">
        <v>34.225000000000001</v>
      </c>
      <c r="X59">
        <v>282.7</v>
      </c>
      <c r="Y59">
        <v>0.86539999999999995</v>
      </c>
      <c r="Z59">
        <v>0.17599999999999999</v>
      </c>
      <c r="AA59">
        <v>162.05000000000001</v>
      </c>
      <c r="AB59">
        <v>835</v>
      </c>
      <c r="AC59">
        <v>0.87719999999999998</v>
      </c>
      <c r="AD59">
        <v>2.637</v>
      </c>
      <c r="AE59">
        <v>377</v>
      </c>
      <c r="AF59">
        <v>378.6</v>
      </c>
      <c r="AG59">
        <v>71.849999999999994</v>
      </c>
      <c r="AH59">
        <v>148.22</v>
      </c>
      <c r="AI59">
        <v>6.9950000000000001</v>
      </c>
      <c r="AJ59">
        <v>3250</v>
      </c>
      <c r="AK59">
        <v>2.1</v>
      </c>
      <c r="AL59">
        <v>155.85</v>
      </c>
      <c r="AM59">
        <v>3398.5</v>
      </c>
      <c r="AN59">
        <v>15600</v>
      </c>
      <c r="AO59">
        <v>55</v>
      </c>
      <c r="AP59">
        <v>1110</v>
      </c>
      <c r="AQ59">
        <v>591</v>
      </c>
      <c r="AR59">
        <v>100.9</v>
      </c>
      <c r="AS59">
        <v>58.857999999999997</v>
      </c>
      <c r="AT59">
        <v>0.94799999999999995</v>
      </c>
      <c r="AU59">
        <v>57</v>
      </c>
      <c r="AV59">
        <v>67.94</v>
      </c>
      <c r="AW59">
        <v>0.38900000000000001</v>
      </c>
      <c r="AX59">
        <v>740.5</v>
      </c>
    </row>
    <row r="60" spans="1:50" x14ac:dyDescent="0.2">
      <c r="A60" s="1" t="s">
        <v>123</v>
      </c>
      <c r="B60">
        <v>1932.17</v>
      </c>
      <c r="C60">
        <v>158.21</v>
      </c>
      <c r="D60">
        <v>121.99</v>
      </c>
      <c r="E60">
        <v>2858</v>
      </c>
      <c r="F60">
        <v>8620</v>
      </c>
      <c r="G60">
        <v>685.1</v>
      </c>
      <c r="H60">
        <v>26.49</v>
      </c>
      <c r="I60">
        <v>4398</v>
      </c>
      <c r="J60">
        <v>324.45</v>
      </c>
      <c r="K60">
        <v>316.60000000000002</v>
      </c>
      <c r="L60">
        <v>9057.7099999999991</v>
      </c>
      <c r="M60">
        <v>265.89999999999998</v>
      </c>
      <c r="N60">
        <v>109.2</v>
      </c>
      <c r="O60">
        <v>3.8780000000000001</v>
      </c>
      <c r="P60">
        <v>101.52</v>
      </c>
      <c r="Q60">
        <v>89.25</v>
      </c>
      <c r="R60">
        <v>769.8</v>
      </c>
      <c r="S60">
        <v>6.4399999999999999E-2</v>
      </c>
      <c r="T60">
        <v>72.81</v>
      </c>
      <c r="U60">
        <v>2261</v>
      </c>
      <c r="V60">
        <v>21.18</v>
      </c>
      <c r="W60">
        <v>34.049999999999997</v>
      </c>
      <c r="X60">
        <v>283.60000000000002</v>
      </c>
      <c r="Y60">
        <v>0.87</v>
      </c>
      <c r="Z60">
        <v>0.17385</v>
      </c>
      <c r="AA60">
        <v>163.5</v>
      </c>
      <c r="AB60">
        <v>863.5</v>
      </c>
      <c r="AC60">
        <v>0.86409999999999998</v>
      </c>
      <c r="AD60">
        <v>2.5960000000000001</v>
      </c>
      <c r="AE60">
        <v>365</v>
      </c>
      <c r="AF60">
        <v>378.5</v>
      </c>
      <c r="AG60">
        <v>71.5</v>
      </c>
      <c r="AH60">
        <v>148.75</v>
      </c>
      <c r="AI60">
        <v>6.95</v>
      </c>
      <c r="AJ60">
        <v>3269</v>
      </c>
      <c r="AK60">
        <v>2.1349999999999998</v>
      </c>
      <c r="AL60">
        <v>150.80000000000001</v>
      </c>
      <c r="AM60">
        <v>3224</v>
      </c>
      <c r="AN60">
        <v>15550</v>
      </c>
      <c r="AO60">
        <v>53.5</v>
      </c>
      <c r="AP60">
        <v>1250</v>
      </c>
      <c r="AQ60">
        <v>595</v>
      </c>
      <c r="AR60">
        <v>99.9</v>
      </c>
      <c r="AS60">
        <v>59.203000000000003</v>
      </c>
      <c r="AT60">
        <v>0.94400000000000006</v>
      </c>
      <c r="AU60">
        <v>57.8</v>
      </c>
      <c r="AV60">
        <v>67.5</v>
      </c>
      <c r="AW60">
        <v>0.38190000000000002</v>
      </c>
      <c r="AX60">
        <v>746.5</v>
      </c>
    </row>
    <row r="61" spans="1:50" x14ac:dyDescent="0.2">
      <c r="A61" s="1" t="s">
        <v>124</v>
      </c>
      <c r="B61">
        <v>1944.72</v>
      </c>
      <c r="C61">
        <v>159.59</v>
      </c>
      <c r="D61">
        <v>123</v>
      </c>
      <c r="E61">
        <v>2850</v>
      </c>
      <c r="F61">
        <v>8538</v>
      </c>
      <c r="G61">
        <v>683.7</v>
      </c>
      <c r="H61">
        <v>26.675000000000001</v>
      </c>
      <c r="I61">
        <v>4400</v>
      </c>
      <c r="J61">
        <v>326.85000000000002</v>
      </c>
      <c r="K61">
        <v>317.39999999999998</v>
      </c>
      <c r="L61">
        <v>9017.94</v>
      </c>
      <c r="M61">
        <v>266.55</v>
      </c>
      <c r="N61">
        <v>111.4</v>
      </c>
      <c r="O61">
        <v>3.9695</v>
      </c>
      <c r="P61">
        <v>101.35</v>
      </c>
      <c r="Q61">
        <v>93.2</v>
      </c>
      <c r="R61">
        <v>774</v>
      </c>
      <c r="S61">
        <v>6.5000000000000002E-2</v>
      </c>
      <c r="T61">
        <v>73.22</v>
      </c>
      <c r="U61">
        <v>2306</v>
      </c>
      <c r="V61">
        <v>20.954999999999998</v>
      </c>
      <c r="W61">
        <v>34.155000000000001</v>
      </c>
      <c r="X61">
        <v>285.8</v>
      </c>
      <c r="Y61">
        <v>0.87250000000000005</v>
      </c>
      <c r="Z61">
        <v>0.17399999999999999</v>
      </c>
      <c r="AA61">
        <v>167.35</v>
      </c>
      <c r="AB61">
        <v>857.5</v>
      </c>
      <c r="AC61">
        <v>0.86009999999999998</v>
      </c>
      <c r="AD61">
        <v>2.5710000000000002</v>
      </c>
      <c r="AE61">
        <v>349.5</v>
      </c>
      <c r="AF61">
        <v>378</v>
      </c>
      <c r="AG61">
        <v>72.55</v>
      </c>
      <c r="AH61">
        <v>148.74</v>
      </c>
      <c r="AI61">
        <v>6.98</v>
      </c>
      <c r="AJ61">
        <v>3274</v>
      </c>
      <c r="AK61">
        <v>2.1074999999999999</v>
      </c>
      <c r="AL61">
        <v>151.80000000000001</v>
      </c>
      <c r="AM61">
        <v>3216</v>
      </c>
      <c r="AN61">
        <v>15310</v>
      </c>
      <c r="AO61">
        <v>54.8</v>
      </c>
      <c r="AP61">
        <v>1289</v>
      </c>
      <c r="AQ61">
        <v>573</v>
      </c>
      <c r="AR61">
        <v>101.1</v>
      </c>
      <c r="AS61">
        <v>59.546999999999997</v>
      </c>
      <c r="AT61">
        <v>0.94900000000000007</v>
      </c>
      <c r="AU61">
        <v>56.9</v>
      </c>
      <c r="AV61">
        <v>67.36</v>
      </c>
      <c r="AW61">
        <v>0.37509999999999999</v>
      </c>
      <c r="AX61">
        <v>735</v>
      </c>
    </row>
    <row r="62" spans="1:50" x14ac:dyDescent="0.2">
      <c r="A62" s="1" t="s">
        <v>125</v>
      </c>
      <c r="B62">
        <v>1979.57</v>
      </c>
      <c r="C62">
        <v>162.5</v>
      </c>
      <c r="D62">
        <v>128</v>
      </c>
      <c r="E62">
        <v>2919</v>
      </c>
      <c r="F62">
        <v>8685</v>
      </c>
      <c r="G62">
        <v>689.6</v>
      </c>
      <c r="H62">
        <v>27.135000000000002</v>
      </c>
      <c r="I62">
        <v>4405</v>
      </c>
      <c r="J62">
        <v>331.6</v>
      </c>
      <c r="K62">
        <v>320.3</v>
      </c>
      <c r="L62">
        <v>8956.2900000000009</v>
      </c>
      <c r="M62">
        <v>274.35000000000002</v>
      </c>
      <c r="N62">
        <v>112.36</v>
      </c>
      <c r="O62">
        <v>3.976</v>
      </c>
      <c r="P62">
        <v>103.22</v>
      </c>
      <c r="Q62">
        <v>93.09</v>
      </c>
      <c r="R62">
        <v>783.4</v>
      </c>
      <c r="S62">
        <v>6.515E-2</v>
      </c>
      <c r="T62">
        <v>74.430000000000007</v>
      </c>
      <c r="U62">
        <v>2317</v>
      </c>
      <c r="V62">
        <v>21.635000000000002</v>
      </c>
      <c r="W62">
        <v>34.97</v>
      </c>
      <c r="X62">
        <v>287.39999999999998</v>
      </c>
      <c r="Y62">
        <v>0.90700000000000003</v>
      </c>
      <c r="Z62">
        <v>0.19015000000000001</v>
      </c>
      <c r="AA62">
        <v>171.85</v>
      </c>
      <c r="AB62">
        <v>850</v>
      </c>
      <c r="AC62">
        <v>0.93400000000000005</v>
      </c>
      <c r="AD62">
        <v>2.5910000000000002</v>
      </c>
      <c r="AE62">
        <v>351.5</v>
      </c>
      <c r="AF62">
        <v>377.6</v>
      </c>
      <c r="AG62">
        <v>74.5</v>
      </c>
      <c r="AH62">
        <v>152.13999999999999</v>
      </c>
      <c r="AI62">
        <v>6.9850000000000003</v>
      </c>
      <c r="AJ62">
        <v>3275</v>
      </c>
      <c r="AK62">
        <v>2.1920000000000002</v>
      </c>
      <c r="AL62">
        <v>150.1</v>
      </c>
      <c r="AM62">
        <v>3340</v>
      </c>
      <c r="AN62">
        <v>15850</v>
      </c>
      <c r="AO62">
        <v>55.4</v>
      </c>
      <c r="AP62">
        <v>1260</v>
      </c>
      <c r="AQ62">
        <v>586</v>
      </c>
      <c r="AR62">
        <v>101.9</v>
      </c>
      <c r="AS62">
        <v>61.319000000000003</v>
      </c>
      <c r="AT62">
        <v>0.98099999999999998</v>
      </c>
      <c r="AU62">
        <v>56.05</v>
      </c>
      <c r="AV62">
        <v>69.75</v>
      </c>
      <c r="AW62">
        <v>0.39910000000000001</v>
      </c>
      <c r="AX62">
        <v>749</v>
      </c>
    </row>
    <row r="63" spans="1:50" x14ac:dyDescent="0.2">
      <c r="A63" s="1" t="s">
        <v>126</v>
      </c>
      <c r="B63">
        <v>1998.41</v>
      </c>
      <c r="C63">
        <v>162.55000000000001</v>
      </c>
      <c r="D63">
        <v>130.19999999999999</v>
      </c>
      <c r="E63">
        <v>2957</v>
      </c>
      <c r="F63">
        <v>8873</v>
      </c>
      <c r="G63">
        <v>696.8</v>
      </c>
      <c r="H63">
        <v>27.64</v>
      </c>
      <c r="I63">
        <v>4405</v>
      </c>
      <c r="J63">
        <v>335.1</v>
      </c>
      <c r="K63">
        <v>320.14999999999998</v>
      </c>
      <c r="L63">
        <v>8774.34</v>
      </c>
      <c r="M63">
        <v>277.3</v>
      </c>
      <c r="N63">
        <v>114.62</v>
      </c>
      <c r="O63">
        <v>3.9969999999999999</v>
      </c>
      <c r="P63">
        <v>105.8</v>
      </c>
      <c r="Q63">
        <v>95.21</v>
      </c>
      <c r="R63">
        <v>795</v>
      </c>
      <c r="S63">
        <v>6.6119000000000011E-2</v>
      </c>
      <c r="T63">
        <v>75.5</v>
      </c>
      <c r="U63">
        <v>2376</v>
      </c>
      <c r="V63">
        <v>21.995000000000001</v>
      </c>
      <c r="W63">
        <v>34.664999999999999</v>
      </c>
      <c r="X63">
        <v>287</v>
      </c>
      <c r="Y63">
        <v>0.90410000000000001</v>
      </c>
      <c r="Z63">
        <v>0.1925</v>
      </c>
      <c r="AA63">
        <v>176.45</v>
      </c>
      <c r="AB63">
        <v>859</v>
      </c>
      <c r="AC63">
        <v>0.93700000000000006</v>
      </c>
      <c r="AD63">
        <v>2.5950000000000002</v>
      </c>
      <c r="AE63">
        <v>340.5</v>
      </c>
      <c r="AF63">
        <v>375.7</v>
      </c>
      <c r="AG63">
        <v>74.75</v>
      </c>
      <c r="AH63">
        <v>150.5</v>
      </c>
      <c r="AI63">
        <v>7.04</v>
      </c>
      <c r="AJ63">
        <v>3325</v>
      </c>
      <c r="AK63">
        <v>2.2850000000000001</v>
      </c>
      <c r="AL63">
        <v>149.55000000000001</v>
      </c>
      <c r="AM63">
        <v>3438</v>
      </c>
      <c r="AN63">
        <v>15760</v>
      </c>
      <c r="AO63">
        <v>55.4</v>
      </c>
      <c r="AP63">
        <v>1189</v>
      </c>
      <c r="AQ63">
        <v>588</v>
      </c>
      <c r="AR63">
        <v>103.3</v>
      </c>
      <c r="AS63">
        <v>61.762</v>
      </c>
      <c r="AT63">
        <v>0.99099999999999999</v>
      </c>
      <c r="AU63">
        <v>57.15</v>
      </c>
      <c r="AV63">
        <v>69.92</v>
      </c>
      <c r="AW63">
        <v>0.4012</v>
      </c>
      <c r="AX63">
        <v>746</v>
      </c>
    </row>
    <row r="64" spans="1:50" x14ac:dyDescent="0.2">
      <c r="A64" s="1" t="s">
        <v>127</v>
      </c>
      <c r="B64">
        <v>2026.92</v>
      </c>
      <c r="C64">
        <v>165.05</v>
      </c>
      <c r="D64">
        <v>133.43</v>
      </c>
      <c r="E64">
        <v>2970</v>
      </c>
      <c r="F64">
        <v>8890</v>
      </c>
      <c r="G64">
        <v>709.5</v>
      </c>
      <c r="H64">
        <v>28.56</v>
      </c>
      <c r="I64">
        <v>4398</v>
      </c>
      <c r="J64">
        <v>339.8</v>
      </c>
      <c r="K64">
        <v>326.05</v>
      </c>
      <c r="L64">
        <v>8772.36</v>
      </c>
      <c r="M64">
        <v>277.60000000000002</v>
      </c>
      <c r="N64">
        <v>115</v>
      </c>
      <c r="O64">
        <v>4.0305</v>
      </c>
      <c r="P64">
        <v>107.53</v>
      </c>
      <c r="Q64">
        <v>95.64</v>
      </c>
      <c r="R64">
        <v>785.4</v>
      </c>
      <c r="S64">
        <v>6.8430999999999992E-2</v>
      </c>
      <c r="T64">
        <v>76.95</v>
      </c>
      <c r="U64">
        <v>2434</v>
      </c>
      <c r="V64">
        <v>22.22</v>
      </c>
      <c r="W64">
        <v>34.85</v>
      </c>
      <c r="X64">
        <v>285.39999999999998</v>
      </c>
      <c r="Y64">
        <v>0.91200000000000003</v>
      </c>
      <c r="Z64">
        <v>0.19095000000000001</v>
      </c>
      <c r="AA64">
        <v>179.95</v>
      </c>
      <c r="AB64">
        <v>862.5</v>
      </c>
      <c r="AC64">
        <v>0.92390000000000005</v>
      </c>
      <c r="AD64">
        <v>2.5710000000000002</v>
      </c>
      <c r="AE64">
        <v>352</v>
      </c>
      <c r="AF64">
        <v>378.8</v>
      </c>
      <c r="AG64">
        <v>74.599999999999994</v>
      </c>
      <c r="AH64">
        <v>151.49</v>
      </c>
      <c r="AI64">
        <v>7.13</v>
      </c>
      <c r="AJ64">
        <v>3292</v>
      </c>
      <c r="AK64">
        <v>2.375</v>
      </c>
      <c r="AL64">
        <v>148.19999999999999</v>
      </c>
      <c r="AM64">
        <v>3300</v>
      </c>
      <c r="AN64">
        <v>15660</v>
      </c>
      <c r="AO64">
        <v>55.2</v>
      </c>
      <c r="AP64">
        <v>1148</v>
      </c>
      <c r="AQ64">
        <v>589</v>
      </c>
      <c r="AR64">
        <v>105.3</v>
      </c>
      <c r="AS64">
        <v>61.762</v>
      </c>
      <c r="AT64">
        <v>0.98699999999999999</v>
      </c>
      <c r="AU64">
        <v>57.15</v>
      </c>
      <c r="AV64">
        <v>72.8</v>
      </c>
      <c r="AW64">
        <v>0.40620000000000001</v>
      </c>
      <c r="AX64">
        <v>748.5</v>
      </c>
    </row>
    <row r="65" spans="1:50" x14ac:dyDescent="0.2">
      <c r="A65" s="1" t="s">
        <v>128</v>
      </c>
      <c r="B65">
        <v>2011.67</v>
      </c>
      <c r="C65">
        <v>164.69</v>
      </c>
      <c r="D65">
        <v>133.41</v>
      </c>
      <c r="E65">
        <v>2885</v>
      </c>
      <c r="F65">
        <v>8750</v>
      </c>
      <c r="G65">
        <v>697.1</v>
      </c>
      <c r="H65">
        <v>28.13</v>
      </c>
      <c r="I65">
        <v>4400</v>
      </c>
      <c r="J65">
        <v>361.2</v>
      </c>
      <c r="K65">
        <v>318.35000000000002</v>
      </c>
      <c r="L65">
        <v>8774.34</v>
      </c>
      <c r="M65">
        <v>274.39999999999998</v>
      </c>
      <c r="N65">
        <v>115.79</v>
      </c>
      <c r="O65">
        <v>4.0125000000000002</v>
      </c>
      <c r="P65">
        <v>108.38</v>
      </c>
      <c r="Q65">
        <v>96.75</v>
      </c>
      <c r="R65">
        <v>778</v>
      </c>
      <c r="S65">
        <v>6.6712999999999995E-2</v>
      </c>
      <c r="T65">
        <v>74.44</v>
      </c>
      <c r="U65">
        <v>2423</v>
      </c>
      <c r="V65">
        <v>21.704999999999998</v>
      </c>
      <c r="W65">
        <v>34.104999999999997</v>
      </c>
      <c r="X65">
        <v>287.7</v>
      </c>
      <c r="Y65">
        <v>0.90080000000000005</v>
      </c>
      <c r="Z65">
        <v>0.18984999999999999</v>
      </c>
      <c r="AA65">
        <v>175.85</v>
      </c>
      <c r="AB65">
        <v>860</v>
      </c>
      <c r="AC65">
        <v>0.90990000000000004</v>
      </c>
      <c r="AD65">
        <v>2.536</v>
      </c>
      <c r="AE65">
        <v>361</v>
      </c>
      <c r="AF65">
        <v>377.1</v>
      </c>
      <c r="AG65">
        <v>75.099999999999994</v>
      </c>
      <c r="AH65">
        <v>167.1</v>
      </c>
      <c r="AI65">
        <v>7.1050000000000004</v>
      </c>
      <c r="AJ65">
        <v>3270</v>
      </c>
      <c r="AK65">
        <v>2.35</v>
      </c>
      <c r="AL65">
        <v>149.6</v>
      </c>
      <c r="AM65">
        <v>3300</v>
      </c>
      <c r="AN65">
        <v>15640</v>
      </c>
      <c r="AO65">
        <v>54.5</v>
      </c>
      <c r="AP65">
        <v>1000</v>
      </c>
      <c r="AQ65">
        <v>586</v>
      </c>
      <c r="AR65">
        <v>104.1</v>
      </c>
      <c r="AS65">
        <v>61.023000000000003</v>
      </c>
      <c r="AT65">
        <v>0.98799999999999999</v>
      </c>
      <c r="AU65">
        <v>57</v>
      </c>
      <c r="AV65">
        <v>72.39</v>
      </c>
      <c r="AW65">
        <v>0.3952</v>
      </c>
      <c r="AX65">
        <v>743</v>
      </c>
    </row>
    <row r="66" spans="1:50" x14ac:dyDescent="0.2">
      <c r="A66" s="1" t="s">
        <v>129</v>
      </c>
      <c r="B66">
        <v>2016.71</v>
      </c>
      <c r="C66">
        <v>165.2</v>
      </c>
      <c r="D66">
        <v>136.75</v>
      </c>
      <c r="E66">
        <v>2818</v>
      </c>
      <c r="F66">
        <v>8747</v>
      </c>
      <c r="G66">
        <v>695.4</v>
      </c>
      <c r="H66">
        <v>27.91</v>
      </c>
      <c r="I66">
        <v>4405</v>
      </c>
      <c r="J66">
        <v>377</v>
      </c>
      <c r="K66">
        <v>317.25</v>
      </c>
      <c r="L66">
        <v>8725.6299999999992</v>
      </c>
      <c r="M66">
        <v>273.85000000000002</v>
      </c>
      <c r="N66">
        <v>115.05</v>
      </c>
      <c r="O66">
        <v>4.05</v>
      </c>
      <c r="P66">
        <v>107.75</v>
      </c>
      <c r="Q66">
        <v>98.11</v>
      </c>
      <c r="R66">
        <v>776</v>
      </c>
      <c r="S66">
        <v>6.6712999999999995E-2</v>
      </c>
      <c r="T66">
        <v>74.5</v>
      </c>
      <c r="U66">
        <v>2415</v>
      </c>
      <c r="V66">
        <v>21.35</v>
      </c>
      <c r="W66">
        <v>33.905000000000001</v>
      </c>
      <c r="X66">
        <v>288.2</v>
      </c>
      <c r="Y66">
        <v>0.89500000000000002</v>
      </c>
      <c r="Z66">
        <v>0.19639999999999999</v>
      </c>
      <c r="AA66">
        <v>175.75</v>
      </c>
      <c r="AB66">
        <v>870</v>
      </c>
      <c r="AC66">
        <v>0.96</v>
      </c>
      <c r="AD66">
        <v>2.52</v>
      </c>
      <c r="AE66">
        <v>364.5</v>
      </c>
      <c r="AF66">
        <v>381.8</v>
      </c>
      <c r="AG66">
        <v>73.5</v>
      </c>
      <c r="AH66">
        <v>177.77</v>
      </c>
      <c r="AI66">
        <v>7.1349999999999998</v>
      </c>
      <c r="AJ66">
        <v>3350</v>
      </c>
      <c r="AK66">
        <v>2.3370000000000002</v>
      </c>
      <c r="AL66">
        <v>149.9</v>
      </c>
      <c r="AM66">
        <v>3173</v>
      </c>
      <c r="AN66">
        <v>15660</v>
      </c>
      <c r="AO66">
        <v>53.1</v>
      </c>
      <c r="AP66">
        <v>1015</v>
      </c>
      <c r="AQ66">
        <v>575</v>
      </c>
      <c r="AR66">
        <v>106.1</v>
      </c>
      <c r="AS66">
        <v>62.351999999999997</v>
      </c>
      <c r="AT66">
        <v>1.004</v>
      </c>
      <c r="AU66">
        <v>57.35</v>
      </c>
      <c r="AV66">
        <v>72.989999999999995</v>
      </c>
      <c r="AW66">
        <v>0.40300000000000002</v>
      </c>
      <c r="AX66">
        <v>742.5</v>
      </c>
    </row>
    <row r="67" spans="1:50" x14ac:dyDescent="0.2">
      <c r="A67" s="1" t="s">
        <v>130</v>
      </c>
      <c r="B67">
        <v>2016.71</v>
      </c>
      <c r="C67">
        <v>165.2</v>
      </c>
      <c r="D67">
        <v>136.75</v>
      </c>
      <c r="E67">
        <v>2818</v>
      </c>
      <c r="F67">
        <v>8747</v>
      </c>
      <c r="G67">
        <v>695.4</v>
      </c>
      <c r="H67">
        <v>27.91</v>
      </c>
      <c r="I67">
        <v>4405</v>
      </c>
      <c r="J67">
        <v>377</v>
      </c>
      <c r="K67">
        <v>317.25</v>
      </c>
      <c r="L67">
        <v>8725.6299999999992</v>
      </c>
      <c r="M67">
        <v>273.85000000000002</v>
      </c>
      <c r="N67">
        <v>115.05</v>
      </c>
      <c r="O67">
        <v>4.05</v>
      </c>
      <c r="P67">
        <v>107.75</v>
      </c>
      <c r="Q67">
        <v>98.11</v>
      </c>
      <c r="R67">
        <v>776</v>
      </c>
      <c r="S67">
        <v>6.6712999999999995E-2</v>
      </c>
      <c r="T67">
        <v>74.5</v>
      </c>
      <c r="U67">
        <v>2415</v>
      </c>
      <c r="V67">
        <v>21.35</v>
      </c>
      <c r="W67">
        <v>33.905000000000001</v>
      </c>
      <c r="X67">
        <v>288.2</v>
      </c>
      <c r="Y67">
        <v>0.89500000000000002</v>
      </c>
      <c r="Z67">
        <v>0.19639999999999999</v>
      </c>
      <c r="AA67">
        <v>175.75</v>
      </c>
      <c r="AB67">
        <v>870</v>
      </c>
      <c r="AC67">
        <v>0.96</v>
      </c>
      <c r="AD67">
        <v>2.52</v>
      </c>
      <c r="AE67">
        <v>364.5</v>
      </c>
      <c r="AF67">
        <v>381.8</v>
      </c>
      <c r="AG67">
        <v>73.5</v>
      </c>
      <c r="AH67">
        <v>177.77</v>
      </c>
      <c r="AI67">
        <v>7.1349999999999998</v>
      </c>
      <c r="AJ67">
        <v>3350</v>
      </c>
      <c r="AK67">
        <v>2.3370000000000002</v>
      </c>
      <c r="AL67">
        <v>149.9</v>
      </c>
      <c r="AM67">
        <v>3173</v>
      </c>
      <c r="AN67">
        <v>15660</v>
      </c>
      <c r="AO67">
        <v>53.1</v>
      </c>
      <c r="AP67">
        <v>1015</v>
      </c>
      <c r="AQ67">
        <v>575</v>
      </c>
      <c r="AR67">
        <v>106.1</v>
      </c>
      <c r="AS67">
        <v>62.351999999999997</v>
      </c>
      <c r="AT67">
        <v>1.004</v>
      </c>
      <c r="AU67">
        <v>57.35</v>
      </c>
      <c r="AV67">
        <v>72.989999999999995</v>
      </c>
      <c r="AW67">
        <v>0.40300000000000002</v>
      </c>
      <c r="AX67">
        <v>742.5</v>
      </c>
    </row>
    <row r="68" spans="1:50" x14ac:dyDescent="0.2">
      <c r="A68" s="1" t="s">
        <v>131</v>
      </c>
      <c r="B68">
        <v>2026.85</v>
      </c>
      <c r="C68">
        <v>166.64</v>
      </c>
      <c r="D68">
        <v>136.52000000000001</v>
      </c>
      <c r="E68">
        <v>2864</v>
      </c>
      <c r="F68">
        <v>8809</v>
      </c>
      <c r="G68">
        <v>695.7</v>
      </c>
      <c r="H68">
        <v>28.105</v>
      </c>
      <c r="I68">
        <v>4398</v>
      </c>
      <c r="J68">
        <v>371.35</v>
      </c>
      <c r="K68">
        <v>316</v>
      </c>
      <c r="L68">
        <v>8770.3700000000008</v>
      </c>
      <c r="M68">
        <v>276</v>
      </c>
      <c r="N68">
        <v>117.3</v>
      </c>
      <c r="O68">
        <v>4.1539999999999999</v>
      </c>
      <c r="P68">
        <v>109</v>
      </c>
      <c r="Q68">
        <v>98.13</v>
      </c>
      <c r="R68">
        <v>779</v>
      </c>
      <c r="S68">
        <v>6.7369000000000012E-2</v>
      </c>
      <c r="T68">
        <v>75.010000000000005</v>
      </c>
      <c r="U68">
        <v>2399</v>
      </c>
      <c r="V68">
        <v>22.29</v>
      </c>
      <c r="W68">
        <v>35.85</v>
      </c>
      <c r="X68">
        <v>288</v>
      </c>
      <c r="Y68">
        <v>0.8972</v>
      </c>
      <c r="Z68">
        <v>0.19545000000000001</v>
      </c>
      <c r="AA68">
        <v>180</v>
      </c>
      <c r="AB68">
        <v>880</v>
      </c>
      <c r="AC68">
        <v>0.95979999999999999</v>
      </c>
      <c r="AD68">
        <v>2.5790000000000002</v>
      </c>
      <c r="AE68">
        <v>370</v>
      </c>
      <c r="AF68">
        <v>382.2</v>
      </c>
      <c r="AG68">
        <v>74</v>
      </c>
      <c r="AH68">
        <v>170.05</v>
      </c>
      <c r="AI68">
        <v>7.19</v>
      </c>
      <c r="AJ68">
        <v>3316</v>
      </c>
      <c r="AK68">
        <v>2.44</v>
      </c>
      <c r="AL68">
        <v>148</v>
      </c>
      <c r="AM68">
        <v>3187</v>
      </c>
      <c r="AN68">
        <v>15890</v>
      </c>
      <c r="AO68">
        <v>53.5</v>
      </c>
      <c r="AP68">
        <v>1000</v>
      </c>
      <c r="AQ68">
        <v>572</v>
      </c>
      <c r="AR68">
        <v>109.1</v>
      </c>
      <c r="AS68">
        <v>62.057000000000002</v>
      </c>
      <c r="AT68">
        <v>0.99900000000000011</v>
      </c>
      <c r="AU68">
        <v>57.4</v>
      </c>
      <c r="AV68">
        <v>73.69</v>
      </c>
      <c r="AW68">
        <v>0.42049999999999998</v>
      </c>
      <c r="AX68">
        <v>742</v>
      </c>
    </row>
    <row r="69" spans="1:50" x14ac:dyDescent="0.2">
      <c r="A69" s="1" t="s">
        <v>132</v>
      </c>
      <c r="B69">
        <v>1993.66</v>
      </c>
      <c r="C69">
        <v>164.71</v>
      </c>
      <c r="D69">
        <v>135.81</v>
      </c>
      <c r="E69">
        <v>2770</v>
      </c>
      <c r="F69">
        <v>8688</v>
      </c>
      <c r="G69">
        <v>687.4</v>
      </c>
      <c r="H69">
        <v>28.504999999999999</v>
      </c>
      <c r="I69">
        <v>4395</v>
      </c>
      <c r="J69">
        <v>361</v>
      </c>
      <c r="K69">
        <v>311.64999999999998</v>
      </c>
      <c r="L69">
        <v>8635.15</v>
      </c>
      <c r="M69">
        <v>247.3</v>
      </c>
      <c r="N69">
        <v>118.2</v>
      </c>
      <c r="O69">
        <v>4.0710000000000006</v>
      </c>
      <c r="P69">
        <v>106.59</v>
      </c>
      <c r="Q69">
        <v>95.47</v>
      </c>
      <c r="R69">
        <v>777</v>
      </c>
      <c r="S69">
        <v>6.7500000000000004E-2</v>
      </c>
      <c r="T69">
        <v>74.3</v>
      </c>
      <c r="U69">
        <v>2398</v>
      </c>
      <c r="V69">
        <v>14.06</v>
      </c>
      <c r="W69">
        <v>35.6</v>
      </c>
      <c r="X69">
        <v>284.39999999999998</v>
      </c>
      <c r="Y69">
        <v>0.879</v>
      </c>
      <c r="Z69">
        <v>0.19500000000000001</v>
      </c>
      <c r="AA69">
        <v>181.25</v>
      </c>
      <c r="AB69">
        <v>882.5</v>
      </c>
      <c r="AC69">
        <v>0.93710000000000004</v>
      </c>
      <c r="AD69">
        <v>2.5449999999999999</v>
      </c>
      <c r="AE69">
        <v>365.5</v>
      </c>
      <c r="AF69">
        <v>382.5</v>
      </c>
      <c r="AG69">
        <v>74.7</v>
      </c>
      <c r="AH69">
        <v>174.2</v>
      </c>
      <c r="AI69">
        <v>7.07</v>
      </c>
      <c r="AJ69">
        <v>3314</v>
      </c>
      <c r="AK69">
        <v>2.3805000000000001</v>
      </c>
      <c r="AL69">
        <v>146</v>
      </c>
      <c r="AM69">
        <v>3124</v>
      </c>
      <c r="AN69">
        <v>15660</v>
      </c>
      <c r="AO69">
        <v>53</v>
      </c>
      <c r="AP69">
        <v>1079</v>
      </c>
      <c r="AQ69">
        <v>565</v>
      </c>
      <c r="AR69">
        <v>105.4</v>
      </c>
      <c r="AS69">
        <v>61.811000000000007</v>
      </c>
      <c r="AT69">
        <v>0.97900000000000009</v>
      </c>
      <c r="AU69">
        <v>57</v>
      </c>
      <c r="AV69">
        <v>71.92</v>
      </c>
      <c r="AW69">
        <v>0.40870000000000001</v>
      </c>
      <c r="AX69">
        <v>742.5</v>
      </c>
    </row>
    <row r="70" spans="1:50" x14ac:dyDescent="0.2">
      <c r="A70" s="1" t="s">
        <v>133</v>
      </c>
      <c r="B70">
        <v>1998.87</v>
      </c>
      <c r="C70">
        <v>165.5</v>
      </c>
      <c r="D70">
        <v>134.93</v>
      </c>
      <c r="E70">
        <v>2780</v>
      </c>
      <c r="F70">
        <v>8701</v>
      </c>
      <c r="G70">
        <v>693</v>
      </c>
      <c r="H70">
        <v>28.614999999999998</v>
      </c>
      <c r="I70">
        <v>4395</v>
      </c>
      <c r="J70">
        <v>368.25</v>
      </c>
      <c r="K70">
        <v>310</v>
      </c>
      <c r="L70">
        <v>8790.25</v>
      </c>
      <c r="M70">
        <v>246.5</v>
      </c>
      <c r="N70">
        <v>114.74</v>
      </c>
      <c r="O70">
        <v>4.05</v>
      </c>
      <c r="P70">
        <v>107.51</v>
      </c>
      <c r="Q70">
        <v>94.7</v>
      </c>
      <c r="R70">
        <v>780.6</v>
      </c>
      <c r="S70">
        <v>6.7100000000000007E-2</v>
      </c>
      <c r="T70">
        <v>75</v>
      </c>
      <c r="U70">
        <v>2431</v>
      </c>
      <c r="V70">
        <v>14.49</v>
      </c>
      <c r="W70">
        <v>35.984999999999999</v>
      </c>
      <c r="X70">
        <v>288.2</v>
      </c>
      <c r="Y70">
        <v>0.87339999999999995</v>
      </c>
      <c r="Z70">
        <v>0.19195000000000001</v>
      </c>
      <c r="AA70">
        <v>183.15</v>
      </c>
      <c r="AB70">
        <v>890</v>
      </c>
      <c r="AC70">
        <v>0.92200000000000004</v>
      </c>
      <c r="AD70">
        <v>2.5499999999999998</v>
      </c>
      <c r="AE70">
        <v>370.5</v>
      </c>
      <c r="AF70">
        <v>382.4</v>
      </c>
      <c r="AG70">
        <v>76.12</v>
      </c>
      <c r="AH70">
        <v>168.15</v>
      </c>
      <c r="AI70">
        <v>7.14</v>
      </c>
      <c r="AJ70">
        <v>3300</v>
      </c>
      <c r="AK70">
        <v>2.391</v>
      </c>
      <c r="AL70">
        <v>147.9</v>
      </c>
      <c r="AM70">
        <v>3135</v>
      </c>
      <c r="AN70">
        <v>15690</v>
      </c>
      <c r="AO70">
        <v>53</v>
      </c>
      <c r="AP70">
        <v>1109</v>
      </c>
      <c r="AQ70">
        <v>558</v>
      </c>
      <c r="AR70">
        <v>108.4</v>
      </c>
      <c r="AS70">
        <v>61.762</v>
      </c>
      <c r="AT70">
        <v>0.9890000000000001</v>
      </c>
      <c r="AU70">
        <v>57.1</v>
      </c>
      <c r="AV70">
        <v>70.7</v>
      </c>
      <c r="AW70">
        <v>0.4073</v>
      </c>
      <c r="AX70">
        <v>743.5</v>
      </c>
    </row>
    <row r="71" spans="1:50" x14ac:dyDescent="0.2">
      <c r="A71" s="1" t="s">
        <v>134</v>
      </c>
      <c r="B71">
        <v>2002.41</v>
      </c>
      <c r="C71">
        <v>165.8</v>
      </c>
      <c r="D71">
        <v>134.41</v>
      </c>
      <c r="E71">
        <v>2811.5</v>
      </c>
      <c r="F71">
        <v>8765</v>
      </c>
      <c r="G71">
        <v>696</v>
      </c>
      <c r="H71">
        <v>28.46</v>
      </c>
      <c r="I71">
        <v>4399</v>
      </c>
      <c r="J71">
        <v>368.3</v>
      </c>
      <c r="K71">
        <v>312.45</v>
      </c>
      <c r="L71">
        <v>8848.91</v>
      </c>
      <c r="M71">
        <v>256</v>
      </c>
      <c r="N71">
        <v>116.3</v>
      </c>
      <c r="O71">
        <v>3.98</v>
      </c>
      <c r="P71">
        <v>106.99</v>
      </c>
      <c r="Q71">
        <v>93.41</v>
      </c>
      <c r="R71">
        <v>775.3</v>
      </c>
      <c r="S71">
        <v>6.5730999999999998E-2</v>
      </c>
      <c r="T71">
        <v>75.16</v>
      </c>
      <c r="U71">
        <v>2443</v>
      </c>
      <c r="V71">
        <v>14.494999999999999</v>
      </c>
      <c r="W71">
        <v>35.799999999999997</v>
      </c>
      <c r="X71">
        <v>297.89999999999998</v>
      </c>
      <c r="Y71">
        <v>0.8909999999999999</v>
      </c>
      <c r="Z71">
        <v>0.19155</v>
      </c>
      <c r="AA71">
        <v>187.6</v>
      </c>
      <c r="AB71">
        <v>898</v>
      </c>
      <c r="AC71">
        <v>0.91579999999999995</v>
      </c>
      <c r="AD71">
        <v>2.5049999999999999</v>
      </c>
      <c r="AE71">
        <v>373</v>
      </c>
      <c r="AF71">
        <v>383</v>
      </c>
      <c r="AG71">
        <v>75.83</v>
      </c>
      <c r="AH71">
        <v>164.15</v>
      </c>
      <c r="AI71">
        <v>7.1</v>
      </c>
      <c r="AJ71">
        <v>3315</v>
      </c>
      <c r="AK71">
        <v>2.3849999999999998</v>
      </c>
      <c r="AL71">
        <v>156.94999999999999</v>
      </c>
      <c r="AM71">
        <v>3139</v>
      </c>
      <c r="AN71">
        <v>15710</v>
      </c>
      <c r="AO71">
        <v>53</v>
      </c>
      <c r="AP71">
        <v>1108</v>
      </c>
      <c r="AQ71">
        <v>554</v>
      </c>
      <c r="AR71">
        <v>107.4</v>
      </c>
      <c r="AS71">
        <v>60.875999999999998</v>
      </c>
      <c r="AT71">
        <v>0.9840000000000001</v>
      </c>
      <c r="AU71">
        <v>57.05</v>
      </c>
      <c r="AV71">
        <v>70.7</v>
      </c>
      <c r="AW71">
        <v>0.4027</v>
      </c>
      <c r="AX71">
        <v>742</v>
      </c>
    </row>
    <row r="72" spans="1:50" x14ac:dyDescent="0.2">
      <c r="A72" s="1" t="s">
        <v>135</v>
      </c>
      <c r="B72">
        <v>2002.41</v>
      </c>
      <c r="C72">
        <v>165.8</v>
      </c>
      <c r="D72">
        <v>134.41</v>
      </c>
      <c r="E72">
        <v>2811.5</v>
      </c>
      <c r="F72">
        <v>8765</v>
      </c>
      <c r="G72">
        <v>696</v>
      </c>
      <c r="H72">
        <v>28.46</v>
      </c>
      <c r="I72">
        <v>4399</v>
      </c>
      <c r="J72">
        <v>368.3</v>
      </c>
      <c r="K72">
        <v>312.45</v>
      </c>
      <c r="L72">
        <v>8848.91</v>
      </c>
      <c r="M72">
        <v>256</v>
      </c>
      <c r="N72">
        <v>116.3</v>
      </c>
      <c r="O72">
        <v>3.98</v>
      </c>
      <c r="P72">
        <v>106.99</v>
      </c>
      <c r="Q72">
        <v>93.41</v>
      </c>
      <c r="R72">
        <v>775.3</v>
      </c>
      <c r="S72">
        <v>6.5730999999999998E-2</v>
      </c>
      <c r="T72">
        <v>75.16</v>
      </c>
      <c r="U72">
        <v>2443</v>
      </c>
      <c r="V72">
        <v>14.494999999999999</v>
      </c>
      <c r="W72">
        <v>35.799999999999997</v>
      </c>
      <c r="X72">
        <v>297.89999999999998</v>
      </c>
      <c r="Y72">
        <v>0.8909999999999999</v>
      </c>
      <c r="Z72">
        <v>0.19155</v>
      </c>
      <c r="AA72">
        <v>187.6</v>
      </c>
      <c r="AB72">
        <v>898</v>
      </c>
      <c r="AC72">
        <v>0.91579999999999995</v>
      </c>
      <c r="AD72">
        <v>2.5049999999999999</v>
      </c>
      <c r="AE72">
        <v>373</v>
      </c>
      <c r="AF72">
        <v>383</v>
      </c>
      <c r="AG72">
        <v>75.83</v>
      </c>
      <c r="AH72">
        <v>164.15</v>
      </c>
      <c r="AI72">
        <v>7.1</v>
      </c>
      <c r="AJ72">
        <v>3315</v>
      </c>
      <c r="AK72">
        <v>2.3849999999999998</v>
      </c>
      <c r="AL72">
        <v>156.94999999999999</v>
      </c>
      <c r="AM72">
        <v>3139</v>
      </c>
      <c r="AN72">
        <v>15710</v>
      </c>
      <c r="AO72">
        <v>53</v>
      </c>
      <c r="AP72">
        <v>1108</v>
      </c>
      <c r="AQ72">
        <v>554</v>
      </c>
      <c r="AR72">
        <v>107.4</v>
      </c>
      <c r="AS72">
        <v>60.875999999999998</v>
      </c>
      <c r="AT72">
        <v>0.9840000000000001</v>
      </c>
      <c r="AU72">
        <v>57.05</v>
      </c>
      <c r="AV72">
        <v>70.7</v>
      </c>
      <c r="AW72">
        <v>0.4027</v>
      </c>
      <c r="AX72">
        <v>742</v>
      </c>
    </row>
    <row r="73" spans="1:50" x14ac:dyDescent="0.2">
      <c r="A73" s="1" t="s">
        <v>136</v>
      </c>
      <c r="B73">
        <v>2002.41</v>
      </c>
      <c r="C73">
        <v>165.8</v>
      </c>
      <c r="D73">
        <v>134.41</v>
      </c>
      <c r="E73">
        <v>2811.5</v>
      </c>
      <c r="F73">
        <v>8765</v>
      </c>
      <c r="G73">
        <v>696</v>
      </c>
      <c r="H73">
        <v>28.46</v>
      </c>
      <c r="I73">
        <v>4399</v>
      </c>
      <c r="J73">
        <v>368.3</v>
      </c>
      <c r="K73">
        <v>312.45</v>
      </c>
      <c r="L73">
        <v>8848.91</v>
      </c>
      <c r="M73">
        <v>256</v>
      </c>
      <c r="N73">
        <v>116.3</v>
      </c>
      <c r="O73">
        <v>3.98</v>
      </c>
      <c r="P73">
        <v>106.99</v>
      </c>
      <c r="Q73">
        <v>93.41</v>
      </c>
      <c r="R73">
        <v>775.3</v>
      </c>
      <c r="S73">
        <v>6.5730999999999998E-2</v>
      </c>
      <c r="T73">
        <v>75.16</v>
      </c>
      <c r="U73">
        <v>2443</v>
      </c>
      <c r="V73">
        <v>14.494999999999999</v>
      </c>
      <c r="W73">
        <v>35.799999999999997</v>
      </c>
      <c r="X73">
        <v>297.89999999999998</v>
      </c>
      <c r="Y73">
        <v>0.8909999999999999</v>
      </c>
      <c r="Z73">
        <v>0.19155</v>
      </c>
      <c r="AA73">
        <v>187.6</v>
      </c>
      <c r="AB73">
        <v>898</v>
      </c>
      <c r="AC73">
        <v>0.91579999999999995</v>
      </c>
      <c r="AD73">
        <v>2.5049999999999999</v>
      </c>
      <c r="AE73">
        <v>373</v>
      </c>
      <c r="AF73">
        <v>383</v>
      </c>
      <c r="AG73">
        <v>75.83</v>
      </c>
      <c r="AH73">
        <v>164.15</v>
      </c>
      <c r="AI73">
        <v>7.1</v>
      </c>
      <c r="AJ73">
        <v>3315</v>
      </c>
      <c r="AK73">
        <v>2.3849999999999998</v>
      </c>
      <c r="AL73">
        <v>156.94999999999999</v>
      </c>
      <c r="AM73">
        <v>3139</v>
      </c>
      <c r="AN73">
        <v>15710</v>
      </c>
      <c r="AO73">
        <v>53</v>
      </c>
      <c r="AP73">
        <v>1108</v>
      </c>
      <c r="AQ73">
        <v>554</v>
      </c>
      <c r="AR73">
        <v>107.4</v>
      </c>
      <c r="AS73">
        <v>60.875999999999998</v>
      </c>
      <c r="AT73">
        <v>0.9840000000000001</v>
      </c>
      <c r="AU73">
        <v>57.05</v>
      </c>
      <c r="AV73">
        <v>70.7</v>
      </c>
      <c r="AW73">
        <v>0.4027</v>
      </c>
      <c r="AX73">
        <v>742</v>
      </c>
    </row>
    <row r="74" spans="1:50" x14ac:dyDescent="0.2">
      <c r="A74" s="1" t="s">
        <v>137</v>
      </c>
      <c r="B74">
        <v>2028.21</v>
      </c>
      <c r="C74">
        <v>170.8</v>
      </c>
      <c r="D74">
        <v>134.19</v>
      </c>
      <c r="E74">
        <v>2917</v>
      </c>
      <c r="F74">
        <v>8658</v>
      </c>
      <c r="G74">
        <v>692</v>
      </c>
      <c r="H74">
        <v>29.2</v>
      </c>
      <c r="I74">
        <v>4484</v>
      </c>
      <c r="J74">
        <v>373.5</v>
      </c>
      <c r="K74">
        <v>315.05</v>
      </c>
      <c r="L74">
        <v>9087.5400000000009</v>
      </c>
      <c r="M74">
        <v>256</v>
      </c>
      <c r="N74">
        <v>116.73</v>
      </c>
      <c r="O74">
        <v>4.1160000000000014</v>
      </c>
      <c r="P74">
        <v>108.71</v>
      </c>
      <c r="Q74">
        <v>94.46</v>
      </c>
      <c r="R74">
        <v>779.6</v>
      </c>
      <c r="S74">
        <v>6.6900000000000001E-2</v>
      </c>
      <c r="T74">
        <v>75.22</v>
      </c>
      <c r="U74">
        <v>2479</v>
      </c>
      <c r="V74">
        <v>15.75</v>
      </c>
      <c r="W74">
        <v>35.19</v>
      </c>
      <c r="X74">
        <v>287.89999999999998</v>
      </c>
      <c r="Y74">
        <v>0.8972</v>
      </c>
      <c r="Z74">
        <v>0.19320000000000001</v>
      </c>
      <c r="AA74">
        <v>189.8</v>
      </c>
      <c r="AB74">
        <v>895</v>
      </c>
      <c r="AC74">
        <v>0.92410000000000003</v>
      </c>
      <c r="AD74">
        <v>2.6</v>
      </c>
      <c r="AE74">
        <v>370</v>
      </c>
      <c r="AF74">
        <v>384.5</v>
      </c>
      <c r="AG74">
        <v>75.760000000000005</v>
      </c>
      <c r="AH74">
        <v>164.6</v>
      </c>
      <c r="AI74">
        <v>7.21</v>
      </c>
      <c r="AJ74">
        <v>3350</v>
      </c>
      <c r="AK74">
        <v>2.3995000000000002</v>
      </c>
      <c r="AL74">
        <v>151</v>
      </c>
      <c r="AM74">
        <v>3220</v>
      </c>
      <c r="AN74">
        <v>15970</v>
      </c>
      <c r="AO74">
        <v>50.9</v>
      </c>
      <c r="AP74">
        <v>1140</v>
      </c>
      <c r="AQ74">
        <v>562</v>
      </c>
      <c r="AR74">
        <v>112.5</v>
      </c>
      <c r="AS74">
        <v>62.843999999999987</v>
      </c>
      <c r="AT74">
        <v>0.98499999999999999</v>
      </c>
      <c r="AU74">
        <v>57</v>
      </c>
      <c r="AV74">
        <v>71.33</v>
      </c>
      <c r="AW74">
        <v>0.39050000000000001</v>
      </c>
      <c r="AX74">
        <v>745.5</v>
      </c>
    </row>
    <row r="75" spans="1:50" x14ac:dyDescent="0.2">
      <c r="A75" s="1" t="s">
        <v>138</v>
      </c>
      <c r="B75">
        <v>2002.54</v>
      </c>
      <c r="C75">
        <v>169.97</v>
      </c>
      <c r="D75">
        <v>131.1</v>
      </c>
      <c r="E75">
        <v>2840</v>
      </c>
      <c r="F75">
        <v>8500</v>
      </c>
      <c r="G75">
        <v>682.9</v>
      </c>
      <c r="H75">
        <v>28.7</v>
      </c>
      <c r="I75">
        <v>4468</v>
      </c>
      <c r="J75">
        <v>372.35</v>
      </c>
      <c r="K75">
        <v>312.35000000000002</v>
      </c>
      <c r="L75">
        <v>8958.2800000000007</v>
      </c>
      <c r="M75">
        <v>253.1</v>
      </c>
      <c r="N75">
        <v>115.45</v>
      </c>
      <c r="O75">
        <v>4.0650000000000004</v>
      </c>
      <c r="P75">
        <v>105.39</v>
      </c>
      <c r="Q75">
        <v>94.47</v>
      </c>
      <c r="R75">
        <v>765.9</v>
      </c>
      <c r="S75">
        <v>6.5888000000000002E-2</v>
      </c>
      <c r="T75">
        <v>75.010000000000005</v>
      </c>
      <c r="U75">
        <v>2394</v>
      </c>
      <c r="V75">
        <v>13.76</v>
      </c>
      <c r="W75">
        <v>33.869999999999997</v>
      </c>
      <c r="X75">
        <v>286</v>
      </c>
      <c r="Y75">
        <v>0.92159999999999997</v>
      </c>
      <c r="Z75">
        <v>0.19155</v>
      </c>
      <c r="AA75">
        <v>187.5</v>
      </c>
      <c r="AB75">
        <v>895.5</v>
      </c>
      <c r="AC75">
        <v>0.91110000000000002</v>
      </c>
      <c r="AD75">
        <v>2.56</v>
      </c>
      <c r="AE75">
        <v>364</v>
      </c>
      <c r="AF75">
        <v>384.6</v>
      </c>
      <c r="AG75">
        <v>76</v>
      </c>
      <c r="AH75">
        <v>159.65</v>
      </c>
      <c r="AI75">
        <v>7.1849999999999996</v>
      </c>
      <c r="AJ75">
        <v>3300</v>
      </c>
      <c r="AK75">
        <v>2.37</v>
      </c>
      <c r="AL75">
        <v>149</v>
      </c>
      <c r="AM75">
        <v>3255</v>
      </c>
      <c r="AN75">
        <v>16040</v>
      </c>
      <c r="AO75">
        <v>50.7</v>
      </c>
      <c r="AP75">
        <v>1200</v>
      </c>
      <c r="AQ75">
        <v>555</v>
      </c>
      <c r="AR75">
        <v>113.4</v>
      </c>
      <c r="AS75">
        <v>62.697000000000003</v>
      </c>
      <c r="AT75">
        <v>0.97799999999999998</v>
      </c>
      <c r="AU75">
        <v>55.65</v>
      </c>
      <c r="AV75">
        <v>69.599999999999994</v>
      </c>
      <c r="AW75">
        <v>0.37890000000000001</v>
      </c>
      <c r="AX75">
        <v>743</v>
      </c>
    </row>
    <row r="76" spans="1:50" x14ac:dyDescent="0.2">
      <c r="A76" s="1" t="s">
        <v>139</v>
      </c>
      <c r="B76">
        <v>1994.58</v>
      </c>
      <c r="C76">
        <v>167.7</v>
      </c>
      <c r="D76">
        <v>132.5</v>
      </c>
      <c r="E76">
        <v>2856</v>
      </c>
      <c r="F76">
        <v>8405</v>
      </c>
      <c r="G76">
        <v>677</v>
      </c>
      <c r="H76">
        <v>28.5</v>
      </c>
      <c r="I76">
        <v>4479</v>
      </c>
      <c r="J76">
        <v>375.5</v>
      </c>
      <c r="K76">
        <v>307.5</v>
      </c>
      <c r="L76">
        <v>8933.43</v>
      </c>
      <c r="M76">
        <v>250.9</v>
      </c>
      <c r="N76">
        <v>115.35</v>
      </c>
      <c r="O76">
        <v>4.0999999999999996</v>
      </c>
      <c r="P76">
        <v>103.8</v>
      </c>
      <c r="Q76">
        <v>93.09</v>
      </c>
      <c r="R76">
        <v>748.5</v>
      </c>
      <c r="S76">
        <v>6.5669000000000005E-2</v>
      </c>
      <c r="T76">
        <v>74.98</v>
      </c>
      <c r="U76">
        <v>2384</v>
      </c>
      <c r="V76">
        <v>13.33</v>
      </c>
      <c r="W76">
        <v>34.204999999999998</v>
      </c>
      <c r="X76">
        <v>295.5</v>
      </c>
      <c r="Y76">
        <v>0.88480000000000003</v>
      </c>
      <c r="Z76">
        <v>0.19500000000000001</v>
      </c>
      <c r="AA76">
        <v>184.15</v>
      </c>
      <c r="AB76">
        <v>890</v>
      </c>
      <c r="AC76">
        <v>0.90400000000000003</v>
      </c>
      <c r="AD76">
        <v>2.5470000000000002</v>
      </c>
      <c r="AE76">
        <v>362</v>
      </c>
      <c r="AF76">
        <v>385.4</v>
      </c>
      <c r="AG76">
        <v>75.260000000000005</v>
      </c>
      <c r="AH76">
        <v>161.30000000000001</v>
      </c>
      <c r="AI76">
        <v>7.23</v>
      </c>
      <c r="AJ76">
        <v>3297</v>
      </c>
      <c r="AK76">
        <v>2.3980000000000001</v>
      </c>
      <c r="AL76">
        <v>148.55000000000001</v>
      </c>
      <c r="AM76">
        <v>3135</v>
      </c>
      <c r="AN76">
        <v>15980</v>
      </c>
      <c r="AO76">
        <v>51.4</v>
      </c>
      <c r="AP76">
        <v>1176</v>
      </c>
      <c r="AQ76">
        <v>547</v>
      </c>
      <c r="AR76">
        <v>114.9</v>
      </c>
      <c r="AS76">
        <v>62.893000000000001</v>
      </c>
      <c r="AT76">
        <v>0.98299999999999998</v>
      </c>
      <c r="AU76">
        <v>55.85</v>
      </c>
      <c r="AV76">
        <v>69.849999999999994</v>
      </c>
      <c r="AW76">
        <v>0.37519999999999998</v>
      </c>
      <c r="AX76">
        <v>743</v>
      </c>
    </row>
    <row r="77" spans="1:50" x14ac:dyDescent="0.2">
      <c r="A77" s="1" t="s">
        <v>140</v>
      </c>
      <c r="B77">
        <v>2003.12</v>
      </c>
      <c r="C77">
        <v>171.35</v>
      </c>
      <c r="D77">
        <v>131.5</v>
      </c>
      <c r="E77">
        <v>2876</v>
      </c>
      <c r="F77">
        <v>8530</v>
      </c>
      <c r="G77">
        <v>684</v>
      </c>
      <c r="H77">
        <v>28.22</v>
      </c>
      <c r="I77">
        <v>4460</v>
      </c>
      <c r="J77">
        <v>386.5</v>
      </c>
      <c r="K77">
        <v>314.14999999999998</v>
      </c>
      <c r="L77">
        <v>9127.31</v>
      </c>
      <c r="M77">
        <v>246.5</v>
      </c>
      <c r="N77">
        <v>108.9</v>
      </c>
      <c r="O77">
        <v>4.024</v>
      </c>
      <c r="P77">
        <v>105.3</v>
      </c>
      <c r="Q77">
        <v>92</v>
      </c>
      <c r="R77">
        <v>736.5</v>
      </c>
      <c r="S77">
        <v>6.6600000000000006E-2</v>
      </c>
      <c r="T77">
        <v>75.099999999999994</v>
      </c>
      <c r="U77">
        <v>2365</v>
      </c>
      <c r="V77">
        <v>13.065</v>
      </c>
      <c r="W77">
        <v>33.164999999999999</v>
      </c>
      <c r="X77">
        <v>295.5</v>
      </c>
      <c r="Y77">
        <v>0.87770000000000004</v>
      </c>
      <c r="Z77">
        <v>0.19009999999999999</v>
      </c>
      <c r="AA77">
        <v>181.9</v>
      </c>
      <c r="AB77">
        <v>880</v>
      </c>
      <c r="AC77">
        <v>0.88419999999999999</v>
      </c>
      <c r="AD77">
        <v>2.5299999999999998</v>
      </c>
      <c r="AE77">
        <v>360</v>
      </c>
      <c r="AF77">
        <v>384.5</v>
      </c>
      <c r="AG77">
        <v>74.89</v>
      </c>
      <c r="AH77">
        <v>158.5</v>
      </c>
      <c r="AI77">
        <v>7.39</v>
      </c>
      <c r="AJ77">
        <v>3258</v>
      </c>
      <c r="AK77">
        <v>2.3780000000000001</v>
      </c>
      <c r="AL77">
        <v>142.80000000000001</v>
      </c>
      <c r="AM77">
        <v>3199</v>
      </c>
      <c r="AN77">
        <v>15790</v>
      </c>
      <c r="AO77">
        <v>51.6</v>
      </c>
      <c r="AP77">
        <v>1170</v>
      </c>
      <c r="AQ77">
        <v>531</v>
      </c>
      <c r="AR77">
        <v>114.5</v>
      </c>
      <c r="AS77">
        <v>63.680999999999997</v>
      </c>
      <c r="AT77">
        <v>0.97599999999999998</v>
      </c>
      <c r="AU77">
        <v>56.3</v>
      </c>
      <c r="AV77">
        <v>68.599999999999994</v>
      </c>
      <c r="AW77">
        <v>0.37259999999999999</v>
      </c>
      <c r="AX77">
        <v>743</v>
      </c>
    </row>
    <row r="78" spans="1:50" x14ac:dyDescent="0.2">
      <c r="A78" s="1" t="s">
        <v>141</v>
      </c>
      <c r="B78">
        <v>1992.94</v>
      </c>
      <c r="C78">
        <v>170.66</v>
      </c>
      <c r="D78">
        <v>131.13</v>
      </c>
      <c r="E78">
        <v>2890.5</v>
      </c>
      <c r="F78">
        <v>8402</v>
      </c>
      <c r="G78">
        <v>678.1</v>
      </c>
      <c r="H78">
        <v>28.074999999999999</v>
      </c>
      <c r="I78">
        <v>4450</v>
      </c>
      <c r="J78">
        <v>384</v>
      </c>
      <c r="K78">
        <v>312.89999999999998</v>
      </c>
      <c r="L78">
        <v>9184.9699999999993</v>
      </c>
      <c r="M78">
        <v>241.45</v>
      </c>
      <c r="N78">
        <v>105.34</v>
      </c>
      <c r="O78">
        <v>3.96</v>
      </c>
      <c r="P78">
        <v>110.29</v>
      </c>
      <c r="Q78">
        <v>89.5</v>
      </c>
      <c r="R78">
        <v>743</v>
      </c>
      <c r="S78">
        <v>6.7000000000000004E-2</v>
      </c>
      <c r="T78">
        <v>74.05</v>
      </c>
      <c r="U78">
        <v>2391</v>
      </c>
      <c r="V78">
        <v>12.87</v>
      </c>
      <c r="W78">
        <v>32.5</v>
      </c>
      <c r="X78">
        <v>294</v>
      </c>
      <c r="Y78">
        <v>0.86480000000000001</v>
      </c>
      <c r="Z78">
        <v>0.18390000000000001</v>
      </c>
      <c r="AA78">
        <v>184.4</v>
      </c>
      <c r="AB78">
        <v>881.5</v>
      </c>
      <c r="AC78">
        <v>0.88390000000000002</v>
      </c>
      <c r="AD78">
        <v>2.5030000000000001</v>
      </c>
      <c r="AE78">
        <v>359.5</v>
      </c>
      <c r="AF78">
        <v>384.3</v>
      </c>
      <c r="AG78">
        <v>75.010000000000005</v>
      </c>
      <c r="AH78">
        <v>155.6</v>
      </c>
      <c r="AI78">
        <v>7.375</v>
      </c>
      <c r="AJ78">
        <v>3277</v>
      </c>
      <c r="AK78">
        <v>2.37</v>
      </c>
      <c r="AL78">
        <v>143.80000000000001</v>
      </c>
      <c r="AM78">
        <v>3124</v>
      </c>
      <c r="AN78">
        <v>15480</v>
      </c>
      <c r="AO78">
        <v>52.2</v>
      </c>
      <c r="AP78">
        <v>1162</v>
      </c>
      <c r="AQ78">
        <v>542</v>
      </c>
      <c r="AR78">
        <v>112.7</v>
      </c>
      <c r="AS78">
        <v>62.5</v>
      </c>
      <c r="AT78">
        <v>0.97499999999999998</v>
      </c>
      <c r="AU78">
        <v>55</v>
      </c>
      <c r="AV78">
        <v>70.099999999999994</v>
      </c>
      <c r="AW78">
        <v>0.3679</v>
      </c>
      <c r="AX78">
        <v>743</v>
      </c>
    </row>
    <row r="79" spans="1:50" x14ac:dyDescent="0.2">
      <c r="A79" s="1" t="s">
        <v>142</v>
      </c>
      <c r="B79">
        <v>1994.35</v>
      </c>
      <c r="C79">
        <v>169.24</v>
      </c>
      <c r="D79">
        <v>132.07</v>
      </c>
      <c r="E79">
        <v>2870</v>
      </c>
      <c r="F79">
        <v>8372</v>
      </c>
      <c r="G79">
        <v>685.2</v>
      </c>
      <c r="H79">
        <v>28.25</v>
      </c>
      <c r="I79">
        <v>4461</v>
      </c>
      <c r="J79">
        <v>393.5</v>
      </c>
      <c r="K79">
        <v>311.55</v>
      </c>
      <c r="L79">
        <v>9385.81</v>
      </c>
      <c r="M79">
        <v>243.7</v>
      </c>
      <c r="N79">
        <v>107.05</v>
      </c>
      <c r="O79">
        <v>3.8759999999999999</v>
      </c>
      <c r="P79">
        <v>110.62</v>
      </c>
      <c r="Q79">
        <v>90.49</v>
      </c>
      <c r="R79">
        <v>745.2</v>
      </c>
      <c r="S79">
        <v>6.6600000000000006E-2</v>
      </c>
      <c r="T79">
        <v>73.92</v>
      </c>
      <c r="U79">
        <v>2376</v>
      </c>
      <c r="V79">
        <v>13.09</v>
      </c>
      <c r="W79">
        <v>31.77</v>
      </c>
      <c r="X79">
        <v>290.89999999999998</v>
      </c>
      <c r="Y79">
        <v>0.85189999999999999</v>
      </c>
      <c r="Z79">
        <v>0.19089999999999999</v>
      </c>
      <c r="AA79">
        <v>186</v>
      </c>
      <c r="AB79">
        <v>903.5</v>
      </c>
      <c r="AC79">
        <v>0.90780000000000005</v>
      </c>
      <c r="AD79">
        <v>2.5619999999999998</v>
      </c>
      <c r="AE79">
        <v>365</v>
      </c>
      <c r="AF79">
        <v>385.1</v>
      </c>
      <c r="AG79">
        <v>74.27</v>
      </c>
      <c r="AH79">
        <v>153.94999999999999</v>
      </c>
      <c r="AI79">
        <v>7.2949999999999999</v>
      </c>
      <c r="AJ79">
        <v>3250</v>
      </c>
      <c r="AK79">
        <v>2.3605</v>
      </c>
      <c r="AL79">
        <v>142.30000000000001</v>
      </c>
      <c r="AM79">
        <v>3030</v>
      </c>
      <c r="AN79">
        <v>15660</v>
      </c>
      <c r="AO79">
        <v>52</v>
      </c>
      <c r="AP79">
        <v>1157</v>
      </c>
      <c r="AQ79">
        <v>550</v>
      </c>
      <c r="AR79">
        <v>111.3</v>
      </c>
      <c r="AS79">
        <v>61.811000000000007</v>
      </c>
      <c r="AT79">
        <v>0.98499999999999999</v>
      </c>
      <c r="AU79">
        <v>55.25</v>
      </c>
      <c r="AV79">
        <v>69.7</v>
      </c>
      <c r="AW79">
        <v>0.36470000000000002</v>
      </c>
      <c r="AX79">
        <v>742</v>
      </c>
    </row>
    <row r="80" spans="1:50" x14ac:dyDescent="0.2">
      <c r="A80" s="1" t="s">
        <v>143</v>
      </c>
      <c r="B80">
        <v>1967.66</v>
      </c>
      <c r="C80">
        <v>166.5</v>
      </c>
      <c r="D80">
        <v>126.9</v>
      </c>
      <c r="E80">
        <v>2877</v>
      </c>
      <c r="F80">
        <v>8420</v>
      </c>
      <c r="G80">
        <v>677.7</v>
      </c>
      <c r="H80">
        <v>27.84</v>
      </c>
      <c r="I80">
        <v>4500</v>
      </c>
      <c r="J80">
        <v>392.8</v>
      </c>
      <c r="K80">
        <v>305</v>
      </c>
      <c r="L80">
        <v>9201.8799999999992</v>
      </c>
      <c r="M80">
        <v>244.25</v>
      </c>
      <c r="N80">
        <v>105.75</v>
      </c>
      <c r="O80">
        <v>3.8359999999999999</v>
      </c>
      <c r="P80">
        <v>108.7</v>
      </c>
      <c r="Q80">
        <v>89.9</v>
      </c>
      <c r="R80">
        <v>734.4</v>
      </c>
      <c r="S80">
        <v>6.5537999999999999E-2</v>
      </c>
      <c r="T80">
        <v>73.58</v>
      </c>
      <c r="U80">
        <v>2400</v>
      </c>
      <c r="V80">
        <v>13.01</v>
      </c>
      <c r="W80">
        <v>32.17</v>
      </c>
      <c r="X80">
        <v>282.5</v>
      </c>
      <c r="Y80">
        <v>0.82150000000000001</v>
      </c>
      <c r="Z80">
        <v>0.18779999999999999</v>
      </c>
      <c r="AA80">
        <v>189.3</v>
      </c>
      <c r="AB80">
        <v>901</v>
      </c>
      <c r="AC80">
        <v>0.873</v>
      </c>
      <c r="AD80">
        <v>2.5529999999999999</v>
      </c>
      <c r="AE80">
        <v>365</v>
      </c>
      <c r="AF80">
        <v>386.4</v>
      </c>
      <c r="AG80">
        <v>74.8</v>
      </c>
      <c r="AH80">
        <v>148.15</v>
      </c>
      <c r="AI80">
        <v>7.2850000000000001</v>
      </c>
      <c r="AJ80">
        <v>3249</v>
      </c>
      <c r="AK80">
        <v>2.2440000000000002</v>
      </c>
      <c r="AL80">
        <v>142.35</v>
      </c>
      <c r="AM80">
        <v>2941</v>
      </c>
      <c r="AN80">
        <v>15600</v>
      </c>
      <c r="AO80">
        <v>52.5</v>
      </c>
      <c r="AP80">
        <v>1151</v>
      </c>
      <c r="AQ80">
        <v>528</v>
      </c>
      <c r="AR80">
        <v>109.6</v>
      </c>
      <c r="AS80">
        <v>60.531000000000013</v>
      </c>
      <c r="AT80">
        <v>0.91799999999999993</v>
      </c>
      <c r="AU80">
        <v>53.85</v>
      </c>
      <c r="AV80">
        <v>66.8</v>
      </c>
      <c r="AW80">
        <v>0.35360000000000003</v>
      </c>
      <c r="AX80">
        <v>744</v>
      </c>
    </row>
    <row r="81" spans="1:50" x14ac:dyDescent="0.2">
      <c r="A81" s="1" t="s">
        <v>144</v>
      </c>
      <c r="B81">
        <v>1962.4</v>
      </c>
      <c r="C81">
        <v>168.87</v>
      </c>
      <c r="D81">
        <v>124.19</v>
      </c>
      <c r="E81">
        <v>2850</v>
      </c>
      <c r="F81">
        <v>8305</v>
      </c>
      <c r="G81">
        <v>684.4</v>
      </c>
      <c r="H81">
        <v>27.25</v>
      </c>
      <c r="I81">
        <v>4478</v>
      </c>
      <c r="J81">
        <v>392.25</v>
      </c>
      <c r="K81">
        <v>306.10000000000002</v>
      </c>
      <c r="L81">
        <v>9137.25</v>
      </c>
      <c r="M81">
        <v>242.4</v>
      </c>
      <c r="N81">
        <v>102.5</v>
      </c>
      <c r="O81">
        <v>3.9</v>
      </c>
      <c r="P81">
        <v>109</v>
      </c>
      <c r="Q81">
        <v>90.06</v>
      </c>
      <c r="R81">
        <v>735.6</v>
      </c>
      <c r="S81">
        <v>6.6388000000000003E-2</v>
      </c>
      <c r="T81">
        <v>73.209999999999994</v>
      </c>
      <c r="U81">
        <v>2347</v>
      </c>
      <c r="V81">
        <v>13.2</v>
      </c>
      <c r="W81">
        <v>32.1</v>
      </c>
      <c r="X81">
        <v>287</v>
      </c>
      <c r="Y81">
        <v>0.81499999999999995</v>
      </c>
      <c r="Z81">
        <v>0.18379999999999999</v>
      </c>
      <c r="AA81">
        <v>189.1</v>
      </c>
      <c r="AB81">
        <v>906.5</v>
      </c>
      <c r="AC81">
        <v>0.85950000000000004</v>
      </c>
      <c r="AD81">
        <v>2.5019999999999998</v>
      </c>
      <c r="AE81">
        <v>358.5</v>
      </c>
      <c r="AF81">
        <v>387.4</v>
      </c>
      <c r="AG81">
        <v>75.08</v>
      </c>
      <c r="AH81">
        <v>148.65</v>
      </c>
      <c r="AI81">
        <v>7.42</v>
      </c>
      <c r="AJ81">
        <v>3194</v>
      </c>
      <c r="AK81">
        <v>2.3125</v>
      </c>
      <c r="AL81">
        <v>141.55000000000001</v>
      </c>
      <c r="AM81">
        <v>2950</v>
      </c>
      <c r="AN81">
        <v>15890</v>
      </c>
      <c r="AO81">
        <v>52.7</v>
      </c>
      <c r="AP81">
        <v>1190</v>
      </c>
      <c r="AQ81">
        <v>526</v>
      </c>
      <c r="AR81">
        <v>109.9</v>
      </c>
      <c r="AS81">
        <v>60.284999999999997</v>
      </c>
      <c r="AT81">
        <v>0.9</v>
      </c>
      <c r="AU81">
        <v>52.9</v>
      </c>
      <c r="AV81">
        <v>66.849999999999994</v>
      </c>
      <c r="AW81">
        <v>0.3478</v>
      </c>
      <c r="AX81">
        <v>744</v>
      </c>
    </row>
    <row r="82" spans="1:50" x14ac:dyDescent="0.2">
      <c r="A82" s="1" t="s">
        <v>145</v>
      </c>
      <c r="B82">
        <v>1950.51</v>
      </c>
      <c r="C82">
        <v>168.03</v>
      </c>
      <c r="D82">
        <v>122.52</v>
      </c>
      <c r="E82">
        <v>2811</v>
      </c>
      <c r="F82">
        <v>8275</v>
      </c>
      <c r="G82">
        <v>680</v>
      </c>
      <c r="H82">
        <v>26.9</v>
      </c>
      <c r="I82">
        <v>4469</v>
      </c>
      <c r="J82">
        <v>389.35</v>
      </c>
      <c r="K82">
        <v>307.3</v>
      </c>
      <c r="L82">
        <v>9358.9699999999993</v>
      </c>
      <c r="M82">
        <v>243.6</v>
      </c>
      <c r="N82">
        <v>101.45</v>
      </c>
      <c r="O82">
        <v>3.8420000000000001</v>
      </c>
      <c r="P82">
        <v>107.29</v>
      </c>
      <c r="Q82">
        <v>89.19</v>
      </c>
      <c r="R82">
        <v>725.6</v>
      </c>
      <c r="S82">
        <v>6.565E-2</v>
      </c>
      <c r="T82">
        <v>72.75</v>
      </c>
      <c r="U82">
        <v>2317</v>
      </c>
      <c r="V82">
        <v>13.25</v>
      </c>
      <c r="W82">
        <v>31.004999999999999</v>
      </c>
      <c r="X82">
        <v>282.39999999999998</v>
      </c>
      <c r="Y82">
        <v>0.79</v>
      </c>
      <c r="Z82">
        <v>0.1774</v>
      </c>
      <c r="AA82">
        <v>190.3</v>
      </c>
      <c r="AB82">
        <v>906.5</v>
      </c>
      <c r="AC82">
        <v>0.83299999999999996</v>
      </c>
      <c r="AD82">
        <v>2.5129999999999999</v>
      </c>
      <c r="AE82">
        <v>364</v>
      </c>
      <c r="AF82">
        <v>386.8</v>
      </c>
      <c r="AG82">
        <v>75.599999999999994</v>
      </c>
      <c r="AH82">
        <v>146.6</v>
      </c>
      <c r="AI82">
        <v>7.5649999999999986</v>
      </c>
      <c r="AJ82">
        <v>3148</v>
      </c>
      <c r="AK82">
        <v>2.2705000000000002</v>
      </c>
      <c r="AL82">
        <v>141.1</v>
      </c>
      <c r="AM82">
        <v>2931</v>
      </c>
      <c r="AN82">
        <v>15620</v>
      </c>
      <c r="AO82">
        <v>52.4</v>
      </c>
      <c r="AP82">
        <v>1203</v>
      </c>
      <c r="AQ82">
        <v>526</v>
      </c>
      <c r="AR82">
        <v>110.7</v>
      </c>
      <c r="AS82">
        <v>58.956000000000003</v>
      </c>
      <c r="AT82">
        <v>0.89300000000000002</v>
      </c>
      <c r="AU82">
        <v>53.55</v>
      </c>
      <c r="AV82">
        <v>63.48</v>
      </c>
      <c r="AW82">
        <v>0.3407</v>
      </c>
      <c r="AX82">
        <v>744</v>
      </c>
    </row>
    <row r="83" spans="1:50" x14ac:dyDescent="0.2">
      <c r="A83" s="1" t="s">
        <v>146</v>
      </c>
      <c r="B83">
        <v>1960.16</v>
      </c>
      <c r="C83">
        <v>166.31</v>
      </c>
      <c r="D83">
        <v>123.23</v>
      </c>
      <c r="E83">
        <v>2825</v>
      </c>
      <c r="F83">
        <v>8359</v>
      </c>
      <c r="G83">
        <v>681</v>
      </c>
      <c r="H83">
        <v>27.81</v>
      </c>
      <c r="I83">
        <v>4447</v>
      </c>
      <c r="J83">
        <v>392</v>
      </c>
      <c r="K83">
        <v>312.39999999999998</v>
      </c>
      <c r="L83">
        <v>9226.73</v>
      </c>
      <c r="M83">
        <v>246.4</v>
      </c>
      <c r="N83">
        <v>103.43</v>
      </c>
      <c r="O83">
        <v>3.9514999999999998</v>
      </c>
      <c r="P83">
        <v>107.64</v>
      </c>
      <c r="Q83">
        <v>91.21</v>
      </c>
      <c r="R83">
        <v>746.2</v>
      </c>
      <c r="S83">
        <v>6.7212999999999995E-2</v>
      </c>
      <c r="T83">
        <v>72.73</v>
      </c>
      <c r="U83">
        <v>2332</v>
      </c>
      <c r="V83">
        <v>13.595000000000001</v>
      </c>
      <c r="W83">
        <v>32.11</v>
      </c>
      <c r="X83">
        <v>284.5</v>
      </c>
      <c r="Y83">
        <v>0.81479999999999997</v>
      </c>
      <c r="Z83">
        <v>0.18049999999999999</v>
      </c>
      <c r="AA83">
        <v>195</v>
      </c>
      <c r="AB83">
        <v>908</v>
      </c>
      <c r="AC83">
        <v>0.85750000000000004</v>
      </c>
      <c r="AD83">
        <v>2.5550000000000002</v>
      </c>
      <c r="AE83">
        <v>364.5</v>
      </c>
      <c r="AF83">
        <v>387</v>
      </c>
      <c r="AG83">
        <v>78.099999999999994</v>
      </c>
      <c r="AH83">
        <v>157</v>
      </c>
      <c r="AI83">
        <v>7.72</v>
      </c>
      <c r="AJ83">
        <v>3137</v>
      </c>
      <c r="AK83">
        <v>2.355</v>
      </c>
      <c r="AL83">
        <v>141.15</v>
      </c>
      <c r="AM83">
        <v>2964</v>
      </c>
      <c r="AN83">
        <v>15780</v>
      </c>
      <c r="AO83">
        <v>52.9</v>
      </c>
      <c r="AP83">
        <v>1237</v>
      </c>
      <c r="AQ83">
        <v>521</v>
      </c>
      <c r="AR83">
        <v>110</v>
      </c>
      <c r="AS83">
        <v>58.71</v>
      </c>
      <c r="AT83">
        <v>0.88700000000000001</v>
      </c>
      <c r="AU83">
        <v>55.4</v>
      </c>
      <c r="AV83">
        <v>66.16</v>
      </c>
      <c r="AW83">
        <v>0.34699999999999998</v>
      </c>
      <c r="AX83">
        <v>744</v>
      </c>
    </row>
    <row r="84" spans="1:50" x14ac:dyDescent="0.2">
      <c r="A84" s="1" t="s">
        <v>147</v>
      </c>
      <c r="B84">
        <v>1951.98</v>
      </c>
      <c r="C84">
        <v>165.7</v>
      </c>
      <c r="D84">
        <v>122</v>
      </c>
      <c r="E84">
        <v>2804</v>
      </c>
      <c r="F84">
        <v>8399</v>
      </c>
      <c r="G84">
        <v>687</v>
      </c>
      <c r="H84">
        <v>27.695</v>
      </c>
      <c r="I84">
        <v>4416</v>
      </c>
      <c r="J84">
        <v>400</v>
      </c>
      <c r="K84">
        <v>307</v>
      </c>
      <c r="L84">
        <v>9152.16</v>
      </c>
      <c r="M84">
        <v>243.05</v>
      </c>
      <c r="N84">
        <v>102.5</v>
      </c>
      <c r="O84">
        <v>4.0199999999999996</v>
      </c>
      <c r="P84">
        <v>108.3</v>
      </c>
      <c r="Q84">
        <v>92.12</v>
      </c>
      <c r="R84">
        <v>762</v>
      </c>
      <c r="S84">
        <v>6.7019000000000009E-2</v>
      </c>
      <c r="T84">
        <v>72.31</v>
      </c>
      <c r="U84">
        <v>2300</v>
      </c>
      <c r="V84">
        <v>12.2</v>
      </c>
      <c r="W84">
        <v>31.99</v>
      </c>
      <c r="X84">
        <v>292</v>
      </c>
      <c r="Y84">
        <v>0.82799999999999996</v>
      </c>
      <c r="Z84">
        <v>0.183</v>
      </c>
      <c r="AA84">
        <v>193.8</v>
      </c>
      <c r="AB84">
        <v>909</v>
      </c>
      <c r="AC84">
        <v>0.86080000000000001</v>
      </c>
      <c r="AD84">
        <v>2.5219999999999998</v>
      </c>
      <c r="AE84">
        <v>358.5</v>
      </c>
      <c r="AF84">
        <v>386.8</v>
      </c>
      <c r="AG84">
        <v>78.150000000000006</v>
      </c>
      <c r="AH84">
        <v>151.94999999999999</v>
      </c>
      <c r="AI84">
        <v>7.82</v>
      </c>
      <c r="AJ84">
        <v>3114</v>
      </c>
      <c r="AK84">
        <v>2.3849999999999998</v>
      </c>
      <c r="AL84">
        <v>141.69999999999999</v>
      </c>
      <c r="AM84">
        <v>2890</v>
      </c>
      <c r="AN84">
        <v>15790</v>
      </c>
      <c r="AO84">
        <v>52.2</v>
      </c>
      <c r="AP84">
        <v>1218</v>
      </c>
      <c r="AQ84">
        <v>520</v>
      </c>
      <c r="AR84">
        <v>109.6</v>
      </c>
      <c r="AS84">
        <v>60.924999999999997</v>
      </c>
      <c r="AT84">
        <v>0.88200000000000001</v>
      </c>
      <c r="AU84">
        <v>54.6</v>
      </c>
      <c r="AV84">
        <v>65.06</v>
      </c>
      <c r="AW84">
        <v>0.34870000000000001</v>
      </c>
      <c r="AX84">
        <v>749</v>
      </c>
    </row>
    <row r="85" spans="1:50" x14ac:dyDescent="0.2">
      <c r="A85" s="1" t="s">
        <v>148</v>
      </c>
      <c r="B85">
        <v>1947.26</v>
      </c>
      <c r="C85">
        <v>164.05</v>
      </c>
      <c r="D85">
        <v>121.61</v>
      </c>
      <c r="E85">
        <v>2798</v>
      </c>
      <c r="F85">
        <v>8227</v>
      </c>
      <c r="G85">
        <v>680.1</v>
      </c>
      <c r="H85">
        <v>29.36</v>
      </c>
      <c r="I85">
        <v>4445</v>
      </c>
      <c r="J85">
        <v>389.5</v>
      </c>
      <c r="K85">
        <v>306.39999999999998</v>
      </c>
      <c r="L85">
        <v>9305.2800000000007</v>
      </c>
      <c r="M85">
        <v>242</v>
      </c>
      <c r="N85">
        <v>99.8</v>
      </c>
      <c r="O85">
        <v>4.0599999999999996</v>
      </c>
      <c r="P85">
        <v>107.14</v>
      </c>
      <c r="Q85">
        <v>89.69</v>
      </c>
      <c r="R85">
        <v>760</v>
      </c>
      <c r="S85">
        <v>6.6937999999999998E-2</v>
      </c>
      <c r="T85">
        <v>72.17</v>
      </c>
      <c r="U85">
        <v>2323</v>
      </c>
      <c r="V85">
        <v>12.005000000000001</v>
      </c>
      <c r="W85">
        <v>32.299999999999997</v>
      </c>
      <c r="X85">
        <v>293</v>
      </c>
      <c r="Y85">
        <v>0.83809999999999996</v>
      </c>
      <c r="Z85">
        <v>0.1759</v>
      </c>
      <c r="AA85">
        <v>195.15</v>
      </c>
      <c r="AB85">
        <v>918</v>
      </c>
      <c r="AC85">
        <v>0.83350000000000002</v>
      </c>
      <c r="AD85">
        <v>2.5099999999999998</v>
      </c>
      <c r="AE85">
        <v>354</v>
      </c>
      <c r="AF85">
        <v>386.9</v>
      </c>
      <c r="AG85">
        <v>81.099999999999994</v>
      </c>
      <c r="AH85">
        <v>151.85</v>
      </c>
      <c r="AI85">
        <v>7.7149999999999999</v>
      </c>
      <c r="AJ85">
        <v>3115</v>
      </c>
      <c r="AK85">
        <v>2.3965000000000001</v>
      </c>
      <c r="AL85">
        <v>141.05000000000001</v>
      </c>
      <c r="AM85">
        <v>2920</v>
      </c>
      <c r="AN85">
        <v>15690</v>
      </c>
      <c r="AO85">
        <v>52.9</v>
      </c>
      <c r="AP85">
        <v>1242</v>
      </c>
      <c r="AQ85">
        <v>513</v>
      </c>
      <c r="AR85">
        <v>110</v>
      </c>
      <c r="AS85">
        <v>63.927</v>
      </c>
      <c r="AT85">
        <v>0.879</v>
      </c>
      <c r="AU85">
        <v>54</v>
      </c>
      <c r="AV85">
        <v>65.959999999999994</v>
      </c>
      <c r="AW85">
        <v>0.36109999999999998</v>
      </c>
      <c r="AX85">
        <v>743.5</v>
      </c>
    </row>
    <row r="86" spans="1:50" x14ac:dyDescent="0.2">
      <c r="A86" s="1" t="s">
        <v>149</v>
      </c>
      <c r="B86">
        <v>1934.25</v>
      </c>
      <c r="C86">
        <v>160.69999999999999</v>
      </c>
      <c r="D86">
        <v>122.2</v>
      </c>
      <c r="E86">
        <v>2796.5</v>
      </c>
      <c r="F86">
        <v>8200</v>
      </c>
      <c r="G86">
        <v>658.2</v>
      </c>
      <c r="H86">
        <v>29.704999999999998</v>
      </c>
      <c r="I86">
        <v>4437</v>
      </c>
      <c r="J86">
        <v>388</v>
      </c>
      <c r="K86">
        <v>304</v>
      </c>
      <c r="L86">
        <v>9395.76</v>
      </c>
      <c r="M86">
        <v>243.05</v>
      </c>
      <c r="N86">
        <v>97.58</v>
      </c>
      <c r="O86">
        <v>4.0999999999999996</v>
      </c>
      <c r="P86">
        <v>108.5</v>
      </c>
      <c r="Q86">
        <v>89.77</v>
      </c>
      <c r="R86">
        <v>749</v>
      </c>
      <c r="S86">
        <v>6.6369000000000011E-2</v>
      </c>
      <c r="T86">
        <v>72.3</v>
      </c>
      <c r="U86">
        <v>2355</v>
      </c>
      <c r="V86">
        <v>12.295</v>
      </c>
      <c r="W86">
        <v>31.37</v>
      </c>
      <c r="X86">
        <v>308.2</v>
      </c>
      <c r="Y86">
        <v>0.83</v>
      </c>
      <c r="Z86">
        <v>0.17505000000000001</v>
      </c>
      <c r="AA86">
        <v>190.1</v>
      </c>
      <c r="AB86">
        <v>915</v>
      </c>
      <c r="AC86">
        <v>0.79500000000000004</v>
      </c>
      <c r="AD86">
        <v>2.48</v>
      </c>
      <c r="AE86">
        <v>351.5</v>
      </c>
      <c r="AF86">
        <v>387.3</v>
      </c>
      <c r="AG86">
        <v>83.98</v>
      </c>
      <c r="AH86">
        <v>147.9</v>
      </c>
      <c r="AI86">
        <v>7.06</v>
      </c>
      <c r="AJ86">
        <v>3115</v>
      </c>
      <c r="AK86">
        <v>2.3584999999999998</v>
      </c>
      <c r="AL86">
        <v>139.65</v>
      </c>
      <c r="AM86">
        <v>2986</v>
      </c>
      <c r="AN86">
        <v>15700</v>
      </c>
      <c r="AO86">
        <v>51.9</v>
      </c>
      <c r="AP86">
        <v>1223</v>
      </c>
      <c r="AQ86">
        <v>513</v>
      </c>
      <c r="AR86">
        <v>109.8</v>
      </c>
      <c r="AS86">
        <v>60.973999999999997</v>
      </c>
      <c r="AT86">
        <v>0.87</v>
      </c>
      <c r="AU86">
        <v>54.55</v>
      </c>
      <c r="AV86">
        <v>64.7</v>
      </c>
      <c r="AW86">
        <v>0.36699999999999999</v>
      </c>
      <c r="AX86">
        <v>748</v>
      </c>
    </row>
    <row r="87" spans="1:50" x14ac:dyDescent="0.2">
      <c r="A87" s="1" t="s">
        <v>150</v>
      </c>
      <c r="B87">
        <v>1940.77</v>
      </c>
      <c r="C87">
        <v>163.9</v>
      </c>
      <c r="D87">
        <v>123.11</v>
      </c>
      <c r="E87">
        <v>2794.5</v>
      </c>
      <c r="F87">
        <v>8143</v>
      </c>
      <c r="G87">
        <v>650</v>
      </c>
      <c r="H87">
        <v>30.99</v>
      </c>
      <c r="I87">
        <v>4440</v>
      </c>
      <c r="J87">
        <v>388.8</v>
      </c>
      <c r="K87">
        <v>307.25</v>
      </c>
      <c r="L87">
        <v>9246.6200000000008</v>
      </c>
      <c r="M87">
        <v>243</v>
      </c>
      <c r="N87">
        <v>100.7</v>
      </c>
      <c r="O87">
        <v>3.9660000000000002</v>
      </c>
      <c r="P87">
        <v>110.82</v>
      </c>
      <c r="Q87">
        <v>90.3</v>
      </c>
      <c r="R87">
        <v>752.7</v>
      </c>
      <c r="S87">
        <v>6.6000000000000003E-2</v>
      </c>
      <c r="T87">
        <v>72.489999999999995</v>
      </c>
      <c r="U87">
        <v>2328</v>
      </c>
      <c r="V87">
        <v>11.94</v>
      </c>
      <c r="W87">
        <v>31</v>
      </c>
      <c r="X87">
        <v>306.7</v>
      </c>
      <c r="Y87">
        <v>0.82099999999999995</v>
      </c>
      <c r="Z87">
        <v>0.17</v>
      </c>
      <c r="AA87">
        <v>189.5</v>
      </c>
      <c r="AB87">
        <v>913.5</v>
      </c>
      <c r="AC87">
        <v>0.75280000000000002</v>
      </c>
      <c r="AD87">
        <v>2.4820000000000002</v>
      </c>
      <c r="AE87">
        <v>348</v>
      </c>
      <c r="AF87">
        <v>387.2</v>
      </c>
      <c r="AG87">
        <v>81.489999999999995</v>
      </c>
      <c r="AH87">
        <v>150.35</v>
      </c>
      <c r="AI87">
        <v>7.0350000000000001</v>
      </c>
      <c r="AJ87">
        <v>3083</v>
      </c>
      <c r="AK87">
        <v>2.3224999999999998</v>
      </c>
      <c r="AL87">
        <v>137.55000000000001</v>
      </c>
      <c r="AM87">
        <v>2979</v>
      </c>
      <c r="AN87">
        <v>15930</v>
      </c>
      <c r="AO87">
        <v>51.9</v>
      </c>
      <c r="AP87">
        <v>1200</v>
      </c>
      <c r="AQ87">
        <v>514</v>
      </c>
      <c r="AR87">
        <v>109.6</v>
      </c>
      <c r="AS87">
        <v>60.038999999999987</v>
      </c>
      <c r="AT87">
        <v>0.871</v>
      </c>
      <c r="AU87">
        <v>54.6</v>
      </c>
      <c r="AV87">
        <v>63.69</v>
      </c>
      <c r="AW87">
        <v>0.37890000000000001</v>
      </c>
      <c r="AX87">
        <v>740.5</v>
      </c>
    </row>
    <row r="88" spans="1:50" x14ac:dyDescent="0.2">
      <c r="A88" s="1" t="s">
        <v>151</v>
      </c>
      <c r="B88">
        <v>1932.91</v>
      </c>
      <c r="C88">
        <v>161.63999999999999</v>
      </c>
      <c r="D88">
        <v>122.1</v>
      </c>
      <c r="E88">
        <v>2825</v>
      </c>
      <c r="F88">
        <v>8050</v>
      </c>
      <c r="G88">
        <v>650.6</v>
      </c>
      <c r="H88">
        <v>31.18</v>
      </c>
      <c r="I88">
        <v>4445</v>
      </c>
      <c r="J88">
        <v>387</v>
      </c>
      <c r="K88">
        <v>305</v>
      </c>
      <c r="L88">
        <v>9186.9599999999991</v>
      </c>
      <c r="M88">
        <v>246.05</v>
      </c>
      <c r="N88">
        <v>100.38</v>
      </c>
      <c r="O88">
        <v>4</v>
      </c>
      <c r="P88">
        <v>108.56</v>
      </c>
      <c r="Q88">
        <v>89.29</v>
      </c>
      <c r="R88">
        <v>757</v>
      </c>
      <c r="S88">
        <v>6.5937999999999997E-2</v>
      </c>
      <c r="T88">
        <v>71.86</v>
      </c>
      <c r="U88">
        <v>2316</v>
      </c>
      <c r="V88">
        <v>12.425000000000001</v>
      </c>
      <c r="W88">
        <v>31.54</v>
      </c>
      <c r="X88">
        <v>304</v>
      </c>
      <c r="Y88">
        <v>0.82499999999999996</v>
      </c>
      <c r="Z88">
        <v>0.17265</v>
      </c>
      <c r="AA88">
        <v>191.05</v>
      </c>
      <c r="AB88">
        <v>914</v>
      </c>
      <c r="AC88">
        <v>0.77</v>
      </c>
      <c r="AD88">
        <v>2.504</v>
      </c>
      <c r="AE88">
        <v>350</v>
      </c>
      <c r="AF88">
        <v>387.6</v>
      </c>
      <c r="AG88">
        <v>81.2</v>
      </c>
      <c r="AH88">
        <v>146.35</v>
      </c>
      <c r="AI88">
        <v>6.7949999999999999</v>
      </c>
      <c r="AJ88">
        <v>3069</v>
      </c>
      <c r="AK88">
        <v>2.3915000000000002</v>
      </c>
      <c r="AL88">
        <v>137.4</v>
      </c>
      <c r="AM88">
        <v>2925</v>
      </c>
      <c r="AN88">
        <v>15970</v>
      </c>
      <c r="AO88">
        <v>51.9</v>
      </c>
      <c r="AP88">
        <v>1240</v>
      </c>
      <c r="AQ88">
        <v>509</v>
      </c>
      <c r="AR88">
        <v>108.5</v>
      </c>
      <c r="AS88">
        <v>60.05</v>
      </c>
      <c r="AT88">
        <v>0.90500000000000003</v>
      </c>
      <c r="AU88">
        <v>54</v>
      </c>
      <c r="AV88">
        <v>63.99</v>
      </c>
      <c r="AW88">
        <v>0.38940000000000002</v>
      </c>
      <c r="AX88">
        <v>742</v>
      </c>
    </row>
    <row r="89" spans="1:50" x14ac:dyDescent="0.2">
      <c r="A89" s="1" t="s">
        <v>152</v>
      </c>
      <c r="B89">
        <v>1900.38</v>
      </c>
      <c r="C89">
        <v>155.93</v>
      </c>
      <c r="D89">
        <v>120.28</v>
      </c>
      <c r="E89">
        <v>2753</v>
      </c>
      <c r="F89">
        <v>7902</v>
      </c>
      <c r="G89">
        <v>641</v>
      </c>
      <c r="H89">
        <v>30.28</v>
      </c>
      <c r="I89">
        <v>4427</v>
      </c>
      <c r="J89">
        <v>384.5</v>
      </c>
      <c r="K89">
        <v>301.55</v>
      </c>
      <c r="L89">
        <v>9144.2099999999991</v>
      </c>
      <c r="M89">
        <v>236.5</v>
      </c>
      <c r="N89">
        <v>101</v>
      </c>
      <c r="O89">
        <v>3.9889999999999999</v>
      </c>
      <c r="P89">
        <v>115.5</v>
      </c>
      <c r="Q89">
        <v>88.35</v>
      </c>
      <c r="R89">
        <v>738.5</v>
      </c>
      <c r="S89">
        <v>6.615E-2</v>
      </c>
      <c r="T89">
        <v>71.5</v>
      </c>
      <c r="U89">
        <v>2307</v>
      </c>
      <c r="V89">
        <v>12.455</v>
      </c>
      <c r="W89">
        <v>31.094999999999999</v>
      </c>
      <c r="X89">
        <v>302</v>
      </c>
      <c r="Y89">
        <v>0.78</v>
      </c>
      <c r="Z89">
        <v>0.1641</v>
      </c>
      <c r="AA89">
        <v>188.6</v>
      </c>
      <c r="AB89">
        <v>906.5</v>
      </c>
      <c r="AC89">
        <v>0.76390000000000002</v>
      </c>
      <c r="AD89">
        <v>2.597</v>
      </c>
      <c r="AE89">
        <v>347</v>
      </c>
      <c r="AF89">
        <v>387</v>
      </c>
      <c r="AG89">
        <v>81.99</v>
      </c>
      <c r="AH89">
        <v>155.35</v>
      </c>
      <c r="AI89">
        <v>6.9</v>
      </c>
      <c r="AJ89">
        <v>2950</v>
      </c>
      <c r="AK89">
        <v>2.302</v>
      </c>
      <c r="AL89">
        <v>135.30000000000001</v>
      </c>
      <c r="AM89">
        <v>2757</v>
      </c>
      <c r="AN89">
        <v>15940</v>
      </c>
      <c r="AO89">
        <v>51</v>
      </c>
      <c r="AP89">
        <v>1248</v>
      </c>
      <c r="AQ89">
        <v>503</v>
      </c>
      <c r="AR89">
        <v>107.9</v>
      </c>
      <c r="AS89">
        <v>61.2</v>
      </c>
      <c r="AT89">
        <v>0.89400000000000002</v>
      </c>
      <c r="AU89">
        <v>53.25</v>
      </c>
      <c r="AV89">
        <v>64.06</v>
      </c>
      <c r="AW89">
        <v>0.38169999999999998</v>
      </c>
      <c r="AX89">
        <v>743</v>
      </c>
    </row>
    <row r="90" spans="1:50" x14ac:dyDescent="0.2">
      <c r="A90" s="1" t="s">
        <v>153</v>
      </c>
      <c r="B90">
        <v>1869.66</v>
      </c>
      <c r="C90">
        <v>153</v>
      </c>
      <c r="D90">
        <v>118</v>
      </c>
      <c r="E90">
        <v>2700</v>
      </c>
      <c r="F90">
        <v>7791</v>
      </c>
      <c r="G90">
        <v>624.70000000000005</v>
      </c>
      <c r="H90">
        <v>27.15</v>
      </c>
      <c r="I90">
        <v>4424</v>
      </c>
      <c r="J90">
        <v>378.45</v>
      </c>
      <c r="K90">
        <v>301.45</v>
      </c>
      <c r="L90">
        <v>9017.94</v>
      </c>
      <c r="M90">
        <v>241.05</v>
      </c>
      <c r="N90">
        <v>100.8</v>
      </c>
      <c r="O90">
        <v>4.01</v>
      </c>
      <c r="P90">
        <v>109.1</v>
      </c>
      <c r="Q90">
        <v>87.81</v>
      </c>
      <c r="R90">
        <v>732</v>
      </c>
      <c r="S90">
        <v>6.4730999999999997E-2</v>
      </c>
      <c r="T90">
        <v>71.12</v>
      </c>
      <c r="U90">
        <v>2298</v>
      </c>
      <c r="V90">
        <v>12.45</v>
      </c>
      <c r="W90">
        <v>30.6</v>
      </c>
      <c r="X90">
        <v>308.2</v>
      </c>
      <c r="Y90">
        <v>0.83</v>
      </c>
      <c r="Z90">
        <v>0.16300000000000001</v>
      </c>
      <c r="AA90">
        <v>188.2</v>
      </c>
      <c r="AB90">
        <v>914.5</v>
      </c>
      <c r="AC90">
        <v>0.72599999999999998</v>
      </c>
      <c r="AD90">
        <v>2.5979999999999999</v>
      </c>
      <c r="AE90">
        <v>344.5</v>
      </c>
      <c r="AF90">
        <v>387.7</v>
      </c>
      <c r="AG90">
        <v>82</v>
      </c>
      <c r="AH90">
        <v>149.6</v>
      </c>
      <c r="AI90">
        <v>6.93</v>
      </c>
      <c r="AJ90">
        <v>3010</v>
      </c>
      <c r="AK90">
        <v>2.3654999999999999</v>
      </c>
      <c r="AL90">
        <v>130.44999999999999</v>
      </c>
      <c r="AM90">
        <v>2790</v>
      </c>
      <c r="AN90">
        <v>15880</v>
      </c>
      <c r="AO90">
        <v>50.8</v>
      </c>
      <c r="AP90">
        <v>1242</v>
      </c>
      <c r="AQ90">
        <v>520</v>
      </c>
      <c r="AR90">
        <v>107.8</v>
      </c>
      <c r="AS90">
        <v>60.75</v>
      </c>
      <c r="AT90">
        <v>0.877</v>
      </c>
      <c r="AU90">
        <v>52.65</v>
      </c>
      <c r="AV90">
        <v>61.27</v>
      </c>
      <c r="AW90">
        <v>0.37859999999999999</v>
      </c>
      <c r="AX90">
        <v>742</v>
      </c>
    </row>
    <row r="91" spans="1:50" x14ac:dyDescent="0.2">
      <c r="A91" s="1" t="s">
        <v>154</v>
      </c>
      <c r="B91">
        <v>1881.87</v>
      </c>
      <c r="C91">
        <v>157.13999999999999</v>
      </c>
      <c r="D91">
        <v>119.69</v>
      </c>
      <c r="E91">
        <v>2734</v>
      </c>
      <c r="F91">
        <v>7829</v>
      </c>
      <c r="G91">
        <v>615</v>
      </c>
      <c r="H91">
        <v>26.62</v>
      </c>
      <c r="I91">
        <v>4423</v>
      </c>
      <c r="J91">
        <v>380.3</v>
      </c>
      <c r="K91">
        <v>301</v>
      </c>
      <c r="L91">
        <v>8824.06</v>
      </c>
      <c r="M91">
        <v>248.8</v>
      </c>
      <c r="N91">
        <v>101.9</v>
      </c>
      <c r="O91">
        <v>3.9449999999999998</v>
      </c>
      <c r="P91">
        <v>108.6</v>
      </c>
      <c r="Q91">
        <v>88.32</v>
      </c>
      <c r="R91">
        <v>726.4</v>
      </c>
      <c r="S91">
        <v>6.5199999999999994E-2</v>
      </c>
      <c r="T91">
        <v>70.900000000000006</v>
      </c>
      <c r="U91">
        <v>2269</v>
      </c>
      <c r="V91">
        <v>13.505000000000001</v>
      </c>
      <c r="W91">
        <v>30.9</v>
      </c>
      <c r="X91">
        <v>300.5</v>
      </c>
      <c r="Y91">
        <v>0.83</v>
      </c>
      <c r="Z91">
        <v>0.16495000000000001</v>
      </c>
      <c r="AA91">
        <v>185.8</v>
      </c>
      <c r="AB91">
        <v>892.5</v>
      </c>
      <c r="AC91">
        <v>0.76170000000000004</v>
      </c>
      <c r="AD91">
        <v>2.629</v>
      </c>
      <c r="AE91">
        <v>345.5</v>
      </c>
      <c r="AF91">
        <v>388.7</v>
      </c>
      <c r="AG91">
        <v>82.25</v>
      </c>
      <c r="AH91">
        <v>147.4</v>
      </c>
      <c r="AI91">
        <v>6.9</v>
      </c>
      <c r="AJ91">
        <v>3004</v>
      </c>
      <c r="AK91">
        <v>2.3119999999999998</v>
      </c>
      <c r="AL91">
        <v>129.55000000000001</v>
      </c>
      <c r="AM91">
        <v>2643</v>
      </c>
      <c r="AN91">
        <v>14310</v>
      </c>
      <c r="AO91">
        <v>50.4</v>
      </c>
      <c r="AP91">
        <v>1240</v>
      </c>
      <c r="AQ91">
        <v>551</v>
      </c>
      <c r="AR91">
        <v>108.9</v>
      </c>
      <c r="AS91">
        <v>60.55</v>
      </c>
      <c r="AT91">
        <v>0.873</v>
      </c>
      <c r="AU91">
        <v>52.6</v>
      </c>
      <c r="AV91">
        <v>58.69</v>
      </c>
      <c r="AW91">
        <v>0.38469999999999999</v>
      </c>
      <c r="AX91">
        <v>741</v>
      </c>
    </row>
    <row r="92" spans="1:50" x14ac:dyDescent="0.2">
      <c r="A92" s="1" t="s">
        <v>155</v>
      </c>
      <c r="B92">
        <v>1877.69</v>
      </c>
      <c r="C92">
        <v>154.69999999999999</v>
      </c>
      <c r="D92">
        <v>119</v>
      </c>
      <c r="E92">
        <v>2734.5</v>
      </c>
      <c r="F92">
        <v>7887</v>
      </c>
      <c r="G92">
        <v>609</v>
      </c>
      <c r="H92">
        <v>26.984999999999999</v>
      </c>
      <c r="I92">
        <v>4440</v>
      </c>
      <c r="J92">
        <v>376.3</v>
      </c>
      <c r="K92">
        <v>305</v>
      </c>
      <c r="L92">
        <v>8937.4</v>
      </c>
      <c r="M92">
        <v>248.7</v>
      </c>
      <c r="N92">
        <v>103.14</v>
      </c>
      <c r="O92">
        <v>3.9</v>
      </c>
      <c r="P92">
        <v>107.55</v>
      </c>
      <c r="Q92">
        <v>87.85</v>
      </c>
      <c r="R92">
        <v>722.1</v>
      </c>
      <c r="S92">
        <v>6.5049999999999997E-2</v>
      </c>
      <c r="T92">
        <v>71.14</v>
      </c>
      <c r="U92">
        <v>2267</v>
      </c>
      <c r="V92">
        <v>14.16</v>
      </c>
      <c r="W92">
        <v>29.81</v>
      </c>
      <c r="X92">
        <v>307</v>
      </c>
      <c r="Y92">
        <v>0.82</v>
      </c>
      <c r="Z92">
        <v>0.16375000000000001</v>
      </c>
      <c r="AA92">
        <v>189.05</v>
      </c>
      <c r="AB92">
        <v>893.5</v>
      </c>
      <c r="AC92">
        <v>0.78490000000000004</v>
      </c>
      <c r="AD92">
        <v>2.6349999999999998</v>
      </c>
      <c r="AE92">
        <v>350.5</v>
      </c>
      <c r="AF92">
        <v>388.6</v>
      </c>
      <c r="AG92">
        <v>82.12</v>
      </c>
      <c r="AH92">
        <v>148</v>
      </c>
      <c r="AI92">
        <v>6.9450000000000003</v>
      </c>
      <c r="AJ92">
        <v>3031</v>
      </c>
      <c r="AK92">
        <v>2.38</v>
      </c>
      <c r="AL92">
        <v>128.80000000000001</v>
      </c>
      <c r="AM92">
        <v>2615</v>
      </c>
      <c r="AN92">
        <v>14750</v>
      </c>
      <c r="AO92">
        <v>48.6</v>
      </c>
      <c r="AP92">
        <v>1240</v>
      </c>
      <c r="AQ92">
        <v>535</v>
      </c>
      <c r="AR92">
        <v>109</v>
      </c>
      <c r="AS92">
        <v>60.55</v>
      </c>
      <c r="AT92">
        <v>0.875</v>
      </c>
      <c r="AU92">
        <v>52.8</v>
      </c>
      <c r="AV92">
        <v>59.61</v>
      </c>
      <c r="AW92">
        <v>0.38890000000000002</v>
      </c>
      <c r="AX92">
        <v>742</v>
      </c>
    </row>
    <row r="93" spans="1:50" x14ac:dyDescent="0.2">
      <c r="A93" s="1" t="s">
        <v>156</v>
      </c>
      <c r="B93">
        <v>1870.04</v>
      </c>
      <c r="C93">
        <v>152.80000000000001</v>
      </c>
      <c r="D93">
        <v>119.05</v>
      </c>
      <c r="E93">
        <v>2721.5</v>
      </c>
      <c r="F93">
        <v>7898</v>
      </c>
      <c r="G93">
        <v>618</v>
      </c>
      <c r="H93">
        <v>26.815000000000001</v>
      </c>
      <c r="I93">
        <v>4450</v>
      </c>
      <c r="J93">
        <v>363.4</v>
      </c>
      <c r="K93">
        <v>302.55</v>
      </c>
      <c r="L93">
        <v>9001.0400000000009</v>
      </c>
      <c r="M93">
        <v>248.05</v>
      </c>
      <c r="N93">
        <v>101.95</v>
      </c>
      <c r="O93">
        <v>3.94</v>
      </c>
      <c r="P93">
        <v>108.09</v>
      </c>
      <c r="Q93">
        <v>87.64</v>
      </c>
      <c r="R93">
        <v>712</v>
      </c>
      <c r="S93">
        <v>6.4350000000000004E-2</v>
      </c>
      <c r="T93">
        <v>69.7</v>
      </c>
      <c r="U93">
        <v>2264</v>
      </c>
      <c r="V93">
        <v>13.105</v>
      </c>
      <c r="W93">
        <v>29.475000000000001</v>
      </c>
      <c r="X93">
        <v>308</v>
      </c>
      <c r="Y93">
        <v>0.83089999999999997</v>
      </c>
      <c r="Z93">
        <v>0.1646</v>
      </c>
      <c r="AA93">
        <v>190</v>
      </c>
      <c r="AB93">
        <v>886.5</v>
      </c>
      <c r="AC93">
        <v>0.76359999999999995</v>
      </c>
      <c r="AD93">
        <v>2.649</v>
      </c>
      <c r="AE93">
        <v>346.5</v>
      </c>
      <c r="AF93">
        <v>388.8</v>
      </c>
      <c r="AG93">
        <v>81.400000000000006</v>
      </c>
      <c r="AH93">
        <v>148.6</v>
      </c>
      <c r="AI93">
        <v>6.835</v>
      </c>
      <c r="AJ93">
        <v>3046</v>
      </c>
      <c r="AK93">
        <v>2.3130000000000002</v>
      </c>
      <c r="AL93">
        <v>128.69999999999999</v>
      </c>
      <c r="AM93">
        <v>2699</v>
      </c>
      <c r="AN93">
        <v>14540</v>
      </c>
      <c r="AO93">
        <v>49.2</v>
      </c>
      <c r="AP93">
        <v>1244</v>
      </c>
      <c r="AQ93">
        <v>539</v>
      </c>
      <c r="AR93">
        <v>109.1</v>
      </c>
      <c r="AS93">
        <v>60.1</v>
      </c>
      <c r="AT93">
        <v>0.875</v>
      </c>
      <c r="AU93">
        <v>52.75</v>
      </c>
      <c r="AV93">
        <v>58.23</v>
      </c>
      <c r="AW93">
        <v>0.38869999999999999</v>
      </c>
      <c r="AX93">
        <v>737</v>
      </c>
    </row>
    <row r="94" spans="1:50" x14ac:dyDescent="0.2">
      <c r="A94" s="1" t="s">
        <v>157</v>
      </c>
      <c r="B94">
        <v>1868.42</v>
      </c>
      <c r="C94">
        <v>152.82</v>
      </c>
      <c r="D94">
        <v>118.92</v>
      </c>
      <c r="E94">
        <v>2705</v>
      </c>
      <c r="F94">
        <v>7865</v>
      </c>
      <c r="G94">
        <v>615</v>
      </c>
      <c r="H94">
        <v>26.36</v>
      </c>
      <c r="I94">
        <v>4466</v>
      </c>
      <c r="J94">
        <v>358</v>
      </c>
      <c r="K94">
        <v>308</v>
      </c>
      <c r="L94">
        <v>9151.17</v>
      </c>
      <c r="M94">
        <v>250</v>
      </c>
      <c r="N94">
        <v>103.89</v>
      </c>
      <c r="O94">
        <v>3.8610000000000002</v>
      </c>
      <c r="P94">
        <v>109.72</v>
      </c>
      <c r="Q94">
        <v>86.36</v>
      </c>
      <c r="R94">
        <v>723.1</v>
      </c>
      <c r="S94">
        <v>6.4113000000000003E-2</v>
      </c>
      <c r="T94">
        <v>69.78</v>
      </c>
      <c r="U94">
        <v>2275</v>
      </c>
      <c r="V94">
        <v>12.73</v>
      </c>
      <c r="W94">
        <v>29.6</v>
      </c>
      <c r="X94">
        <v>303.7</v>
      </c>
      <c r="Y94">
        <v>0.82</v>
      </c>
      <c r="Z94">
        <v>0.16214999999999999</v>
      </c>
      <c r="AA94">
        <v>189</v>
      </c>
      <c r="AB94">
        <v>890</v>
      </c>
      <c r="AC94">
        <v>0.75860000000000005</v>
      </c>
      <c r="AD94">
        <v>2.6240000000000001</v>
      </c>
      <c r="AE94">
        <v>347</v>
      </c>
      <c r="AF94">
        <v>388.6</v>
      </c>
      <c r="AG94">
        <v>77.86</v>
      </c>
      <c r="AH94">
        <v>146.6</v>
      </c>
      <c r="AI94">
        <v>6.8150000000000004</v>
      </c>
      <c r="AJ94">
        <v>3029</v>
      </c>
      <c r="AK94">
        <v>2.2970000000000002</v>
      </c>
      <c r="AL94">
        <v>128.65</v>
      </c>
      <c r="AM94">
        <v>2603</v>
      </c>
      <c r="AN94">
        <v>14440</v>
      </c>
      <c r="AO94">
        <v>49.9</v>
      </c>
      <c r="AP94">
        <v>1239</v>
      </c>
      <c r="AQ94">
        <v>535</v>
      </c>
      <c r="AR94">
        <v>109</v>
      </c>
      <c r="AS94">
        <v>59.3</v>
      </c>
      <c r="AT94">
        <v>0.88</v>
      </c>
      <c r="AU94">
        <v>51</v>
      </c>
      <c r="AV94">
        <v>57.26</v>
      </c>
      <c r="AW94">
        <v>0.37680000000000002</v>
      </c>
      <c r="AX94">
        <v>743.5</v>
      </c>
    </row>
    <row r="95" spans="1:50" x14ac:dyDescent="0.2">
      <c r="A95" s="1" t="s">
        <v>158</v>
      </c>
      <c r="B95">
        <v>1874.21</v>
      </c>
      <c r="C95">
        <v>151.93</v>
      </c>
      <c r="D95">
        <v>119.3</v>
      </c>
      <c r="E95">
        <v>2735</v>
      </c>
      <c r="F95">
        <v>8013</v>
      </c>
      <c r="G95">
        <v>624.6</v>
      </c>
      <c r="H95">
        <v>26.195</v>
      </c>
      <c r="I95">
        <v>4443</v>
      </c>
      <c r="J95">
        <v>359.9</v>
      </c>
      <c r="K95">
        <v>307.5</v>
      </c>
      <c r="L95">
        <v>9216.7900000000009</v>
      </c>
      <c r="M95">
        <v>249</v>
      </c>
      <c r="N95">
        <v>104</v>
      </c>
      <c r="O95">
        <v>3.9365000000000001</v>
      </c>
      <c r="P95">
        <v>108.99</v>
      </c>
      <c r="Q95">
        <v>86.24</v>
      </c>
      <c r="R95">
        <v>734</v>
      </c>
      <c r="S95">
        <v>6.4500000000000002E-2</v>
      </c>
      <c r="T95">
        <v>69.87</v>
      </c>
      <c r="U95">
        <v>2260</v>
      </c>
      <c r="V95">
        <v>12.7</v>
      </c>
      <c r="W95">
        <v>29.4</v>
      </c>
      <c r="X95">
        <v>305</v>
      </c>
      <c r="Y95">
        <v>0.79090000000000005</v>
      </c>
      <c r="Z95">
        <v>0.15865000000000001</v>
      </c>
      <c r="AA95">
        <v>192.1</v>
      </c>
      <c r="AB95">
        <v>891.5</v>
      </c>
      <c r="AC95">
        <v>0.75660000000000005</v>
      </c>
      <c r="AD95">
        <v>2.5960000000000001</v>
      </c>
      <c r="AE95">
        <v>339.5</v>
      </c>
      <c r="AF95">
        <v>389.2</v>
      </c>
      <c r="AG95">
        <v>81.599999999999994</v>
      </c>
      <c r="AH95">
        <v>138.75</v>
      </c>
      <c r="AI95">
        <v>6.94</v>
      </c>
      <c r="AJ95">
        <v>3029</v>
      </c>
      <c r="AK95">
        <v>2.2995000000000001</v>
      </c>
      <c r="AL95">
        <v>129.94999999999999</v>
      </c>
      <c r="AM95">
        <v>2595</v>
      </c>
      <c r="AN95">
        <v>14460</v>
      </c>
      <c r="AO95">
        <v>48.9</v>
      </c>
      <c r="AP95">
        <v>1234</v>
      </c>
      <c r="AQ95">
        <v>541</v>
      </c>
      <c r="AR95">
        <v>107.6</v>
      </c>
      <c r="AS95">
        <v>58</v>
      </c>
      <c r="AT95">
        <v>0.871</v>
      </c>
      <c r="AU95">
        <v>50.5</v>
      </c>
      <c r="AV95">
        <v>55.35</v>
      </c>
      <c r="AW95">
        <v>0.3715</v>
      </c>
      <c r="AX95">
        <v>741</v>
      </c>
    </row>
    <row r="96" spans="1:50" x14ac:dyDescent="0.2">
      <c r="A96" s="1" t="s">
        <v>159</v>
      </c>
      <c r="B96">
        <v>1883.34</v>
      </c>
      <c r="C96">
        <v>150.13</v>
      </c>
      <c r="D96">
        <v>120.5</v>
      </c>
      <c r="E96">
        <v>2774</v>
      </c>
      <c r="F96">
        <v>8100</v>
      </c>
      <c r="G96">
        <v>634.29999999999995</v>
      </c>
      <c r="H96">
        <v>26.23</v>
      </c>
      <c r="I96">
        <v>4445</v>
      </c>
      <c r="J96">
        <v>360</v>
      </c>
      <c r="K96">
        <v>306</v>
      </c>
      <c r="L96">
        <v>9380.84</v>
      </c>
      <c r="M96">
        <v>252.25</v>
      </c>
      <c r="N96">
        <v>106.15</v>
      </c>
      <c r="O96">
        <v>3.9874999999999998</v>
      </c>
      <c r="P96">
        <v>109.19</v>
      </c>
      <c r="Q96">
        <v>85.81</v>
      </c>
      <c r="R96">
        <v>732.3</v>
      </c>
      <c r="S96">
        <v>6.5250000000000002E-2</v>
      </c>
      <c r="T96">
        <v>70.900000000000006</v>
      </c>
      <c r="U96">
        <v>2260</v>
      </c>
      <c r="V96">
        <v>12.85</v>
      </c>
      <c r="W96">
        <v>29.765000000000001</v>
      </c>
      <c r="X96">
        <v>304.10000000000002</v>
      </c>
      <c r="Y96">
        <v>0.79390000000000005</v>
      </c>
      <c r="Z96">
        <v>0.16270000000000001</v>
      </c>
      <c r="AA96">
        <v>192.85</v>
      </c>
      <c r="AB96">
        <v>883.5</v>
      </c>
      <c r="AC96">
        <v>0.76870000000000005</v>
      </c>
      <c r="AD96">
        <v>2.6</v>
      </c>
      <c r="AE96">
        <v>332</v>
      </c>
      <c r="AF96">
        <v>389.4</v>
      </c>
      <c r="AG96">
        <v>81</v>
      </c>
      <c r="AH96">
        <v>139.9</v>
      </c>
      <c r="AI96">
        <v>6.8550000000000004</v>
      </c>
      <c r="AJ96">
        <v>3012</v>
      </c>
      <c r="AK96">
        <v>2.3264999999999998</v>
      </c>
      <c r="AL96">
        <v>130</v>
      </c>
      <c r="AM96">
        <v>2625</v>
      </c>
      <c r="AN96">
        <v>14450</v>
      </c>
      <c r="AO96">
        <v>48.6</v>
      </c>
      <c r="AP96">
        <v>1229</v>
      </c>
      <c r="AQ96">
        <v>546</v>
      </c>
      <c r="AR96">
        <v>107.5</v>
      </c>
      <c r="AS96">
        <v>59</v>
      </c>
      <c r="AT96">
        <v>0.88</v>
      </c>
      <c r="AU96">
        <v>50.7</v>
      </c>
      <c r="AV96">
        <v>55.77</v>
      </c>
      <c r="AW96">
        <v>0.38900000000000001</v>
      </c>
      <c r="AX96">
        <v>743</v>
      </c>
    </row>
    <row r="97" spans="1:50" x14ac:dyDescent="0.2">
      <c r="A97" s="1" t="s">
        <v>160</v>
      </c>
      <c r="B97">
        <v>1883.34</v>
      </c>
      <c r="C97">
        <v>150.13</v>
      </c>
      <c r="D97">
        <v>120.5</v>
      </c>
      <c r="E97">
        <v>2774</v>
      </c>
      <c r="F97">
        <v>8100</v>
      </c>
      <c r="G97">
        <v>634.29999999999995</v>
      </c>
      <c r="H97">
        <v>26.23</v>
      </c>
      <c r="I97">
        <v>4445</v>
      </c>
      <c r="J97">
        <v>360</v>
      </c>
      <c r="K97">
        <v>306</v>
      </c>
      <c r="L97">
        <v>9380.84</v>
      </c>
      <c r="M97">
        <v>252.25</v>
      </c>
      <c r="N97">
        <v>106.15</v>
      </c>
      <c r="O97">
        <v>3.9874999999999998</v>
      </c>
      <c r="P97">
        <v>109.19</v>
      </c>
      <c r="Q97">
        <v>85.81</v>
      </c>
      <c r="R97">
        <v>732.3</v>
      </c>
      <c r="S97">
        <v>6.5250000000000002E-2</v>
      </c>
      <c r="T97">
        <v>70.900000000000006</v>
      </c>
      <c r="U97">
        <v>2260</v>
      </c>
      <c r="V97">
        <v>12.85</v>
      </c>
      <c r="W97">
        <v>29.765000000000001</v>
      </c>
      <c r="X97">
        <v>304.10000000000002</v>
      </c>
      <c r="Y97">
        <v>0.79390000000000005</v>
      </c>
      <c r="Z97">
        <v>0.16270000000000001</v>
      </c>
      <c r="AA97">
        <v>192.85</v>
      </c>
      <c r="AB97">
        <v>883.5</v>
      </c>
      <c r="AC97">
        <v>0.76870000000000005</v>
      </c>
      <c r="AD97">
        <v>2.6</v>
      </c>
      <c r="AE97">
        <v>332</v>
      </c>
      <c r="AF97">
        <v>389.4</v>
      </c>
      <c r="AG97">
        <v>81</v>
      </c>
      <c r="AH97">
        <v>139.9</v>
      </c>
      <c r="AI97">
        <v>6.8550000000000004</v>
      </c>
      <c r="AJ97">
        <v>3012</v>
      </c>
      <c r="AK97">
        <v>2.3264999999999998</v>
      </c>
      <c r="AL97">
        <v>130</v>
      </c>
      <c r="AM97">
        <v>2625</v>
      </c>
      <c r="AN97">
        <v>14450</v>
      </c>
      <c r="AO97">
        <v>48.6</v>
      </c>
      <c r="AP97">
        <v>1229</v>
      </c>
      <c r="AQ97">
        <v>546</v>
      </c>
      <c r="AR97">
        <v>107.5</v>
      </c>
      <c r="AS97">
        <v>59</v>
      </c>
      <c r="AT97">
        <v>0.88</v>
      </c>
      <c r="AU97">
        <v>50.7</v>
      </c>
      <c r="AV97">
        <v>55.77</v>
      </c>
      <c r="AW97">
        <v>0.38900000000000001</v>
      </c>
      <c r="AX97">
        <v>743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V107"/>
  <sheetViews>
    <sheetView topLeftCell="A79" workbookViewId="0">
      <selection activeCell="D107" sqref="D107"/>
    </sheetView>
  </sheetViews>
  <sheetFormatPr baseColWidth="10" defaultColWidth="11.5" defaultRowHeight="15" x14ac:dyDescent="0.2"/>
  <cols>
    <col min="2" max="2" width="13.33203125" bestFit="1" customWidth="1"/>
    <col min="3" max="3" width="13.1640625" bestFit="1" customWidth="1"/>
    <col min="4" max="4" width="24.1640625" bestFit="1" customWidth="1"/>
  </cols>
  <sheetData>
    <row r="1" spans="1:48" x14ac:dyDescent="0.2">
      <c r="A1" s="1" t="s">
        <v>48</v>
      </c>
      <c r="B1" s="1" t="s">
        <v>52</v>
      </c>
      <c r="C1" s="1" t="s">
        <v>53</v>
      </c>
      <c r="D1" s="1" t="s">
        <v>0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44</v>
      </c>
      <c r="AT1" s="1" t="s">
        <v>45</v>
      </c>
      <c r="AU1" s="1" t="s">
        <v>46</v>
      </c>
      <c r="AV1" s="1" t="s">
        <v>47</v>
      </c>
    </row>
    <row r="2" spans="1:48" x14ac:dyDescent="0.2">
      <c r="A2" s="1" t="s">
        <v>65</v>
      </c>
      <c r="B2" s="2"/>
      <c r="C2">
        <f>(Цены!B2-Цены!B$2)/Цены!B$2</f>
        <v>0</v>
      </c>
      <c r="D2">
        <f>(Цены!C2-Цены!C$2)/Цены!C$2</f>
        <v>0</v>
      </c>
      <c r="E2">
        <f>(Цены!D2-Цены!D$2)/Цены!D$2</f>
        <v>0</v>
      </c>
      <c r="F2">
        <f>(Цены!E2-Цены!E$2)/Цены!E$2</f>
        <v>0</v>
      </c>
      <c r="G2">
        <f>(Цены!F2-Цены!F$2)/Цены!F$2</f>
        <v>0</v>
      </c>
      <c r="H2">
        <f>(Цены!G2-Цены!G$2)/Цены!G$2</f>
        <v>0</v>
      </c>
      <c r="I2">
        <f>(Цены!H2-Цены!H$2)/Цены!H$2</f>
        <v>0</v>
      </c>
      <c r="J2">
        <f>(Цены!J2-Цены!J$2)/Цены!J$2</f>
        <v>0</v>
      </c>
      <c r="K2">
        <f>(Цены!K2-Цены!K$2)/Цены!K$2</f>
        <v>0</v>
      </c>
      <c r="L2">
        <f>(Цены!L2-Цены!L$2)/Цены!L$2</f>
        <v>0</v>
      </c>
      <c r="M2">
        <f>(Цены!M2-Цены!M$2)/Цены!M$2</f>
        <v>0</v>
      </c>
      <c r="N2">
        <f>(Цены!N2-Цены!N$2)/Цены!N$2</f>
        <v>0</v>
      </c>
      <c r="O2">
        <f>(Цены!O2-Цены!O$2)/Цены!O$2</f>
        <v>0</v>
      </c>
      <c r="P2">
        <f>(Цены!P2-Цены!P$2)/Цены!P$2</f>
        <v>0</v>
      </c>
      <c r="Q2">
        <f>(Цены!Q2-Цены!Q$2)/Цены!Q$2</f>
        <v>0</v>
      </c>
      <c r="R2">
        <f>(Цены!R2-Цены!R$2)/Цены!R$2</f>
        <v>0</v>
      </c>
      <c r="S2">
        <f>(Цены!S2-Цены!S$2)/Цены!S$2</f>
        <v>0</v>
      </c>
      <c r="T2">
        <f>(Цены!T2-Цены!T$2)/Цены!T$2</f>
        <v>0</v>
      </c>
      <c r="U2">
        <f>(Цены!U2-Цены!U$2)/Цены!U$2</f>
        <v>0</v>
      </c>
      <c r="V2">
        <f>(Цены!V2-Цены!V$2)/Цены!V$2</f>
        <v>0</v>
      </c>
      <c r="W2">
        <f>(Цены!W2-Цены!W$2)/Цены!W$2</f>
        <v>0</v>
      </c>
      <c r="X2">
        <f>(Цены!X2-Цены!X$2)/Цены!X$2</f>
        <v>0</v>
      </c>
      <c r="Y2">
        <f>(Цены!Y2-Цены!Y$2)/Цены!Y$2</f>
        <v>0</v>
      </c>
      <c r="Z2">
        <f>(Цены!Z2-Цены!Z$2)/Цены!Z$2</f>
        <v>0</v>
      </c>
      <c r="AA2">
        <f>(Цены!AA2-Цены!AA$2)/Цены!AA$2</f>
        <v>0</v>
      </c>
      <c r="AB2">
        <f>(Цены!AB2-Цены!AB$2)/Цены!AB$2</f>
        <v>0</v>
      </c>
      <c r="AC2">
        <f>(Цены!AD2-Цены!AD$2)/Цены!AD$2</f>
        <v>0</v>
      </c>
      <c r="AD2">
        <f>(Цены!AE2-Цены!AE$2)/Цены!AE$2</f>
        <v>0</v>
      </c>
      <c r="AE2">
        <f>(Цены!AF2-Цены!AF$2)/Цены!AF$2</f>
        <v>0</v>
      </c>
      <c r="AF2">
        <f>(Цены!AG2-Цены!AG$2)/Цены!AG$2</f>
        <v>0</v>
      </c>
      <c r="AG2">
        <f>(Цены!AH2-Цены!AH$2)/Цены!AH$2</f>
        <v>0</v>
      </c>
      <c r="AH2">
        <f>(Цены!AI2-Цены!AI$2)/Цены!AI$2</f>
        <v>0</v>
      </c>
      <c r="AI2">
        <f>(Цены!AJ2-Цены!AJ$2)/Цены!AJ$2</f>
        <v>0</v>
      </c>
      <c r="AJ2">
        <f>(Цены!AK2-Цены!AK$2)/Цены!AK$2</f>
        <v>0</v>
      </c>
      <c r="AK2">
        <f>(Цены!AL2-Цены!AL$2)/Цены!AL$2</f>
        <v>0</v>
      </c>
      <c r="AL2">
        <f>(Цены!AM2-Цены!AM$2)/Цены!AM$2</f>
        <v>0</v>
      </c>
      <c r="AM2">
        <f>(Цены!AN2-Цены!AN$2)/Цены!AN$2</f>
        <v>0</v>
      </c>
      <c r="AN2">
        <f>(Цены!AO2-Цены!AO$2)/Цены!AO$2</f>
        <v>0</v>
      </c>
      <c r="AO2">
        <f>(Цены!AP2-Цены!AP$2)/Цены!AP$2</f>
        <v>0</v>
      </c>
      <c r="AP2">
        <f>(Цены!AQ2-Цены!AQ$2)/Цены!AQ$2</f>
        <v>0</v>
      </c>
      <c r="AQ2">
        <f>(Цены!AR2-Цены!AR$2)/Цены!AR$2</f>
        <v>0</v>
      </c>
      <c r="AR2">
        <f>(Цены!AS2-Цены!AS$2)/Цены!AS$2</f>
        <v>0</v>
      </c>
      <c r="AS2">
        <f>(Цены!AU2-Цены!AU$2)/Цены!AU$2</f>
        <v>0</v>
      </c>
      <c r="AT2">
        <f>(Цены!AV2-Цены!AV$2)/Цены!AV$2</f>
        <v>0</v>
      </c>
    </row>
    <row r="3" spans="1:48" x14ac:dyDescent="0.2">
      <c r="A3" s="1" t="s">
        <v>66</v>
      </c>
      <c r="B3" s="2">
        <v>1</v>
      </c>
      <c r="C3">
        <f>(Цены!B3-Цены!B$2)/Цены!B$2</f>
        <v>-7.497292022881288E-3</v>
      </c>
      <c r="D3">
        <f>(Цены!C3-Цены!C$2)/Цены!C$2</f>
        <v>-1.3745704467353985E-2</v>
      </c>
      <c r="E3">
        <f>(Цены!D3-Цены!D$2)/Цены!D$2</f>
        <v>-6.6312997347480101E-3</v>
      </c>
      <c r="F3">
        <f>(Цены!E3-Цены!E$2)/Цены!E$2</f>
        <v>-1.1150234741784037E-2</v>
      </c>
      <c r="G3">
        <f>(Цены!F3-Цены!F$2)/Цены!F$2</f>
        <v>-1.4633647155137127E-2</v>
      </c>
      <c r="H3">
        <f>(Цены!G3-Цены!G$2)/Цены!G$2</f>
        <v>-1.6821946169772256E-2</v>
      </c>
      <c r="I3">
        <f>(Цены!H3-Цены!H$2)/Цены!H$2</f>
        <v>3.7232392181199055E-3</v>
      </c>
      <c r="J3">
        <f>(Цены!J3-Цены!J$2)/Цены!J$2</f>
        <v>-3.396674584323043E-2</v>
      </c>
      <c r="K3">
        <f>(Цены!K3-Цены!K$2)/Цены!K$2</f>
        <v>4.0100250626566988E-3</v>
      </c>
      <c r="L3">
        <f>(Цены!L3-Цены!L$2)/Цены!L$2</f>
        <v>2.5977690117297298E-3</v>
      </c>
      <c r="M3">
        <f>(Цены!M3-Цены!M$2)/Цены!M$2</f>
        <v>-2.3520897412702517E-3</v>
      </c>
      <c r="N3">
        <f>(Цены!N3-Цены!N$2)/Цены!N$2</f>
        <v>-1.3235294117647142E-2</v>
      </c>
      <c r="O3">
        <f>(Цены!O3-Цены!O$2)/Цены!O$2</f>
        <v>3.3251231527094858E-3</v>
      </c>
      <c r="P3">
        <f>(Цены!P3-Цены!P$2)/Цены!P$2</f>
        <v>1.6708293859271361E-2</v>
      </c>
      <c r="Q3">
        <f>(Цены!Q3-Цены!Q$2)/Цены!Q$2</f>
        <v>-1.6652711880174826E-2</v>
      </c>
      <c r="R3">
        <f>(Цены!R3-Цены!R$2)/Цены!R$2</f>
        <v>-1.4931563666528388E-2</v>
      </c>
      <c r="S3">
        <f>(Цены!S3-Цены!S$2)/Цены!S$2</f>
        <v>-6.2103746397694642E-3</v>
      </c>
      <c r="T3">
        <f>(Цены!T3-Цены!T$2)/Цены!T$2</f>
        <v>-1.1976047904197744E-4</v>
      </c>
      <c r="U3">
        <f>(Цены!U3-Цены!U$2)/Цены!U$2</f>
        <v>-4.8899755501222494E-3</v>
      </c>
      <c r="V3">
        <f>(Цены!V3-Цены!V$2)/Цены!V$2</f>
        <v>-2.0286885245901536E-2</v>
      </c>
      <c r="W3">
        <f>(Цены!W3-Цены!W$2)/Цены!W$2</f>
        <v>3.5394736842105236E-2</v>
      </c>
      <c r="X3">
        <f>(Цены!X3-Цены!X$2)/Цены!X$2</f>
        <v>-2.4424284717377721E-3</v>
      </c>
      <c r="Y3">
        <f>(Цены!Y3-Цены!Y$2)/Цены!Y$2</f>
        <v>-1.9817940451355886E-2</v>
      </c>
      <c r="Z3">
        <f>(Цены!Z3-Цены!Z$2)/Цены!Z$2</f>
        <v>-1.7717451055012892E-2</v>
      </c>
      <c r="AA3">
        <f>(Цены!AA3-Цены!AA$2)/Цены!AA$2</f>
        <v>1.913399648917485E-2</v>
      </c>
      <c r="AB3">
        <f>(Цены!AB3-Цены!AB$2)/Цены!AB$2</f>
        <v>1.5007503751875938E-3</v>
      </c>
      <c r="AC3">
        <f>(Цены!AD3-Цены!AD$2)/Цены!AD$2</f>
        <v>4.9786628733997996E-3</v>
      </c>
      <c r="AD3">
        <f>(Цены!AE3-Цены!AE$2)/Цены!AE$2</f>
        <v>-5.235602094240838E-3</v>
      </c>
      <c r="AE3">
        <f>(Цены!AF3-Цены!AF$2)/Цены!AF$2</f>
        <v>7.5896362208845254E-3</v>
      </c>
      <c r="AF3">
        <f>(Цены!AG3-Цены!AG$2)/Цены!AG$2</f>
        <v>6.0313630880575581E-4</v>
      </c>
      <c r="AG3">
        <f>(Цены!AH3-Цены!AH$2)/Цены!AH$2</f>
        <v>-1.0585106382978772E-2</v>
      </c>
      <c r="AH3">
        <f>(Цены!AI3-Цены!AI$2)/Цены!AI$2</f>
        <v>-2.8169014084506445E-3</v>
      </c>
      <c r="AI3">
        <f>(Цены!AJ3-Цены!AJ$2)/Цены!AJ$2</f>
        <v>5.7306590257879654E-3</v>
      </c>
      <c r="AJ3">
        <f>(Цены!AK3-Цены!AK$2)/Цены!AK$2</f>
        <v>-1.5991656527029469E-2</v>
      </c>
      <c r="AK3">
        <f>(Цены!AL3-Цены!AL$2)/Цены!AL$2</f>
        <v>3.2362459546926236E-3</v>
      </c>
      <c r="AL3">
        <f>(Цены!AM3-Цены!AM$2)/Цены!AM$2</f>
        <v>9.8278432967330895E-2</v>
      </c>
      <c r="AM3">
        <f>(Цены!AN3-Цены!AN$2)/Цены!AN$2</f>
        <v>-4.0733197556008143E-3</v>
      </c>
      <c r="AN3">
        <f>(Цены!AO3-Цены!AO$2)/Цены!AO$2</f>
        <v>1.3736263736264908E-3</v>
      </c>
      <c r="AO3">
        <f>(Цены!AP3-Цены!AP$2)/Цены!AP$2</f>
        <v>4.8602673147023082E-3</v>
      </c>
      <c r="AP3">
        <f>(Цены!AQ3-Цены!AQ$2)/Цены!AQ$2</f>
        <v>3.0959752321981426E-3</v>
      </c>
      <c r="AQ3">
        <f>(Цены!AR3-Цены!AR$2)/Цены!AR$2</f>
        <v>-7.3917634635691952E-3</v>
      </c>
      <c r="AR3">
        <f>(Цены!AS3-Цены!AS$2)/Цены!AS$2</f>
        <v>-1.3960710186997797E-2</v>
      </c>
      <c r="AS3">
        <f>(Цены!AU3-Цены!AU$2)/Цены!AU$2</f>
        <v>2.3575638506876283E-2</v>
      </c>
      <c r="AT3">
        <f>(Цены!AV3-Цены!AV$2)/Цены!AV$2</f>
        <v>-1.2597217658012987E-2</v>
      </c>
      <c r="AU3">
        <f>(Цены!AW3-Цены!AW$2)/Цены!AW$2</f>
        <v>-1.6693304919197433E-2</v>
      </c>
      <c r="AV3">
        <f>(Цены!AX3-Цены!AX$2)/Цены!AX$2</f>
        <v>-4.6357615894039739E-3</v>
      </c>
    </row>
    <row r="4" spans="1:48" x14ac:dyDescent="0.2">
      <c r="A4" s="1" t="s">
        <v>67</v>
      </c>
      <c r="B4" s="2">
        <v>2</v>
      </c>
      <c r="C4">
        <f>(Цены!B4-Цены!B$2)/Цены!B$2</f>
        <v>-1.1010948284351188E-3</v>
      </c>
      <c r="D4">
        <f>(Цены!C4-Цены!C$2)/Цены!C$2</f>
        <v>-4.0091638029781714E-3</v>
      </c>
      <c r="E4">
        <f>(Цены!D4-Цены!D$2)/Цены!D$2</f>
        <v>-7.6259946949602496E-3</v>
      </c>
      <c r="F4">
        <f>(Цены!E4-Цены!E$2)/Цены!E$2</f>
        <v>-9.683098591549295E-3</v>
      </c>
      <c r="G4">
        <f>(Цены!F4-Цены!F$2)/Цены!F$2</f>
        <v>7.777322963569382E-3</v>
      </c>
      <c r="H4">
        <f>(Цены!G4-Цены!G$2)/Цены!G$2</f>
        <v>-1.0351966873706004E-2</v>
      </c>
      <c r="I4">
        <f>(Цены!H4-Цены!H$2)/Цены!H$2</f>
        <v>2.1718895439032048E-3</v>
      </c>
      <c r="J4">
        <f>(Цены!J4-Цены!J$2)/Цены!J$2</f>
        <v>-2.8978622327790946E-2</v>
      </c>
      <c r="K4">
        <f>(Цены!K4-Цены!K$2)/Цены!K$2</f>
        <v>6.2656641604010022E-3</v>
      </c>
      <c r="L4">
        <f>(Цены!L4-Цены!L$2)/Цены!L$2</f>
        <v>7.7922620758117721E-3</v>
      </c>
      <c r="M4">
        <f>(Цены!M4-Цены!M$2)/Цены!M$2</f>
        <v>9.5892889451781333E-3</v>
      </c>
      <c r="N4">
        <f>(Цены!N4-Цены!N$2)/Цены!N$2</f>
        <v>-8.8235294117646225E-3</v>
      </c>
      <c r="O4">
        <f>(Цены!O4-Цены!O$2)/Цены!O$2</f>
        <v>2.4630541871922848E-3</v>
      </c>
      <c r="P4">
        <f>(Цены!P4-Цены!P$2)/Цены!P$2</f>
        <v>3.4277839979329983E-2</v>
      </c>
      <c r="Q4">
        <f>(Цены!Q4-Цены!Q$2)/Цены!Q$2</f>
        <v>-1.9071541538747766E-2</v>
      </c>
      <c r="R4">
        <f>(Цены!R4-Цены!R$2)/Цены!R$2</f>
        <v>1.0783907092492719E-2</v>
      </c>
      <c r="S4">
        <f>(Цены!S4-Цены!S$2)/Цены!S$2</f>
        <v>9.9423631123918754E-4</v>
      </c>
      <c r="T4">
        <f>(Цены!T4-Цены!T$2)/Цены!T$2</f>
        <v>1.0419161676646761E-2</v>
      </c>
      <c r="U4">
        <f>(Цены!U4-Цены!U$2)/Цены!U$2</f>
        <v>-4.5406915822563745E-3</v>
      </c>
      <c r="V4">
        <f>(Цены!V4-Цены!V$2)/Цены!V$2</f>
        <v>-1.6598360655737606E-2</v>
      </c>
      <c r="W4">
        <f>(Цены!W4-Цены!W$2)/Цены!W$2</f>
        <v>7.1052631578947437E-2</v>
      </c>
      <c r="X4">
        <f>(Цены!X4-Цены!X$2)/Цены!X$2</f>
        <v>-3.838101884159186E-3</v>
      </c>
      <c r="Y4">
        <f>(Цены!Y4-Цены!Y$2)/Цены!Y$2</f>
        <v>2.56021240280668E-3</v>
      </c>
      <c r="Z4">
        <f>(Цены!Z4-Цены!Z$2)/Цены!Z$2</f>
        <v>-2.0719692164574326E-3</v>
      </c>
      <c r="AA4">
        <f>(Цены!AA4-Цены!AA$2)/Цены!AA$2</f>
        <v>2.399063779988294E-2</v>
      </c>
      <c r="AB4">
        <f>(Цены!AB4-Цены!AB$2)/Цены!AB$2</f>
        <v>-1.0005002501250625E-3</v>
      </c>
      <c r="AC4">
        <f>(Цены!AD4-Цены!AD$2)/Цены!AD$2</f>
        <v>-7.82361308677091E-3</v>
      </c>
      <c r="AD4">
        <f>(Цены!AE4-Цены!AE$2)/Цены!AE$2</f>
        <v>-1.3612565445026177E-2</v>
      </c>
      <c r="AE4">
        <f>(Цены!AF4-Цены!AF$2)/Цены!AF$2</f>
        <v>2.3554043444123977E-3</v>
      </c>
      <c r="AF4">
        <f>(Цены!AG4-Цены!AG$2)/Цены!AG$2</f>
        <v>-5.5488540410132792E-2</v>
      </c>
      <c r="AG4">
        <f>(Цены!AH4-Цены!AH$2)/Цены!AH$2</f>
        <v>-1.7819148936170183E-2</v>
      </c>
      <c r="AH4">
        <f>(Цены!AI4-Цены!AI$2)/Цены!AI$2</f>
        <v>-7.0422535211267356E-3</v>
      </c>
      <c r="AI4">
        <f>(Цены!AJ4-Цены!AJ$2)/Цены!AJ$2</f>
        <v>5.1575931232091688E-3</v>
      </c>
      <c r="AJ4">
        <f>(Цены!AK4-Цены!AK$2)/Цены!AK$2</f>
        <v>-2.6247175386754702E-2</v>
      </c>
      <c r="AK4">
        <f>(Цены!AL4-Цены!AL$2)/Цены!AL$2</f>
        <v>-4.1188584877904603E-3</v>
      </c>
      <c r="AL4">
        <f>(Цены!AM4-Цены!AM$2)/Цены!AM$2</f>
        <v>0.10519181238986038</v>
      </c>
      <c r="AM4">
        <f>(Цены!AN4-Цены!AN$2)/Цены!AN$2</f>
        <v>-2.7155465037338763E-3</v>
      </c>
      <c r="AN4">
        <f>(Цены!AO4-Цены!AO$2)/Цены!AO$2</f>
        <v>-1.3736263736262957E-3</v>
      </c>
      <c r="AO4">
        <f>(Цены!AP4-Цены!AP$2)/Цены!AP$2</f>
        <v>9.7205346294046164E-3</v>
      </c>
      <c r="AP4">
        <f>(Цены!AQ4-Цены!AQ$2)/Цены!AQ$2</f>
        <v>7.7399380804953561E-3</v>
      </c>
      <c r="AQ4">
        <f>(Цены!AR4-Цены!AR$2)/Цены!AR$2</f>
        <v>1.5839493136219639E-2</v>
      </c>
      <c r="AR4">
        <f>(Цены!AS4-Цены!AS$2)/Цены!AS$2</f>
        <v>-7.9794774859921445E-3</v>
      </c>
      <c r="AS4">
        <f>(Цены!AU4-Цены!AU$2)/Цены!AU$2</f>
        <v>4.1257367387033429E-2</v>
      </c>
      <c r="AT4">
        <f>(Цены!AV4-Цены!AV$2)/Цены!AV$2</f>
        <v>-8.3251177565999025E-3</v>
      </c>
      <c r="AU4">
        <f>(Цены!AW4-Цены!AW$2)/Цены!AW$2</f>
        <v>-2.5039957378796149E-2</v>
      </c>
      <c r="AV4">
        <f>(Цены!AX4-Цены!AX$2)/Цены!AX$2</f>
        <v>6.6225165562913907E-3</v>
      </c>
    </row>
    <row r="5" spans="1:48" x14ac:dyDescent="0.2">
      <c r="A5" s="1" t="s">
        <v>68</v>
      </c>
      <c r="B5" s="2">
        <v>3</v>
      </c>
      <c r="C5">
        <f>(Цены!B5-Цены!B$2)/Цены!B$2</f>
        <v>-7.4212001038430576E-3</v>
      </c>
      <c r="D5">
        <f>(Цены!C5-Цены!C$2)/Цены!C$2</f>
        <v>-1.0137457044673436E-2</v>
      </c>
      <c r="E5">
        <f>(Цены!D5-Цены!D$2)/Цены!D$2</f>
        <v>-1.326259946949602E-2</v>
      </c>
      <c r="F5">
        <f>(Цены!E5-Цены!E$2)/Цены!E$2</f>
        <v>-1.2764084507042254E-2</v>
      </c>
      <c r="G5">
        <f>(Цены!F5-Цены!F$2)/Цены!F$2</f>
        <v>4.9426934097421202E-2</v>
      </c>
      <c r="H5">
        <f>(Цены!G5-Цены!G$2)/Цены!G$2</f>
        <v>-3.4679089026915057E-2</v>
      </c>
      <c r="I5">
        <f>(Цены!H5-Цены!H$2)/Цены!H$2</f>
        <v>-7.911883338504358E-3</v>
      </c>
      <c r="J5">
        <f>(Цены!J5-Цены!J$2)/Цены!J$2</f>
        <v>-3.8242280285035686E-2</v>
      </c>
      <c r="K5">
        <f>(Цены!K5-Цены!K$2)/Цены!K$2</f>
        <v>-4.2606516290726532E-3</v>
      </c>
      <c r="L5">
        <f>(Цены!L5-Цены!L$2)/Цены!L$2</f>
        <v>-1.350609995036443E-2</v>
      </c>
      <c r="M5">
        <f>(Цены!M5-Цены!M$2)/Цены!M$2</f>
        <v>-1.3207888547132382E-2</v>
      </c>
      <c r="N5">
        <f>(Цены!N5-Цены!N$2)/Цены!N$2</f>
        <v>-1.3455882352941269E-2</v>
      </c>
      <c r="O5">
        <f>(Цены!O5-Цены!O$2)/Цены!O$2</f>
        <v>-8.6206896551722315E-3</v>
      </c>
      <c r="P5">
        <f>(Цены!P5-Цены!P$2)/Цены!P$2</f>
        <v>3.0574455257945027E-2</v>
      </c>
      <c r="Q5">
        <f>(Цены!Q5-Цены!Q$2)/Цены!Q$2</f>
        <v>-3.3770583310075312E-2</v>
      </c>
      <c r="R5">
        <f>(Цены!R5-Цены!R$2)/Цены!R$2</f>
        <v>-1.2857735379510554E-2</v>
      </c>
      <c r="S5">
        <f>(Цены!S5-Цены!S$2)/Цены!S$2</f>
        <v>-4.495677233429491E-3</v>
      </c>
      <c r="T5">
        <f>(Цены!T5-Цены!T$2)/Цены!T$2</f>
        <v>5.7485029940120237E-3</v>
      </c>
      <c r="U5">
        <f>(Цены!U5-Цены!U$2)/Цены!U$2</f>
        <v>1.0129235068110374E-2</v>
      </c>
      <c r="V5">
        <f>(Цены!V5-Цены!V$2)/Цены!V$2</f>
        <v>-2.8893442622950752E-2</v>
      </c>
      <c r="W5">
        <f>(Цены!W5-Цены!W$2)/Цены!W$2</f>
        <v>8.605263157894745E-2</v>
      </c>
      <c r="X5">
        <f>(Цены!X5-Цены!X$2)/Цены!X$2</f>
        <v>-1.0816468946266653E-2</v>
      </c>
      <c r="Y5">
        <f>(Цены!Y5-Цены!Y$2)/Цены!Y$2</f>
        <v>4.1721979897591122E-3</v>
      </c>
      <c r="Z5">
        <f>(Цены!Z5-Цены!Z$2)/Цены!Z$2</f>
        <v>1.6110617785107226E-2</v>
      </c>
      <c r="AA5">
        <f>(Цены!AA5-Цены!AA$2)/Цены!AA$2</f>
        <v>3.5108250438853128E-2</v>
      </c>
      <c r="AB5">
        <f>(Цены!AB5-Цены!AB$2)/Цены!AB$2</f>
        <v>-1.4007003501750876E-2</v>
      </c>
      <c r="AC5">
        <f>(Цены!AD5-Цены!AD$2)/Цены!AD$2</f>
        <v>-3.5561877667140071E-3</v>
      </c>
      <c r="AD5">
        <f>(Цены!AE5-Цены!AE$2)/Цены!AE$2</f>
        <v>-1.9895287958115182E-2</v>
      </c>
      <c r="AE5">
        <f>(Цены!AF5-Цены!AF$2)/Цены!AF$2</f>
        <v>-8.6364825961790393E-3</v>
      </c>
      <c r="AF5">
        <f>(Цены!AG5-Цены!AG$2)/Цены!AG$2</f>
        <v>-4.9457177322074886E-2</v>
      </c>
      <c r="AG5">
        <f>(Цены!AH5-Цены!AH$2)/Цены!AH$2</f>
        <v>-5.3191489361702126E-3</v>
      </c>
      <c r="AH5">
        <f>(Цены!AI5-Цены!AI$2)/Цены!AI$2</f>
        <v>-4.2253521126759666E-3</v>
      </c>
      <c r="AI5">
        <f>(Цены!AJ5-Цены!AJ$2)/Цены!AJ$2</f>
        <v>-2.5787965616045844E-3</v>
      </c>
      <c r="AJ5">
        <f>(Цены!AK5-Цены!AK$2)/Цены!AK$2</f>
        <v>-2.0684860073005348E-2</v>
      </c>
      <c r="AK5">
        <f>(Цены!AL5-Цены!AL$2)/Цены!AL$2</f>
        <v>-7.0609002647836934E-3</v>
      </c>
      <c r="AL5">
        <f>(Цены!AM5-Цены!AM$2)/Цены!AM$2</f>
        <v>6.2491527721295917E-2</v>
      </c>
      <c r="AM5">
        <f>(Цены!AN5-Цены!AN$2)/Цены!AN$2</f>
        <v>-8.1466395112016286E-3</v>
      </c>
      <c r="AN5">
        <f>(Цены!AO5-Цены!AO$2)/Цены!AO$2</f>
        <v>-1.3736263736262957E-3</v>
      </c>
      <c r="AO5">
        <f>(Цены!AP5-Цены!AP$2)/Цены!AP$2</f>
        <v>1.4580801944106925E-2</v>
      </c>
      <c r="AP5">
        <f>(Цены!AQ5-Цены!AQ$2)/Цены!AQ$2</f>
        <v>3.0959752321981426E-3</v>
      </c>
      <c r="AQ5">
        <f>(Цены!AR5-Цены!AR$2)/Цены!AR$2</f>
        <v>1.3727560718056992E-2</v>
      </c>
      <c r="AR5">
        <f>(Цены!AS5-Цены!AS$2)/Цены!AS$2</f>
        <v>-1.1300884358333749E-2</v>
      </c>
      <c r="AS5">
        <f>(Цены!AU5-Цены!AU$2)/Цены!AU$2</f>
        <v>5.1080550098231856E-2</v>
      </c>
      <c r="AT5">
        <f>(Цены!AV5-Цены!AV$2)/Цены!AV$2</f>
        <v>-2.2784532807536558E-2</v>
      </c>
      <c r="AU5">
        <f>(Цены!AW5-Цены!AW$2)/Цены!AW$2</f>
        <v>-2.6815840880838417E-2</v>
      </c>
      <c r="AV5">
        <f>(Цены!AX5-Цены!AX$2)/Цены!AX$2</f>
        <v>1.7218543046357615E-2</v>
      </c>
    </row>
    <row r="6" spans="1:48" x14ac:dyDescent="0.2">
      <c r="A6" s="1" t="s">
        <v>69</v>
      </c>
      <c r="B6" s="2">
        <v>4</v>
      </c>
      <c r="C6">
        <f>(Цены!B6-Цены!B$2)/Цены!B$2</f>
        <v>-3.3704244138683098E-3</v>
      </c>
      <c r="D6">
        <f>(Цены!C6-Цены!C$2)/Цены!C$2</f>
        <v>-4.5819014891178862E-3</v>
      </c>
      <c r="E6">
        <f>(Цены!D6-Цены!D$2)/Цены!D$2</f>
        <v>-9.6153846153847269E-3</v>
      </c>
      <c r="F6">
        <f>(Цены!E6-Цены!E$2)/Цены!E$2</f>
        <v>-1.1003521126760563E-2</v>
      </c>
      <c r="G6">
        <f>(Цены!F6-Цены!F$2)/Цены!F$2</f>
        <v>3.2439623413835446E-2</v>
      </c>
      <c r="H6">
        <f>(Цены!G6-Цены!G$2)/Цены!G$2</f>
        <v>-1.229296066252588E-2</v>
      </c>
      <c r="I6">
        <f>(Цены!H6-Цены!H$2)/Цены!H$2</f>
        <v>1.3496742165684217E-2</v>
      </c>
      <c r="J6">
        <f>(Цены!J6-Цены!J$2)/Цены!J$2</f>
        <v>-3.942992874109269E-2</v>
      </c>
      <c r="K6">
        <f>(Цены!K6-Цены!K$2)/Цены!K$2</f>
        <v>-2.882205513784404E-3</v>
      </c>
      <c r="L6">
        <f>(Цены!L6-Цены!L$2)/Цены!L$2</f>
        <v>-4.6751482536116183E-3</v>
      </c>
      <c r="M6">
        <f>(Цены!M6-Цены!M$2)/Цены!M$2</f>
        <v>-7.2371992039080872E-3</v>
      </c>
      <c r="N6">
        <f>(Цены!N6-Цены!N$2)/Цены!N$2</f>
        <v>-1.544117647058882E-3</v>
      </c>
      <c r="O6">
        <f>(Цены!O6-Цены!O$2)/Цены!O$2</f>
        <v>-1.2315270935960548E-2</v>
      </c>
      <c r="P6">
        <f>(Цены!P6-Цены!P$2)/Цены!P$2</f>
        <v>2.652656963224527E-2</v>
      </c>
      <c r="Q6">
        <f>(Цены!Q6-Цены!Q$2)/Цены!Q$2</f>
        <v>-2.4560424225509355E-2</v>
      </c>
      <c r="R6">
        <f>(Цены!R6-Цены!R$2)/Цены!R$2</f>
        <v>-3.2973869763583526E-2</v>
      </c>
      <c r="S6">
        <f>(Цены!S6-Цены!S$2)/Цены!S$2</f>
        <v>-1.6138328530259508E-3</v>
      </c>
      <c r="T6">
        <f>(Цены!T6-Цены!T$2)/Цены!T$2</f>
        <v>1.1976047904191617E-2</v>
      </c>
      <c r="U6">
        <f>(Цены!U6-Цены!U$2)/Цены!U$2</f>
        <v>-9.7799511002444987E-3</v>
      </c>
      <c r="V6">
        <f>(Цены!V6-Цены!V$2)/Цены!V$2</f>
        <v>-8.6065573770490698E-3</v>
      </c>
      <c r="W6">
        <f>(Цены!W6-Цены!W$2)/Цены!W$2</f>
        <v>0.12118421052631571</v>
      </c>
      <c r="X6">
        <f>(Цены!X6-Цены!X$2)/Цены!X$2</f>
        <v>-1.6050244242847251E-2</v>
      </c>
      <c r="Y6">
        <f>(Цены!Y6-Цены!Y$2)/Цены!Y$2</f>
        <v>3.1481130286364609E-2</v>
      </c>
      <c r="Z6">
        <f>(Цены!Z6-Цены!Z$2)/Цены!Z$2</f>
        <v>4.9938686625227227E-2</v>
      </c>
      <c r="AA6">
        <f>(Цены!AA6-Цены!AA$2)/Цены!AA$2</f>
        <v>4.44704505558806E-2</v>
      </c>
      <c r="AB6">
        <f>(Цены!AB6-Цены!AB$2)/Цены!AB$2</f>
        <v>3.5017508754377189E-3</v>
      </c>
      <c r="AC6">
        <f>(Цены!AD6-Цены!AD$2)/Цены!AD$2</f>
        <v>-3.9118065433853761E-3</v>
      </c>
      <c r="AD6">
        <f>(Цены!AE6-Цены!AE$2)/Цены!AE$2</f>
        <v>5.235602094240838E-3</v>
      </c>
      <c r="AE6">
        <f>(Цены!AF6-Цены!AF$2)/Цены!AF$2</f>
        <v>-2.1983773881183024E-2</v>
      </c>
      <c r="AF6">
        <f>(Цены!AG6-Цены!AG$2)/Цены!AG$2</f>
        <v>-7.840772014475271E-2</v>
      </c>
      <c r="AG6">
        <f>(Цены!AH6-Цены!AH$2)/Цены!AH$2</f>
        <v>-1.4202127659574402E-2</v>
      </c>
      <c r="AH6">
        <f>(Цены!AI6-Цены!AI$2)/Цены!AI$2</f>
        <v>9.8591549295775054E-3</v>
      </c>
      <c r="AI6">
        <f>(Цены!AJ6-Цены!AJ$2)/Цены!AJ$2</f>
        <v>-1.7191977077363897E-3</v>
      </c>
      <c r="AJ6">
        <f>(Цены!AK6-Цены!AK$2)/Цены!AK$2</f>
        <v>-2.2596905962106555E-3</v>
      </c>
      <c r="AK6">
        <f>(Цены!AL6-Цены!AL$2)/Цены!AL$2</f>
        <v>-1.0002942041776926E-2</v>
      </c>
      <c r="AL6">
        <f>(Цены!AM6-Цены!AM$2)/Цены!AM$2</f>
        <v>1.6537888030364645E-2</v>
      </c>
      <c r="AM6">
        <f>(Цены!AN6-Цены!AN$2)/Цены!AN$2</f>
        <v>-3.3944331296673455E-3</v>
      </c>
      <c r="AN6">
        <f>(Цены!AO6-Цены!AO$2)/Цены!AO$2</f>
        <v>-2.7472527472527865E-3</v>
      </c>
      <c r="AO6">
        <f>(Цены!AP6-Цены!AP$2)/Цены!AP$2</f>
        <v>2.0656136087484813E-2</v>
      </c>
      <c r="AP6">
        <f>(Цены!AQ6-Цены!AQ$2)/Цены!AQ$2</f>
        <v>-3.5603715170278639E-2</v>
      </c>
      <c r="AQ6">
        <f>(Цены!AR6-Цены!AR$2)/Цены!AR$2</f>
        <v>2.2175290390707435E-2</v>
      </c>
      <c r="AR6">
        <f>(Цены!AS6-Цены!AS$2)/Цены!AS$2</f>
        <v>-7.9794774859921445E-3</v>
      </c>
      <c r="AS6">
        <f>(Цены!AU6-Цены!AU$2)/Цены!AU$2</f>
        <v>4.8133595284872356E-2</v>
      </c>
      <c r="AT6">
        <f>(Цены!AV6-Цены!AV$2)/Цены!AV$2</f>
        <v>-2.8590207032533677E-2</v>
      </c>
      <c r="AU6">
        <f>(Цены!AW6-Цены!AW$2)/Цены!AW$2</f>
        <v>1.7758835020420703E-4</v>
      </c>
      <c r="AV6">
        <f>(Цены!AX6-Цены!AX$2)/Цены!AX$2</f>
        <v>1.7218543046357615E-2</v>
      </c>
    </row>
    <row r="7" spans="1:48" x14ac:dyDescent="0.2">
      <c r="A7" s="1" t="s">
        <v>70</v>
      </c>
      <c r="B7" s="2">
        <v>5</v>
      </c>
      <c r="C7">
        <f>(Цены!B7-Цены!B$2)/Цены!B$2</f>
        <v>-1.0576776746309387E-2</v>
      </c>
      <c r="D7">
        <f>(Цены!C7-Цены!C$2)/Цены!C$2</f>
        <v>-9.9083619702175826E-3</v>
      </c>
      <c r="E7">
        <f>(Цены!D7-Цены!D$2)/Цены!D$2</f>
        <v>-1.5251989389920499E-2</v>
      </c>
      <c r="F7">
        <f>(Цены!E7-Цены!E$2)/Цены!E$2</f>
        <v>-2.0539906103286387E-2</v>
      </c>
      <c r="G7">
        <f>(Цены!F7-Цены!F$2)/Цены!F$2</f>
        <v>1.5349979533360623E-2</v>
      </c>
      <c r="H7">
        <f>(Цены!G7-Цены!G$2)/Цены!G$2</f>
        <v>-1.6821946169772256E-2</v>
      </c>
      <c r="I7">
        <f>(Цены!H7-Цены!H$2)/Цены!H$2</f>
        <v>1.0549177784672773E-2</v>
      </c>
      <c r="J7">
        <f>(Цены!J7-Цены!J$2)/Цены!J$2</f>
        <v>-4.5249406175772E-2</v>
      </c>
      <c r="K7">
        <f>(Цены!K7-Цены!K$2)/Цены!K$2</f>
        <v>-1.2531328320802004E-2</v>
      </c>
      <c r="L7">
        <f>(Цены!L7-Цены!L$2)/Цены!L$2</f>
        <v>1.5590793907886908E-3</v>
      </c>
      <c r="M7">
        <f>(Цены!M7-Цены!M$2)/Цены!M$2</f>
        <v>-1.610276822869566E-2</v>
      </c>
      <c r="N7">
        <f>(Цены!N7-Цены!N$2)/Цены!N$2</f>
        <v>-6.617647058823571E-3</v>
      </c>
      <c r="O7">
        <f>(Цены!O7-Цены!O$2)/Цены!O$2</f>
        <v>-2.4630541871921097E-2</v>
      </c>
      <c r="P7">
        <f>(Цены!P7-Цены!P$2)/Цены!P$2</f>
        <v>1.8430798380845756E-2</v>
      </c>
      <c r="Q7">
        <f>(Цены!Q7-Цены!Q$2)/Цены!Q$2</f>
        <v>-3.0607498371941502E-2</v>
      </c>
      <c r="R7">
        <f>(Цены!R7-Цены!R$2)/Цены!R$2</f>
        <v>-8.8137702198257985E-3</v>
      </c>
      <c r="S7">
        <f>(Цены!S7-Цены!S$2)/Цены!S$2</f>
        <v>-1.0360230547550595E-2</v>
      </c>
      <c r="T7">
        <f>(Цены!T7-Цены!T$2)/Цены!T$2</f>
        <v>4.311377245508975E-3</v>
      </c>
      <c r="U7">
        <f>(Цены!U7-Цены!U$2)/Цены!U$2</f>
        <v>-3.7373384561648619E-2</v>
      </c>
      <c r="V7">
        <f>(Цены!V7-Цены!V$2)/Цены!V$2</f>
        <v>-3.9754098360655694E-2</v>
      </c>
      <c r="W7">
        <f>(Цены!W7-Цены!W$2)/Цены!W$2</f>
        <v>0.10263157894736838</v>
      </c>
      <c r="X7">
        <f>(Цены!X7-Цены!X$2)/Цены!X$2</f>
        <v>-9.7697138869504933E-3</v>
      </c>
      <c r="Y7">
        <f>(Цены!Y7-Цены!Y$2)/Цены!Y$2</f>
        <v>4.3049497439787698E-2</v>
      </c>
      <c r="Z7">
        <f>(Цены!Z7-Цены!Z$2)/Цены!Z$2</f>
        <v>2.4990485855638709E-2</v>
      </c>
      <c r="AA7">
        <f>(Цены!AA7-Цены!AA$2)/Цены!AA$2</f>
        <v>4.739613809245169E-2</v>
      </c>
      <c r="AB7">
        <f>(Цены!AB7-Цены!AB$2)/Цены!AB$2</f>
        <v>3.5017508754377189E-3</v>
      </c>
      <c r="AC7">
        <f>(Цены!AD7-Цены!AD$2)/Цены!AD$2</f>
        <v>-1.4935988620199082E-2</v>
      </c>
      <c r="AD7">
        <f>(Цены!AE7-Цены!AE$2)/Цены!AE$2</f>
        <v>-6.2827225130890054E-3</v>
      </c>
      <c r="AE7">
        <f>(Цены!AF7-Цены!AF$2)/Цены!AF$2</f>
        <v>-2.9049986914420366E-2</v>
      </c>
      <c r="AF7">
        <f>(Цены!AG7-Цены!AG$2)/Цены!AG$2</f>
        <v>-7.1170084439083292E-2</v>
      </c>
      <c r="AG7">
        <f>(Цены!AH7-Цены!AH$2)/Цены!AH$2</f>
        <v>-1.4148936170212748E-2</v>
      </c>
      <c r="AH7">
        <f>(Цены!AI7-Цены!AI$2)/Цены!AI$2</f>
        <v>9.1549295774648442E-3</v>
      </c>
      <c r="AI7">
        <f>(Цены!AJ7-Цены!AJ$2)/Цены!AJ$2</f>
        <v>-8.5959885386819486E-3</v>
      </c>
      <c r="AJ7">
        <f>(Цены!AK7-Цены!AK$2)/Цены!AK$2</f>
        <v>-1.2515209455936043E-2</v>
      </c>
      <c r="AK7">
        <f>(Цены!AL7-Цены!AL$2)/Цены!AL$2</f>
        <v>-5.5898793762870769E-3</v>
      </c>
      <c r="AL7">
        <f>(Цены!AM7-Цены!AM$2)/Цены!AM$2</f>
        <v>-4.9071438254032804E-2</v>
      </c>
      <c r="AM7">
        <f>(Цены!AN7-Цены!AN$2)/Цены!AN$2</f>
        <v>-6.788866259334691E-3</v>
      </c>
      <c r="AN7">
        <f>(Цены!AO7-Цены!AO$2)/Цены!AO$2</f>
        <v>-1.2362637362637246E-2</v>
      </c>
      <c r="AO7">
        <f>(Цены!AP7-Цены!AP$2)/Цены!AP$2</f>
        <v>2.3086269744835967E-2</v>
      </c>
      <c r="AP7">
        <f>(Цены!AQ7-Цены!AQ$2)/Цены!AQ$2</f>
        <v>-4.7987616099071206E-2</v>
      </c>
      <c r="AQ7">
        <f>(Цены!AR7-Цены!AR$2)/Цены!AR$2</f>
        <v>2.4287222808870086E-2</v>
      </c>
      <c r="AR7">
        <f>(Цены!AS7-Цены!AS$2)/Цены!AS$2</f>
        <v>-3.056774454870716E-2</v>
      </c>
      <c r="AS7">
        <f>(Цены!AU7-Цены!AU$2)/Цены!AU$2</f>
        <v>4.1257367387033429E-2</v>
      </c>
      <c r="AT7">
        <f>(Цены!AV7-Цены!AV$2)/Цены!AV$2</f>
        <v>-4.9183919377807084E-2</v>
      </c>
      <c r="AU7">
        <f>(Цены!AW7-Цены!AW$2)/Цены!AW$2</f>
        <v>-2.1488190374711415E-2</v>
      </c>
      <c r="AV7">
        <f>(Цены!AX7-Цены!AX$2)/Цены!AX$2</f>
        <v>2.9801324503311258E-2</v>
      </c>
    </row>
    <row r="8" spans="1:48" x14ac:dyDescent="0.2">
      <c r="A8" s="1" t="s">
        <v>71</v>
      </c>
      <c r="B8" s="2">
        <v>6</v>
      </c>
      <c r="C8">
        <f>(Цены!B8-Цены!B$2)/Цены!B$2</f>
        <v>-6.8796046801005723E-3</v>
      </c>
      <c r="D8">
        <f>(Цены!C8-Цены!C$2)/Цены!C$2</f>
        <v>-6.4719358533791268E-3</v>
      </c>
      <c r="E8">
        <f>(Цены!D8-Цены!D$2)/Цены!D$2</f>
        <v>-1.3925729442970972E-2</v>
      </c>
      <c r="F8">
        <f>(Цены!E8-Цены!E$2)/Цены!E$2</f>
        <v>-8.509389671361502E-3</v>
      </c>
      <c r="G8">
        <f>(Цены!F8-Цены!F$2)/Цены!F$2</f>
        <v>3.7249283667621778E-2</v>
      </c>
      <c r="H8">
        <f>(Цены!G8-Цены!G$2)/Цены!G$2</f>
        <v>-1.5139751552794943E-2</v>
      </c>
      <c r="I8">
        <f>(Цены!H8-Цены!H$2)/Цены!H$2</f>
        <v>1.613403661185241E-2</v>
      </c>
      <c r="J8">
        <f>(Цены!J8-Цены!J$2)/Цены!J$2</f>
        <v>-5.2256532066508314E-2</v>
      </c>
      <c r="K8">
        <f>(Цены!K8-Цены!K$2)/Цены!K$2</f>
        <v>-2.3308270676691757E-2</v>
      </c>
      <c r="L8">
        <f>(Цены!L8-Цены!L$2)/Цены!L$2</f>
        <v>-7.7922620758117721E-3</v>
      </c>
      <c r="M8">
        <f>(Цены!M8-Цены!M$2)/Цены!M$2</f>
        <v>-1.6283698208794841E-3</v>
      </c>
      <c r="N8">
        <f>(Цены!N8-Цены!N$2)/Цены!N$2</f>
        <v>-1.6985294117647074E-2</v>
      </c>
      <c r="O8">
        <f>(Цены!O8-Цены!O$2)/Цены!O$2</f>
        <v>-2.5738916256157592E-2</v>
      </c>
      <c r="P8">
        <f>(Цены!P8-Цены!P$2)/Цены!P$2</f>
        <v>1.6708293859271361E-2</v>
      </c>
      <c r="Q8">
        <f>(Цены!Q8-Цены!Q$2)/Цены!Q$2</f>
        <v>-1.7676062889571045E-2</v>
      </c>
      <c r="R8">
        <f>(Цены!R8-Цены!R$2)/Цены!R$2</f>
        <v>-2.4678556615512191E-2</v>
      </c>
      <c r="S8">
        <f>(Цены!S8-Цены!S$2)/Цены!S$2</f>
        <v>-8.8184438040346015E-3</v>
      </c>
      <c r="T8">
        <f>(Цены!T8-Цены!T$2)/Цены!T$2</f>
        <v>1.4491017964071781E-2</v>
      </c>
      <c r="U8">
        <f>(Цены!U8-Цены!U$2)/Цены!U$2</f>
        <v>-3.597624869018512E-2</v>
      </c>
      <c r="V8">
        <f>(Цены!V8-Цены!V$2)/Цены!V$2</f>
        <v>-8.6065573770490698E-3</v>
      </c>
      <c r="W8">
        <f>(Цены!W8-Цены!W$2)/Цены!W$2</f>
        <v>7.7631578947368496E-2</v>
      </c>
      <c r="X8">
        <f>(Цены!X8-Цены!X$2)/Цены!X$2</f>
        <v>-5.2337752965805999E-3</v>
      </c>
      <c r="Y8">
        <f>(Цены!Y8-Цены!Y$2)/Цены!Y$2</f>
        <v>3.5463682912952876E-2</v>
      </c>
      <c r="Z8">
        <f>(Цены!Z8-Цены!Z$2)/Цены!Z$2</f>
        <v>4.8881559473973477E-2</v>
      </c>
      <c r="AA8">
        <f>(Цены!AA8-Цены!AA$2)/Цены!AA$2</f>
        <v>1.5213575190169656E-2</v>
      </c>
      <c r="AB8">
        <f>(Цены!AB8-Цены!AB$2)/Цены!AB$2</f>
        <v>-9.5047523761880946E-3</v>
      </c>
      <c r="AC8">
        <f>(Цены!AD8-Цены!AD$2)/Цены!AD$2</f>
        <v>-3.2005689900426377E-3</v>
      </c>
      <c r="AD8">
        <f>(Цены!AE8-Цены!AE$2)/Цены!AE$2</f>
        <v>-2.0942408376963353E-3</v>
      </c>
      <c r="AE8">
        <f>(Цены!AF8-Цены!AF$2)/Цены!AF$2</f>
        <v>-2.1198639099712174E-2</v>
      </c>
      <c r="AF8">
        <f>(Цены!AG8-Цены!AG$2)/Цены!AG$2</f>
        <v>-6.996381182147178E-2</v>
      </c>
      <c r="AG8">
        <f>(Цены!AH8-Цены!AH$2)/Цены!AH$2</f>
        <v>-2.6063829787234073E-2</v>
      </c>
      <c r="AH8">
        <f>(Цены!AI8-Цены!AI$2)/Цены!AI$2</f>
        <v>4.2253521126760915E-3</v>
      </c>
      <c r="AI8">
        <f>(Цены!AJ8-Цены!AJ$2)/Цены!AJ$2</f>
        <v>-4.0114613180515755E-3</v>
      </c>
      <c r="AJ8">
        <f>(Цены!AK8-Цены!AK$2)/Цены!AK$2</f>
        <v>-9.3864070919520721E-3</v>
      </c>
      <c r="AK8">
        <f>(Цены!AL8-Цены!AL$2)/Цены!AL$2</f>
        <v>-5.0014710208884632E-3</v>
      </c>
      <c r="AL8">
        <f>(Цены!AM8-Цены!AM$2)/Цены!AM$2</f>
        <v>-3.1449098549545883E-2</v>
      </c>
      <c r="AM8">
        <f>(Цены!AN8-Цены!AN$2)/Цены!AN$2</f>
        <v>-1.5614392396469789E-2</v>
      </c>
      <c r="AN8">
        <f>(Цены!AO8-Цены!AO$2)/Цены!AO$2</f>
        <v>-1.098901098901095E-2</v>
      </c>
      <c r="AO8">
        <f>(Цены!AP8-Цены!AP$2)/Цены!AP$2</f>
        <v>2.6731470230862697E-2</v>
      </c>
      <c r="AP8">
        <f>(Цены!AQ8-Цены!AQ$2)/Цены!AQ$2</f>
        <v>-4.0247678018575851E-2</v>
      </c>
      <c r="AQ8">
        <f>(Цены!AR8-Цены!AR$2)/Цены!AR$2</f>
        <v>3.9070749736008478E-2</v>
      </c>
      <c r="AR8">
        <f>(Цены!AS8-Цены!AS$2)/Цены!AS$2</f>
        <v>-2.9906163505029414E-2</v>
      </c>
      <c r="AS8">
        <f>(Цены!AU8-Цены!AU$2)/Цены!AU$2</f>
        <v>4.3222003929273139E-2</v>
      </c>
      <c r="AT8">
        <f>(Цены!AV8-Цены!AV$2)/Цены!AV$2</f>
        <v>-4.4254573337715042E-2</v>
      </c>
      <c r="AU8">
        <f>(Цены!AW8-Цены!AW$2)/Цены!AW$2</f>
        <v>-2.3264073876753683E-2</v>
      </c>
      <c r="AV8">
        <f>(Цены!AX8-Цены!AX$2)/Цены!AX$2</f>
        <v>1.3245033112582781E-2</v>
      </c>
    </row>
    <row r="9" spans="1:48" x14ac:dyDescent="0.2">
      <c r="A9" s="1" t="s">
        <v>72</v>
      </c>
      <c r="B9" s="2">
        <v>7</v>
      </c>
      <c r="C9">
        <f>(Цены!B9-Цены!B$2)/Цены!B$2</f>
        <v>-1.993160679277026E-2</v>
      </c>
      <c r="D9">
        <f>(Цены!C9-Цены!C$2)/Цены!C$2</f>
        <v>-1.9473081328751467E-2</v>
      </c>
      <c r="E9">
        <f>(Цены!D9-Цены!D$2)/Цены!D$2</f>
        <v>-3.7135278514589004E-2</v>
      </c>
      <c r="F9">
        <f>(Цены!E9-Цены!E$2)/Цены!E$2</f>
        <v>-3.1983568075117368E-2</v>
      </c>
      <c r="G9">
        <f>(Цены!F9-Цены!F$2)/Цены!F$2</f>
        <v>3.7146950470732708E-2</v>
      </c>
      <c r="H9">
        <f>(Цены!G9-Цены!G$2)/Цены!G$2</f>
        <v>-2.3033126293995801E-2</v>
      </c>
      <c r="I9">
        <f>(Цены!H9-Цены!H$2)/Цены!H$2</f>
        <v>1.3807012100527469E-2</v>
      </c>
      <c r="J9">
        <f>(Цены!J9-Цены!J$2)/Цены!J$2</f>
        <v>-3.5629453681710214E-2</v>
      </c>
      <c r="K9">
        <f>(Цены!K9-Цены!K$2)/Цены!K$2</f>
        <v>-5.2506265664160376E-2</v>
      </c>
      <c r="L9">
        <f>(Цены!L9-Цены!L$2)/Цены!L$2</f>
        <v>-4.9865461480184271E-3</v>
      </c>
      <c r="M9">
        <f>(Цены!M9-Цены!M$2)/Цены!M$2</f>
        <v>-1.8997647910258729E-2</v>
      </c>
      <c r="N9">
        <f>(Цены!N9-Цены!N$2)/Цены!N$2</f>
        <v>-3.2720588235294036E-2</v>
      </c>
      <c r="O9">
        <f>(Цены!O9-Цены!O$2)/Цены!O$2</f>
        <v>-1.4901477832512262E-2</v>
      </c>
      <c r="P9">
        <f>(Цены!P9-Цены!P$2)/Цены!P$2</f>
        <v>4.4354491430540051E-2</v>
      </c>
      <c r="Q9">
        <f>(Цены!Q9-Цены!Q$2)/Цены!Q$2</f>
        <v>-2.5025583775234887E-2</v>
      </c>
      <c r="R9">
        <f>(Цены!R9-Цены!R$2)/Цены!R$2</f>
        <v>-3.35960182496889E-2</v>
      </c>
      <c r="S9">
        <f>(Цены!S9-Цены!S$2)/Цены!S$2</f>
        <v>-1.0086455331412192E-2</v>
      </c>
      <c r="T9">
        <f>(Цены!T9-Цены!T$2)/Цены!T$2</f>
        <v>1.4970059880239521E-2</v>
      </c>
      <c r="U9">
        <f>(Цены!U9-Цены!U$2)/Цены!U$2</f>
        <v>-5.6933286762137617E-2</v>
      </c>
      <c r="V9">
        <f>(Цены!V9-Цены!V$2)/Цены!V$2</f>
        <v>-8.8114754098360601E-3</v>
      </c>
      <c r="W9">
        <f>(Цены!W9-Цены!W$2)/Цены!W$2</f>
        <v>8.8157894736842143E-2</v>
      </c>
      <c r="X9">
        <f>(Цены!X9-Цены!X$2)/Цены!X$2</f>
        <v>-3.140265177948479E-3</v>
      </c>
      <c r="Y9">
        <f>(Цены!Y9-Цены!Y$2)/Цены!Y$2</f>
        <v>2.4274606485871486E-2</v>
      </c>
      <c r="Z9">
        <f>(Цены!Z9-Цены!Z$2)/Цены!Z$2</f>
        <v>8.3343904604845767E-2</v>
      </c>
      <c r="AA9">
        <f>(Цены!AA9-Цены!AA$2)/Цены!AA$2</f>
        <v>6.4365125804563741E-3</v>
      </c>
      <c r="AB9">
        <f>(Цены!AB9-Цены!AB$2)/Цены!AB$2</f>
        <v>-3.1515757878939468E-2</v>
      </c>
      <c r="AC9">
        <f>(Цены!AD9-Цены!AD$2)/Цены!AD$2</f>
        <v>-9.6017069701279135E-3</v>
      </c>
      <c r="AD9">
        <f>(Цены!AE9-Цены!AE$2)/Цены!AE$2</f>
        <v>-1.2565445026178011E-2</v>
      </c>
      <c r="AE9">
        <f>(Цены!AF9-Цены!AF$2)/Цены!AF$2</f>
        <v>-2.6432870976184304E-2</v>
      </c>
      <c r="AF9">
        <f>(Цены!AG9-Цены!AG$2)/Цены!AG$2</f>
        <v>-6.51387213510254E-2</v>
      </c>
      <c r="AG9">
        <f>(Цены!AH9-Цены!AH$2)/Цены!AH$2</f>
        <v>-3.4308510638297811E-2</v>
      </c>
      <c r="AH9">
        <f>(Цены!AI9-Цены!AI$2)/Цены!AI$2</f>
        <v>-1.8309859154929563E-2</v>
      </c>
      <c r="AI9">
        <f>(Цены!AJ9-Цены!AJ$2)/Цены!AJ$2</f>
        <v>2.8653295128939827E-3</v>
      </c>
      <c r="AJ9">
        <f>(Цены!AK9-Цены!AK$2)/Цены!AK$2</f>
        <v>-1.8425169476794692E-2</v>
      </c>
      <c r="AK9">
        <f>(Цены!AL9-Цены!AL$2)/Цены!AL$2</f>
        <v>-7.0609002647836934E-3</v>
      </c>
      <c r="AL9">
        <f>(Цены!AM9-Цены!AM$2)/Цены!AM$2</f>
        <v>-4.7038091365053547E-2</v>
      </c>
      <c r="AM9">
        <f>(Цены!AN9-Цены!AN$2)/Цены!AN$2</f>
        <v>-3.5980991174473863E-2</v>
      </c>
      <c r="AN9">
        <f>(Цены!AO9-Цены!AO$2)/Цены!AO$2</f>
        <v>-8.2417582417581639E-3</v>
      </c>
      <c r="AO9">
        <f>(Цены!AP9-Цены!AP$2)/Цены!AP$2</f>
        <v>2.6731470230862697E-2</v>
      </c>
      <c r="AP9">
        <f>(Цены!AQ9-Цены!AQ$2)/Цены!AQ$2</f>
        <v>-4.1795665634674919E-2</v>
      </c>
      <c r="AQ9">
        <f>(Цены!AR9-Цены!AR$2)/Цены!AR$2</f>
        <v>3.1678986272439279E-2</v>
      </c>
      <c r="AR9">
        <f>(Цены!AS9-Цены!AS$2)/Цены!AS$2</f>
        <v>-3.5225815162357316E-2</v>
      </c>
      <c r="AS9">
        <f>(Цены!AU9-Цены!AU$2)/Цены!AU$2</f>
        <v>4.1257367387033429E-2</v>
      </c>
      <c r="AT9">
        <f>(Цены!AV9-Цены!AV$2)/Цены!AV$2</f>
        <v>-4.8307591192901858E-2</v>
      </c>
      <c r="AU9">
        <f>(Цены!AW9-Цены!AW$2)/Цены!AW$2</f>
        <v>-6.7483573077606163E-2</v>
      </c>
      <c r="AV9">
        <f>(Цены!AX9-Цены!AX$2)/Цены!AX$2</f>
        <v>1.390728476821192E-2</v>
      </c>
    </row>
    <row r="10" spans="1:48" x14ac:dyDescent="0.2">
      <c r="A10" s="1" t="s">
        <v>73</v>
      </c>
      <c r="B10" s="2">
        <v>8</v>
      </c>
      <c r="C10">
        <f>(Цены!B10-Цены!B$2)/Цены!B$2</f>
        <v>-2.6927587349046996E-2</v>
      </c>
      <c r="D10">
        <f>(Цены!C10-Цены!C$2)/Цены!C$2</f>
        <v>-3.3218785796105287E-2</v>
      </c>
      <c r="E10">
        <f>(Цены!D10-Цены!D$2)/Цены!D$2</f>
        <v>-5.7625994694960193E-2</v>
      </c>
      <c r="F10">
        <f>(Цены!E10-Цены!E$2)/Цены!E$2</f>
        <v>-4.1519953051643195E-2</v>
      </c>
      <c r="G10">
        <f>(Цены!F10-Цены!F$2)/Цены!F$2</f>
        <v>2.3229635693819074E-2</v>
      </c>
      <c r="H10">
        <f>(Цены!G10-Цены!G$2)/Цены!G$2</f>
        <v>-4.8654244306418105E-2</v>
      </c>
      <c r="I10">
        <f>(Цены!H10-Цены!H$2)/Цены!H$2</f>
        <v>9.1529630778778067E-3</v>
      </c>
      <c r="J10">
        <f>(Цены!J10-Цены!J$2)/Цены!J$2</f>
        <v>-5.2375296912114039E-2</v>
      </c>
      <c r="K10">
        <f>(Цены!K10-Цены!K$2)/Цены!K$2</f>
        <v>-4.8120300751879667E-2</v>
      </c>
      <c r="L10">
        <f>(Цены!L10-Цены!L$2)/Цены!L$2</f>
        <v>2.4623422764439972E-2</v>
      </c>
      <c r="M10">
        <f>(Цены!M10-Цены!M$2)/Цены!M$2</f>
        <v>-1.5017188348109403E-2</v>
      </c>
      <c r="N10">
        <f>(Цены!N10-Цены!N$2)/Цены!N$2</f>
        <v>-3.1838235294117737E-2</v>
      </c>
      <c r="O10">
        <f>(Цены!O10-Цены!O$2)/Цены!O$2</f>
        <v>-2.4753694581280745E-2</v>
      </c>
      <c r="P10">
        <f>(Цены!P10-Цены!P$2)/Цены!P$2</f>
        <v>4.8144001378003648E-2</v>
      </c>
      <c r="Q10">
        <f>(Цены!Q10-Цены!Q$2)/Цены!Q$2</f>
        <v>-3.3584519490185129E-2</v>
      </c>
      <c r="R10">
        <f>(Цены!R10-Цены!R$2)/Цены!R$2</f>
        <v>-6.0452094566569844E-2</v>
      </c>
      <c r="S10">
        <f>(Цены!S10-Цены!S$2)/Цены!S$2</f>
        <v>-1.0086455331412192E-2</v>
      </c>
      <c r="T10">
        <f>(Цены!T10-Цены!T$2)/Цены!T$2</f>
        <v>2.1556886227544876E-2</v>
      </c>
      <c r="U10">
        <f>(Цены!U10-Цены!U$2)/Цены!U$2</f>
        <v>-0.11910583304226335</v>
      </c>
      <c r="V10">
        <f>(Цены!V10-Цены!V$2)/Цены!V$2</f>
        <v>-8.1967213114753808E-3</v>
      </c>
      <c r="W10">
        <f>(Цены!W10-Цены!W$2)/Цены!W$2</f>
        <v>0.10526315789473684</v>
      </c>
      <c r="X10">
        <f>(Цены!X10-Цены!X$2)/Цены!X$2</f>
        <v>1.3607815771109481E-2</v>
      </c>
      <c r="Y10">
        <f>(Цены!Y10-Цены!Y$2)/Цены!Y$2</f>
        <v>2.4084961122700636E-2</v>
      </c>
      <c r="Z10">
        <f>(Цены!Z10-Цены!Z$2)/Цены!Z$2</f>
        <v>7.826969427882785E-2</v>
      </c>
      <c r="AA10">
        <f>(Цены!AA10-Цены!AA$2)/Цены!AA$2</f>
        <v>4.44704505558806E-2</v>
      </c>
      <c r="AB10">
        <f>(Цены!AB10-Цены!AB$2)/Цены!AB$2</f>
        <v>-3.3016508254127067E-2</v>
      </c>
      <c r="AC10">
        <f>(Цены!AD10-Цены!AD$2)/Цены!AD$2</f>
        <v>-1.9203413940255983E-2</v>
      </c>
      <c r="AD10">
        <f>(Цены!AE10-Цены!AE$2)/Цены!AE$2</f>
        <v>-1.3612565445026177E-2</v>
      </c>
      <c r="AE10">
        <f>(Цены!AF10-Цены!AF$2)/Цены!AF$2</f>
        <v>-2.6432870976184304E-2</v>
      </c>
      <c r="AF10">
        <f>(Цены!AG10-Цены!AG$2)/Цены!AG$2</f>
        <v>-5.971049457177325E-2</v>
      </c>
      <c r="AG10">
        <f>(Цены!AH10-Цены!AH$2)/Цены!AH$2</f>
        <v>-4.531914893617027E-2</v>
      </c>
      <c r="AH10">
        <f>(Цены!AI10-Цены!AI$2)/Цены!AI$2</f>
        <v>-3.1690140845070373E-2</v>
      </c>
      <c r="AI10">
        <f>(Цены!AJ10-Цены!AJ$2)/Цены!AJ$2</f>
        <v>-1.1461318051575931E-2</v>
      </c>
      <c r="AJ10">
        <f>(Цены!AK10-Цены!AK$2)/Цены!AK$2</f>
        <v>-2.6073353033199513E-3</v>
      </c>
      <c r="AK10">
        <f>(Цены!AL10-Цены!AL$2)/Цены!AL$2</f>
        <v>2.9420417769939025E-4</v>
      </c>
      <c r="AL10">
        <f>(Цены!AM10-Цены!AM$2)/Цены!AM$2</f>
        <v>2.4942388504812254E-2</v>
      </c>
      <c r="AM10">
        <f>(Цены!AN10-Цены!AN$2)/Цены!AN$2</f>
        <v>-3.1907671418873046E-2</v>
      </c>
      <c r="AN10">
        <f>(Цены!AO10-Цены!AO$2)/Цены!AO$2</f>
        <v>-6.868131868131868E-3</v>
      </c>
      <c r="AO10">
        <f>(Цены!AP10-Цены!AP$2)/Цены!AP$2</f>
        <v>2.4301336573511544E-2</v>
      </c>
      <c r="AP10">
        <f>(Цены!AQ10-Цены!AQ$2)/Цены!AQ$2</f>
        <v>-7.5851393188854491E-2</v>
      </c>
      <c r="AQ10">
        <f>(Цены!AR10-Цены!AR$2)/Цены!AR$2</f>
        <v>5.5966209081309365E-2</v>
      </c>
      <c r="AR10">
        <f>(Цены!AS10-Цены!AS$2)/Цены!AS$2</f>
        <v>-4.7174778910416527E-2</v>
      </c>
      <c r="AS10">
        <f>(Цены!AU10-Цены!AU$2)/Цены!AU$2</f>
        <v>7.6620825147347721E-2</v>
      </c>
      <c r="AT10">
        <f>(Цены!AV10-Цены!AV$2)/Цены!AV$2</f>
        <v>-5.0169788585825527E-2</v>
      </c>
      <c r="AU10">
        <f>(Цены!AW10-Цены!AW$2)/Цены!AW$2</f>
        <v>-8.257858284496554E-2</v>
      </c>
      <c r="AV10">
        <f>(Цены!AX10-Цены!AX$2)/Цены!AX$2</f>
        <v>2.1854304635761591E-2</v>
      </c>
    </row>
    <row r="11" spans="1:48" x14ac:dyDescent="0.2">
      <c r="A11" s="1" t="s">
        <v>74</v>
      </c>
      <c r="B11" s="2">
        <v>9</v>
      </c>
      <c r="C11">
        <f>(Цены!B11-Цены!B$2)/Цены!B$2</f>
        <v>-3.2204785734107899E-2</v>
      </c>
      <c r="D11">
        <f>(Цены!C11-Цены!C$2)/Цены!C$2</f>
        <v>-5.2119129438717035E-2</v>
      </c>
      <c r="E11">
        <f>(Цены!D11-Цены!D$2)/Цены!D$2</f>
        <v>-6.830238726790458E-2</v>
      </c>
      <c r="F11">
        <f>(Цены!E11-Цены!E$2)/Цены!E$2</f>
        <v>-4.7681924882629109E-2</v>
      </c>
      <c r="G11">
        <f>(Цены!F11-Цены!F$2)/Цены!F$2</f>
        <v>3.0699959066721245E-2</v>
      </c>
      <c r="H11">
        <f>(Цены!G11-Цены!G$2)/Цены!G$2</f>
        <v>-3.700828157349885E-2</v>
      </c>
      <c r="I11">
        <f>(Цены!H11-Цены!H$2)/Цены!H$2</f>
        <v>-1.2410797393732284E-3</v>
      </c>
      <c r="J11">
        <f>(Цены!J11-Цены!J$2)/Цены!J$2</f>
        <v>-5.3919239904988099E-2</v>
      </c>
      <c r="K11">
        <f>(Цены!K11-Цены!K$2)/Цены!K$2</f>
        <v>-5.3634085213032527E-2</v>
      </c>
      <c r="L11">
        <f>(Цены!L11-Цены!L$2)/Цены!L$2</f>
        <v>3.9169257295122668E-2</v>
      </c>
      <c r="M11">
        <f>(Цены!M11-Цены!M$2)/Цены!M$2</f>
        <v>-1.5379048308304685E-2</v>
      </c>
      <c r="N11">
        <f>(Цены!N11-Цены!N$2)/Цены!N$2</f>
        <v>-3.8308823529411826E-2</v>
      </c>
      <c r="O11">
        <f>(Цены!O11-Цены!O$2)/Цены!O$2</f>
        <v>-1.7241379310344682E-2</v>
      </c>
      <c r="P11">
        <f>(Цены!P11-Цены!P$2)/Цены!P$2</f>
        <v>4.4612867108776218E-2</v>
      </c>
      <c r="Q11">
        <f>(Цены!Q11-Цены!Q$2)/Цены!Q$2</f>
        <v>-3.7119732068099313E-2</v>
      </c>
      <c r="R11">
        <f>(Цены!R11-Цены!R$2)/Цены!R$2</f>
        <v>-5.6615512235586918E-2</v>
      </c>
      <c r="S11">
        <f>(Цены!S11-Цены!S$2)/Цены!S$2</f>
        <v>-1.396253602305492E-2</v>
      </c>
      <c r="T11">
        <f>(Цены!T11-Цены!T$2)/Цены!T$2</f>
        <v>1.8562874251496973E-2</v>
      </c>
      <c r="U11">
        <f>(Цены!U11-Цены!U$2)/Цены!U$2</f>
        <v>-0.11072301781348236</v>
      </c>
      <c r="V11">
        <f>(Цены!V11-Цены!V$2)/Цены!V$2</f>
        <v>-2.4590163934426142E-2</v>
      </c>
      <c r="W11">
        <f>(Цены!W11-Цены!W$2)/Цены!W$2</f>
        <v>7.3684210526315713E-2</v>
      </c>
      <c r="X11">
        <f>(Цены!X11-Цены!X$2)/Цены!X$2</f>
        <v>2.6517794836008253E-2</v>
      </c>
      <c r="Y11">
        <f>(Цены!Y11-Цены!Y$2)/Цены!Y$2</f>
        <v>2.7688223022947198E-2</v>
      </c>
      <c r="Z11">
        <f>(Цены!Z11-Цены!Z$2)/Цены!Z$2</f>
        <v>7.826969427882785E-2</v>
      </c>
      <c r="AA11">
        <f>(Цены!AA11-Цены!AA$2)/Цены!AA$2</f>
        <v>5.0321825629022786E-2</v>
      </c>
      <c r="AB11">
        <f>(Цены!AB11-Цены!AB$2)/Цены!AB$2</f>
        <v>-3.3016508254127067E-2</v>
      </c>
      <c r="AC11">
        <f>(Цены!AD11-Цены!AD$2)/Цены!AD$2</f>
        <v>-2.524893314366989E-2</v>
      </c>
      <c r="AD11">
        <f>(Цены!AE11-Цены!AE$2)/Цены!AE$2</f>
        <v>-1.8848167539267015E-2</v>
      </c>
      <c r="AE11">
        <f>(Цены!AF11-Цены!AF$2)/Цены!AF$2</f>
        <v>-3.2975660821774465E-2</v>
      </c>
      <c r="AF11">
        <f>(Цены!AG11-Цены!AG$2)/Цены!AG$2</f>
        <v>-7.6598311218335435E-2</v>
      </c>
      <c r="AG11">
        <f>(Цены!AH11-Цены!AH$2)/Цены!AH$2</f>
        <v>-5.5319148936170244E-2</v>
      </c>
      <c r="AH11">
        <f>(Цены!AI11-Цены!AI$2)/Цены!AI$2</f>
        <v>-2.1126760563380208E-2</v>
      </c>
      <c r="AI11">
        <f>(Цены!AJ11-Цены!AJ$2)/Цены!AJ$2</f>
        <v>-1.0888252148997135E-2</v>
      </c>
      <c r="AJ11">
        <f>(Цены!AK11-Цены!AK$2)/Цены!AK$2</f>
        <v>-8.691117677733326E-3</v>
      </c>
      <c r="AK11">
        <f>(Цены!AL11-Цены!AL$2)/Цены!AL$2</f>
        <v>-5.5898793762870769E-3</v>
      </c>
      <c r="AL11">
        <f>(Цены!AM11-Цены!AM$2)/Цены!AM$2</f>
        <v>-2.4942388504812254E-2</v>
      </c>
      <c r="AM11">
        <f>(Цены!AN11-Цены!AN$2)/Цены!AN$2</f>
        <v>-3.8696537678207736E-2</v>
      </c>
      <c r="AN11">
        <f>(Цены!AO11-Цены!AO$2)/Цены!AO$2</f>
        <v>-1.3736263736262957E-3</v>
      </c>
      <c r="AO11">
        <f>(Цены!AP11-Цены!AP$2)/Цены!AP$2</f>
        <v>2.4301336573511544E-2</v>
      </c>
      <c r="AP11">
        <f>(Цены!AQ11-Цены!AQ$2)/Цены!AQ$2</f>
        <v>-6.1919504643962849E-2</v>
      </c>
      <c r="AQ11">
        <f>(Цены!AR11-Цены!AR$2)/Цены!AR$2</f>
        <v>9.8204857444561741E-2</v>
      </c>
      <c r="AR11">
        <f>(Цены!AS11-Цены!AS$2)/Цены!AS$2</f>
        <v>-4.3853372038074726E-2</v>
      </c>
      <c r="AS11">
        <f>(Цены!AU11-Цены!AU$2)/Цены!AU$2</f>
        <v>9.9214145383104219E-2</v>
      </c>
      <c r="AT11">
        <f>(Цены!AV11-Цены!AV$2)/Цены!AV$2</f>
        <v>-6.2328842151385823E-2</v>
      </c>
      <c r="AU11">
        <f>(Цены!AW11-Цены!AW$2)/Цены!AW$2</f>
        <v>-6.0024862369028681E-2</v>
      </c>
      <c r="AV11">
        <f>(Цены!AX11-Цены!AX$2)/Цены!AX$2</f>
        <v>1.456953642384106E-2</v>
      </c>
    </row>
    <row r="12" spans="1:48" x14ac:dyDescent="0.2">
      <c r="A12" s="1" t="s">
        <v>75</v>
      </c>
      <c r="B12" s="2">
        <v>10</v>
      </c>
      <c r="C12">
        <f>(Цены!B12-Цены!B$2)/Цены!B$2</f>
        <v>-3.2518105400735894E-2</v>
      </c>
      <c r="D12">
        <f>(Цены!C12-Цены!C$2)/Цены!C$2</f>
        <v>-5.6701030927835086E-2</v>
      </c>
      <c r="E12">
        <f>(Цены!D12-Цены!D$2)/Цены!D$2</f>
        <v>-6.3660477453581055E-2</v>
      </c>
      <c r="F12">
        <f>(Цены!E12-Цены!E$2)/Цены!E$2</f>
        <v>-3.7852112676056336E-2</v>
      </c>
      <c r="G12">
        <f>(Цены!F12-Цены!F$2)/Цены!F$2</f>
        <v>1.2075317232910356E-2</v>
      </c>
      <c r="H12">
        <f>(Цены!G12-Цены!G$2)/Цены!G$2</f>
        <v>-2.1092132505175925E-2</v>
      </c>
      <c r="I12">
        <f>(Цены!H12-Цены!H$2)/Цены!H$2</f>
        <v>-1.2410797393732504E-2</v>
      </c>
      <c r="J12">
        <f>(Цены!J12-Цены!J$2)/Цены!J$2</f>
        <v>-6.0688836104513089E-2</v>
      </c>
      <c r="K12">
        <f>(Цены!K12-Цены!K$2)/Цены!K$2</f>
        <v>-5.0125313283208017E-2</v>
      </c>
      <c r="L12">
        <f>(Цены!L12-Цены!L$2)/Цены!L$2</f>
        <v>4.7064970349277632E-2</v>
      </c>
      <c r="M12">
        <f>(Цены!M12-Цены!M$2)/Цены!M$2</f>
        <v>-2.0264157770942724E-2</v>
      </c>
      <c r="N12">
        <f>(Цены!N12-Цены!N$2)/Цены!N$2</f>
        <v>-4.7941176470588313E-2</v>
      </c>
      <c r="O12">
        <f>(Цены!O12-Цены!O$2)/Цены!O$2</f>
        <v>-9.9753694581280195E-3</v>
      </c>
      <c r="P12">
        <f>(Цены!P12-Цены!P$2)/Цены!P$2</f>
        <v>4.8574627508397215E-2</v>
      </c>
      <c r="Q12">
        <f>(Цены!Q12-Цены!Q$2)/Цены!Q$2</f>
        <v>-5.5726114057121551E-2</v>
      </c>
      <c r="R12">
        <f>(Цены!R12-Цены!R$2)/Цены!R$2</f>
        <v>-4.0958108668602243E-2</v>
      </c>
      <c r="S12">
        <f>(Цены!S12-Цены!S$2)/Цены!S$2</f>
        <v>-1.7824207492795417E-2</v>
      </c>
      <c r="T12">
        <f>(Цены!T12-Цены!T$2)/Цены!T$2</f>
        <v>2.047904191616759E-2</v>
      </c>
      <c r="U12">
        <f>(Цены!U12-Цены!U$2)/Цены!U$2</f>
        <v>-0.11631156129933636</v>
      </c>
      <c r="V12">
        <f>(Цены!V12-Цены!V$2)/Цены!V$2</f>
        <v>-2.5409836065573666E-2</v>
      </c>
      <c r="W12">
        <f>(Цены!W12-Цены!W$2)/Цены!W$2</f>
        <v>9.7105263157894681E-2</v>
      </c>
      <c r="X12">
        <f>(Цены!X12-Цены!X$2)/Цены!X$2</f>
        <v>2.930914166085128E-2</v>
      </c>
      <c r="Y12">
        <f>(Цены!Y12-Цены!Y$2)/Цены!Y$2</f>
        <v>3.5558505594538298E-2</v>
      </c>
      <c r="Z12">
        <f>(Цены!Z12-Цены!Z$2)/Цены!Z$2</f>
        <v>8.7995264070362247E-2</v>
      </c>
      <c r="AA12">
        <f>(Цены!AA12-Цены!AA$2)/Цены!AA$2</f>
        <v>3.8033937975424224E-2</v>
      </c>
      <c r="AB12">
        <f>(Цены!AB12-Цены!AB$2)/Цены!AB$2</f>
        <v>-1.200600300150075E-2</v>
      </c>
      <c r="AC12">
        <f>(Цены!AD12-Цены!AD$2)/Цены!AD$2</f>
        <v>-2.7382645803698421E-2</v>
      </c>
      <c r="AD12">
        <f>(Цены!AE12-Цены!AE$2)/Цены!AE$2</f>
        <v>-1.7801047120418849E-2</v>
      </c>
      <c r="AE12">
        <f>(Цены!AF12-Цены!AF$2)/Цены!AF$2</f>
        <v>-2.9049986914420366E-2</v>
      </c>
      <c r="AF12">
        <f>(Цены!AG12-Цены!AG$2)/Цены!AG$2</f>
        <v>-7.7804583835946947E-2</v>
      </c>
      <c r="AG12">
        <f>(Цены!AH12-Цены!AH$2)/Цены!AH$2</f>
        <v>-8.085106382978717E-2</v>
      </c>
      <c r="AH12">
        <f>(Цены!AI12-Цены!AI$2)/Цены!AI$2</f>
        <v>-2.7464788732394281E-2</v>
      </c>
      <c r="AI12">
        <f>(Цены!AJ12-Цены!AJ$2)/Цены!AJ$2</f>
        <v>-1.4040114613180516E-2</v>
      </c>
      <c r="AJ12">
        <f>(Цены!AK12-Цены!AK$2)/Цены!AK$2</f>
        <v>-1.0950808273943981E-2</v>
      </c>
      <c r="AK12">
        <f>(Цены!AL12-Цены!AL$2)/Цены!AL$2</f>
        <v>-1.265077964107077E-2</v>
      </c>
      <c r="AL12">
        <f>(Цены!AM12-Цены!AM$2)/Цены!AM$2</f>
        <v>-3.0635759793954182E-2</v>
      </c>
      <c r="AM12">
        <f>(Цены!AN12-Цены!AN$2)/Цены!AN$2</f>
        <v>-4.005431093007468E-2</v>
      </c>
      <c r="AN12">
        <f>(Цены!AO12-Цены!AO$2)/Цены!AO$2</f>
        <v>-1.098901098901095E-2</v>
      </c>
      <c r="AO12">
        <f>(Цены!AP12-Цены!AP$2)/Цены!AP$2</f>
        <v>2.3086269744835967E-2</v>
      </c>
      <c r="AP12">
        <f>(Цены!AQ12-Цены!AQ$2)/Цены!AQ$2</f>
        <v>-3.2507739938080496E-2</v>
      </c>
      <c r="AQ12">
        <f>(Цены!AR12-Цены!AR$2)/Цены!AR$2</f>
        <v>0.1615628299894403</v>
      </c>
      <c r="AR12">
        <f>(Цены!AS12-Цены!AS$2)/Цены!AS$2</f>
        <v>-6.2458651184770203E-2</v>
      </c>
      <c r="AS12">
        <f>(Цены!AU12-Цены!AU$2)/Цены!AU$2</f>
        <v>7.9567779960707352E-2</v>
      </c>
      <c r="AT12">
        <f>(Цены!AV12-Цены!AV$2)/Цены!AV$2</f>
        <v>-9.3876656807974662E-2</v>
      </c>
      <c r="AU12">
        <f>(Цены!AW12-Цены!AW$2)/Цены!AW$2</f>
        <v>-7.4409518735571029E-2</v>
      </c>
      <c r="AV12">
        <f>(Цены!AX12-Цены!AX$2)/Цены!AX$2</f>
        <v>9.9337748344370865E-3</v>
      </c>
    </row>
    <row r="13" spans="1:48" x14ac:dyDescent="0.2">
      <c r="A13" s="1" t="s">
        <v>76</v>
      </c>
      <c r="B13" s="2">
        <v>11</v>
      </c>
      <c r="C13">
        <f>(Цены!B13-Цены!B$2)/Цены!B$2</f>
        <v>-4.1465619880580395E-2</v>
      </c>
      <c r="D13">
        <f>(Цены!C13-Цены!C$2)/Цены!C$2</f>
        <v>-6.8155784650630047E-2</v>
      </c>
      <c r="E13">
        <f>(Цены!D13-Цены!D$2)/Цены!D$2</f>
        <v>-6.750663129973479E-2</v>
      </c>
      <c r="F13">
        <f>(Цены!E13-Цены!E$2)/Цены!E$2</f>
        <v>-4.6361502347417843E-2</v>
      </c>
      <c r="G13">
        <f>(Цены!F13-Цены!F$2)/Цены!F$2</f>
        <v>-3.274662300450266E-3</v>
      </c>
      <c r="H13">
        <f>(Цены!G13-Цены!G$2)/Цены!G$2</f>
        <v>-3.3385093167701808E-2</v>
      </c>
      <c r="I13">
        <f>(Цены!H13-Цены!H$2)/Цены!H$2</f>
        <v>-7.2913434688177447E-3</v>
      </c>
      <c r="J13">
        <f>(Цены!J13-Цены!J$2)/Цены!J$2</f>
        <v>-8.5035629453681733E-2</v>
      </c>
      <c r="K13">
        <f>(Цены!K13-Цены!K$2)/Цены!K$2</f>
        <v>-7.3057644110275627E-2</v>
      </c>
      <c r="L13">
        <f>(Цены!L13-Цены!L$2)/Цены!L$2</f>
        <v>4.2078424201259207E-2</v>
      </c>
      <c r="M13">
        <f>(Цены!M13-Цены!M$2)/Цены!M$2</f>
        <v>-3.1662746517097884E-2</v>
      </c>
      <c r="N13">
        <f>(Цены!N13-Цены!N$2)/Цены!N$2</f>
        <v>-6.3235294117647015E-2</v>
      </c>
      <c r="O13">
        <f>(Цены!O13-Цены!O$2)/Цены!O$2</f>
        <v>-3.1527093596059035E-2</v>
      </c>
      <c r="P13">
        <f>(Цены!P13-Цены!P$2)/Цены!P$2</f>
        <v>4.3407113943674157E-2</v>
      </c>
      <c r="Q13">
        <f>(Цены!Q13-Цены!Q$2)/Цены!Q$2</f>
        <v>-7.6193134245046035E-2</v>
      </c>
      <c r="R13">
        <f>(Цены!R13-Цены!R$2)/Цены!R$2</f>
        <v>-5.8689340522604751E-2</v>
      </c>
      <c r="S13">
        <f>(Цены!S13-Цены!S$2)/Цены!S$2</f>
        <v>-2.1887608069164358E-2</v>
      </c>
      <c r="T13">
        <f>(Цены!T13-Цены!T$2)/Цены!T$2</f>
        <v>1.317365269461071E-2</v>
      </c>
      <c r="U13">
        <f>(Цены!U13-Цены!U$2)/Цены!U$2</f>
        <v>-0.13377575969263011</v>
      </c>
      <c r="V13">
        <f>(Цены!V13-Цены!V$2)/Цены!V$2</f>
        <v>-2.9713114754098276E-2</v>
      </c>
      <c r="W13">
        <f>(Цены!W13-Цены!W$2)/Цены!W$2</f>
        <v>8.1578947368421084E-2</v>
      </c>
      <c r="X13">
        <f>(Цены!X13-Цены!X$2)/Цены!X$2</f>
        <v>1.3607815771109481E-2</v>
      </c>
      <c r="Y13">
        <f>(Цены!Y13-Цены!Y$2)/Цены!Y$2</f>
        <v>2.7403754978190715E-2</v>
      </c>
      <c r="Z13">
        <f>(Цены!Z13-Цены!Z$2)/Цены!Z$2</f>
        <v>8.7149562349359333E-2</v>
      </c>
      <c r="AA13">
        <f>(Цены!AA13-Цены!AA$2)/Цены!AA$2</f>
        <v>2.516091281451131E-2</v>
      </c>
      <c r="AB13">
        <f>(Цены!AB13-Цены!AB$2)/Цены!AB$2</f>
        <v>-1.0505252626313157E-2</v>
      </c>
      <c r="AC13">
        <f>(Цены!AD13-Цены!AD$2)/Цены!AD$2</f>
        <v>-2.0270270270270251E-2</v>
      </c>
      <c r="AD13">
        <f>(Цены!AE13-Цены!AE$2)/Цены!AE$2</f>
        <v>-3.8743455497382201E-2</v>
      </c>
      <c r="AE13">
        <f>(Цены!AF13-Цены!AF$2)/Цены!AF$2</f>
        <v>-2.7741428945302335E-2</v>
      </c>
      <c r="AF13">
        <f>(Цены!AG13-Цены!AG$2)/Цены!AG$2</f>
        <v>-7.1773220747889055E-2</v>
      </c>
      <c r="AG13">
        <f>(Цены!AH13-Цены!AH$2)/Цены!AH$2</f>
        <v>-0.11212765957446816</v>
      </c>
      <c r="AH13">
        <f>(Цены!AI13-Цены!AI$2)/Цены!AI$2</f>
        <v>-2.8873239436619728E-2</v>
      </c>
      <c r="AI13">
        <f>(Цены!AJ13-Цены!AJ$2)/Цены!AJ$2</f>
        <v>-2.4355300859598854E-2</v>
      </c>
      <c r="AJ13">
        <f>(Цены!AK13-Цены!AK$2)/Цены!AK$2</f>
        <v>-7.8220059099600083E-3</v>
      </c>
      <c r="AK13">
        <f>(Цены!AL13-Цены!AL$2)/Цены!AL$2</f>
        <v>-1.6769638128861397E-2</v>
      </c>
      <c r="AL13">
        <f>(Цены!AM13-Цены!AM$2)/Цены!AM$2</f>
        <v>-4.0938050698115763E-2</v>
      </c>
      <c r="AM13">
        <f>(Цены!AN13-Цены!AN$2)/Цены!AN$2</f>
        <v>-4.005431093007468E-2</v>
      </c>
      <c r="AN13">
        <f>(Цены!AO13-Цены!AO$2)/Цены!AO$2</f>
        <v>-1.098901098901095E-2</v>
      </c>
      <c r="AO13">
        <f>(Цены!AP13-Цены!AP$2)/Цены!AP$2</f>
        <v>3.6452004860267314E-3</v>
      </c>
      <c r="AP13">
        <f>(Цены!AQ13-Цены!AQ$2)/Цены!AQ$2</f>
        <v>-3.5603715170278639E-2</v>
      </c>
      <c r="AQ13">
        <f>(Цены!AR13-Цены!AR$2)/Цены!AR$2</f>
        <v>0.10876451953537483</v>
      </c>
      <c r="AR13">
        <f>(Цены!AS13-Цены!AS$2)/Цены!AS$2</f>
        <v>-8.3723756160129725E-2</v>
      </c>
      <c r="AS13">
        <f>(Цены!AU13-Цены!AU$2)/Цены!AU$2</f>
        <v>8.0550098231827141E-2</v>
      </c>
      <c r="AT13">
        <f>(Цены!AV13-Цены!AV$2)/Цены!AV$2</f>
        <v>-3.9982473436301957E-2</v>
      </c>
      <c r="AU13">
        <f>(Цены!AW13-Цены!AW$2)/Цены!AW$2</f>
        <v>-3.5340081690641144E-2</v>
      </c>
      <c r="AV13">
        <f>(Цены!AX13-Цены!AX$2)/Цены!AX$2</f>
        <v>9.9337748344370865E-3</v>
      </c>
    </row>
    <row r="14" spans="1:48" x14ac:dyDescent="0.2">
      <c r="A14" s="1" t="s">
        <v>77</v>
      </c>
      <c r="B14" s="2">
        <v>12</v>
      </c>
      <c r="C14">
        <f>(Цены!B14-Цены!B$2)/Цены!B$2</f>
        <v>-4.3444009775573576E-2</v>
      </c>
      <c r="D14">
        <f>(Цены!C14-Цены!C$2)/Цены!C$2</f>
        <v>-6.3573883161511996E-2</v>
      </c>
      <c r="E14">
        <f>(Цены!D14-Цены!D$2)/Цены!D$2</f>
        <v>-7.3474801061008038E-2</v>
      </c>
      <c r="F14">
        <f>(Цены!E14-Цены!E$2)/Цены!E$2</f>
        <v>-5.7805164319248828E-2</v>
      </c>
      <c r="G14">
        <f>(Цены!F14-Цены!F$2)/Цены!F$2</f>
        <v>1.7191977077363897E-2</v>
      </c>
      <c r="H14">
        <f>(Цены!G14-Цены!G$2)/Цены!G$2</f>
        <v>-2.9503105590062053E-2</v>
      </c>
      <c r="I14">
        <f>(Цены!H14-Цены!H$2)/Цены!H$2</f>
        <v>-7.2913434688177447E-3</v>
      </c>
      <c r="J14">
        <f>(Цены!J14-Цены!J$2)/Цены!J$2</f>
        <v>-0.10332541567695962</v>
      </c>
      <c r="K14">
        <f>(Цены!K14-Цены!K$2)/Цены!K$2</f>
        <v>-9.7744360902255634E-2</v>
      </c>
      <c r="L14">
        <f>(Цены!L14-Цены!L$2)/Цены!L$2</f>
        <v>3.8961310379059054E-2</v>
      </c>
      <c r="M14">
        <f>(Цены!M14-Цены!M$2)/Цены!M$2</f>
        <v>-1.049393884566685E-2</v>
      </c>
      <c r="N14">
        <f>(Цены!N14-Цены!N$2)/Цены!N$2</f>
        <v>-6.0220588235294102E-2</v>
      </c>
      <c r="O14">
        <f>(Цены!O14-Цены!O$2)/Цены!O$2</f>
        <v>-5.9975369458127988E-2</v>
      </c>
      <c r="P14">
        <f>(Цены!P14-Цены!P$2)/Цены!P$2</f>
        <v>4.7971750925846247E-2</v>
      </c>
      <c r="Q14">
        <f>(Цены!Q14-Цены!Q$2)/Цены!Q$2</f>
        <v>-7.9542283003070036E-2</v>
      </c>
      <c r="R14">
        <f>(Цены!R14-Цены!R$2)/Цены!R$2</f>
        <v>-5.7963500622148466E-2</v>
      </c>
      <c r="S14">
        <f>(Цены!S14-Цены!S$2)/Цены!S$2</f>
        <v>-2.3501440922190107E-2</v>
      </c>
      <c r="T14">
        <f>(Цены!T14-Цены!T$2)/Цены!T$2</f>
        <v>-1.317365269461071E-2</v>
      </c>
      <c r="U14">
        <f>(Цены!U14-Цены!U$2)/Цены!U$2</f>
        <v>-0.12190010478519037</v>
      </c>
      <c r="V14">
        <f>(Цены!V14-Цены!V$2)/Цены!V$2</f>
        <v>-5.4508196721311408E-2</v>
      </c>
      <c r="W14">
        <f>(Цены!W14-Цены!W$2)/Цены!W$2</f>
        <v>8.7368421052631581E-2</v>
      </c>
      <c r="X14">
        <f>(Цены!X14-Цены!X$2)/Цены!X$2</f>
        <v>1.7794836008373921E-2</v>
      </c>
      <c r="Y14">
        <f>(Цены!Y14-Цены!Y$2)/Цены!Y$2</f>
        <v>4.5514887161008108E-3</v>
      </c>
      <c r="Z14">
        <f>(Цены!Z14-Цены!Z$2)/Цены!Z$2</f>
        <v>9.2012347245126525E-2</v>
      </c>
      <c r="AA14">
        <f>(Цены!AA14-Цены!AA$2)/Цены!AA$2</f>
        <v>1.14101813926272E-2</v>
      </c>
      <c r="AB14">
        <f>(Цены!AB14-Цены!AB$2)/Цены!AB$2</f>
        <v>-9.5047523761880946E-3</v>
      </c>
      <c r="AC14">
        <f>(Цены!AD14-Цены!AD$2)/Цены!AD$2</f>
        <v>-7.82361308677091E-3</v>
      </c>
      <c r="AD14">
        <f>(Цены!AE14-Цены!AE$2)/Цены!AE$2</f>
        <v>-7.7486910994764402E-2</v>
      </c>
      <c r="AE14">
        <f>(Цены!AF14-Цены!AF$2)/Цены!AF$2</f>
        <v>-2.7741428945302335E-2</v>
      </c>
      <c r="AF14">
        <f>(Цены!AG14-Цены!AG$2)/Цены!AG$2</f>
        <v>-6.4535585042219637E-2</v>
      </c>
      <c r="AG14">
        <f>(Цены!AH14-Цены!AH$2)/Цены!AH$2</f>
        <v>-0.11957446808510633</v>
      </c>
      <c r="AH14">
        <f>(Цены!AI14-Цены!AI$2)/Цены!AI$2</f>
        <v>-4.2957746478873203E-2</v>
      </c>
      <c r="AI14">
        <f>(Цены!AJ14-Цены!AJ$2)/Цены!AJ$2</f>
        <v>-1.9770773638968481E-2</v>
      </c>
      <c r="AJ14">
        <f>(Цены!AK14-Цены!AK$2)/Цены!AK$2</f>
        <v>-1.5644011819920633E-3</v>
      </c>
      <c r="AK14">
        <f>(Цены!AL14-Цены!AL$2)/Цены!AL$2</f>
        <v>-1.706384230656062E-2</v>
      </c>
      <c r="AL14">
        <f>(Цены!AM14-Цены!AM$2)/Цены!AM$2</f>
        <v>-2.684017893452623E-2</v>
      </c>
      <c r="AM14">
        <f>(Цены!AN14-Цены!AN$2)/Цены!AN$2</f>
        <v>-4.0733197556008148E-2</v>
      </c>
      <c r="AN14">
        <f>(Цены!AO14-Цены!AO$2)/Цены!AO$2</f>
        <v>-2.335164835164839E-2</v>
      </c>
      <c r="AO14">
        <f>(Цены!AP14-Цены!AP$2)/Цены!AP$2</f>
        <v>2.4301336573511541E-3</v>
      </c>
      <c r="AP14">
        <f>(Цены!AQ14-Цены!AQ$2)/Цены!AQ$2</f>
        <v>-4.0247678018575851E-2</v>
      </c>
      <c r="AQ14">
        <f>(Цены!AR14-Цены!AR$2)/Цены!AR$2</f>
        <v>9.5036958817317843E-2</v>
      </c>
      <c r="AR14">
        <f>(Цены!AS14-Цены!AS$2)/Цены!AS$2</f>
        <v>-6.7778302842098112E-2</v>
      </c>
      <c r="AS14">
        <f>(Цены!AU14-Цены!AU$2)/Цены!AU$2</f>
        <v>0.11984282907662086</v>
      </c>
      <c r="AT14">
        <f>(Цены!AV14-Цены!AV$2)/Цены!AV$2</f>
        <v>-6.3424252382517324E-2</v>
      </c>
      <c r="AU14">
        <f>(Цены!AW14-Цены!AW$2)/Цены!AW$2</f>
        <v>-4.0845320546972153E-2</v>
      </c>
      <c r="AV14">
        <f>(Цены!AX14-Цены!AX$2)/Цены!AX$2</f>
        <v>1.1258278145695364E-2</v>
      </c>
    </row>
    <row r="15" spans="1:48" x14ac:dyDescent="0.2">
      <c r="A15" s="1" t="s">
        <v>78</v>
      </c>
      <c r="B15" s="2">
        <v>13</v>
      </c>
      <c r="C15">
        <f>(Цены!B15-Цены!B$2)/Цены!B$2</f>
        <v>-3.834137520477672E-2</v>
      </c>
      <c r="D15">
        <f>(Цены!C15-Цены!C$2)/Цены!C$2</f>
        <v>-4.6449026345933481E-2</v>
      </c>
      <c r="E15">
        <f>(Цены!D15-Цены!D$2)/Цены!D$2</f>
        <v>-7.7188328912466936E-2</v>
      </c>
      <c r="F15">
        <f>(Цены!E15-Цены!E$2)/Цены!E$2</f>
        <v>-5.1643192488262914E-2</v>
      </c>
      <c r="G15">
        <f>(Цены!F15-Цены!F$2)/Цены!F$2</f>
        <v>1.8931641424478101E-2</v>
      </c>
      <c r="H15">
        <f>(Цены!G15-Цены!G$2)/Цены!G$2</f>
        <v>-2.1609730848861197E-2</v>
      </c>
      <c r="I15">
        <f>(Цены!H15-Цены!H$2)/Цены!H$2</f>
        <v>-1.0859447719514922E-3</v>
      </c>
      <c r="J15">
        <f>(Цены!J15-Цены!J$2)/Цены!J$2</f>
        <v>-9.6199524940617578E-2</v>
      </c>
      <c r="K15">
        <f>(Цены!K15-Цены!K$2)/Цены!K$2</f>
        <v>-9.2731829573934832E-2</v>
      </c>
      <c r="L15">
        <f>(Цены!L15-Цены!L$2)/Цены!L$2</f>
        <v>3.1688393113717704E-2</v>
      </c>
      <c r="M15">
        <f>(Цены!M15-Цены!M$2)/Цены!M$2</f>
        <v>3.980459562149324E-3</v>
      </c>
      <c r="N15">
        <f>(Цены!N15-Цены!N$2)/Цены!N$2</f>
        <v>-6.6176470588235295E-2</v>
      </c>
      <c r="O15">
        <f>(Цены!O15-Цены!O$2)/Цены!O$2</f>
        <v>-3.4482758620689578E-2</v>
      </c>
      <c r="P15">
        <f>(Цены!P15-Цены!P$2)/Цены!P$2</f>
        <v>5.2794763586254373E-2</v>
      </c>
      <c r="Q15">
        <f>(Цены!Q15-Цены!Q$2)/Цены!Q$2</f>
        <v>-5.6656433156572608E-2</v>
      </c>
      <c r="R15">
        <f>(Цены!R15-Цены!R$2)/Цены!R$2</f>
        <v>-6.6880962256325172E-2</v>
      </c>
      <c r="S15">
        <f>(Цены!S15-Цены!S$2)/Цены!S$2</f>
        <v>-2.0345821325648564E-2</v>
      </c>
      <c r="T15">
        <f>(Цены!T15-Цены!T$2)/Цены!T$2</f>
        <v>-2.0958083832335328E-2</v>
      </c>
      <c r="U15">
        <f>(Цены!U15-Цены!U$2)/Цены!U$2</f>
        <v>-0.11281872162067762</v>
      </c>
      <c r="V15">
        <f>(Цены!V15-Цены!V$2)/Цены!V$2</f>
        <v>-6.6803278688524551E-2</v>
      </c>
      <c r="W15">
        <f>(Цены!W15-Цены!W$2)/Цены!W$2</f>
        <v>8.2105263157894667E-2</v>
      </c>
      <c r="X15">
        <f>(Цены!X15-Цены!X$2)/Цены!X$2</f>
        <v>2.0586182833216945E-2</v>
      </c>
      <c r="Y15">
        <f>(Цены!Y15-Цены!Y$2)/Цены!Y$2</f>
        <v>3.223971173904864E-3</v>
      </c>
      <c r="Z15">
        <f>(Цены!Z15-Цены!Z$2)/Цены!Z$2</f>
        <v>6.9812677068797818E-2</v>
      </c>
      <c r="AA15">
        <f>(Цены!AA15-Цены!AA$2)/Цены!AA$2</f>
        <v>1.7554125219425567E-3</v>
      </c>
      <c r="AB15">
        <f>(Цены!AB15-Цены!AB$2)/Цены!AB$2</f>
        <v>-1.4507253626813406E-2</v>
      </c>
      <c r="AC15">
        <f>(Цены!AD15-Цены!AD$2)/Цены!AD$2</f>
        <v>-7.82361308677091E-3</v>
      </c>
      <c r="AD15">
        <f>(Цены!AE15-Цены!AE$2)/Цены!AE$2</f>
        <v>-0.10575916230366492</v>
      </c>
      <c r="AE15">
        <f>(Цены!AF15-Цены!AF$2)/Цены!AF$2</f>
        <v>-3.1667102852656427E-2</v>
      </c>
      <c r="AF15">
        <f>(Цены!AG15-Цены!AG$2)/Цены!AG$2</f>
        <v>-6.6948130277442841E-2</v>
      </c>
      <c r="AG15">
        <f>(Цены!AH15-Цены!AH$2)/Цены!AH$2</f>
        <v>-6.7021276595744653E-2</v>
      </c>
      <c r="AH15">
        <f>(Цены!AI15-Цены!AI$2)/Цены!AI$2</f>
        <v>-3.7323943661971788E-2</v>
      </c>
      <c r="AI15">
        <f>(Цены!AJ15-Цены!AJ$2)/Цены!AJ$2</f>
        <v>-2.5787965616045846E-2</v>
      </c>
      <c r="AJ15">
        <f>(Цены!AK15-Цены!AK$2)/Цены!AK$2</f>
        <v>5.2146706066402118E-4</v>
      </c>
      <c r="AK15">
        <f>(Цены!AL15-Цены!AL$2)/Цены!AL$2</f>
        <v>-1.7358046484260009E-2</v>
      </c>
      <c r="AL15">
        <f>(Цены!AM15-Цены!AM$2)/Цены!AM$2</f>
        <v>-6.1000406669377796E-2</v>
      </c>
      <c r="AM15">
        <f>(Цены!AN15-Цены!AN$2)/Цены!AN$2</f>
        <v>-4.9558723693143243E-2</v>
      </c>
      <c r="AN15">
        <f>(Цены!AO15-Цены!AO$2)/Цены!AO$2</f>
        <v>-2.7472527472527472E-2</v>
      </c>
      <c r="AO15">
        <f>(Цены!AP15-Цены!AP$2)/Цены!AP$2</f>
        <v>1.215066828675577E-3</v>
      </c>
      <c r="AP15">
        <f>(Цены!AQ15-Цены!AQ$2)/Цены!AQ$2</f>
        <v>-4.0247678018575851E-2</v>
      </c>
      <c r="AQ15">
        <f>(Цены!AR15-Цены!AR$2)/Цены!AR$2</f>
        <v>0.12671594508975711</v>
      </c>
      <c r="AR15">
        <f>(Цены!AS15-Цены!AS$2)/Цены!AS$2</f>
        <v>-5.9798825356105964E-2</v>
      </c>
      <c r="AS15">
        <f>(Цены!AU15-Цены!AU$2)/Цены!AU$2</f>
        <v>0.12770137524557956</v>
      </c>
      <c r="AT15">
        <f>(Цены!AV15-Цены!AV$2)/Цены!AV$2</f>
        <v>-2.5084894292912763E-2</v>
      </c>
      <c r="AU15">
        <f>(Цены!AW15-Цены!AW$2)/Цены!AW$2</f>
        <v>-4.4397087551056688E-2</v>
      </c>
      <c r="AV15">
        <f>(Цены!AX15-Цены!AX$2)/Цены!AX$2</f>
        <v>1.1258278145695364E-2</v>
      </c>
    </row>
    <row r="16" spans="1:48" x14ac:dyDescent="0.2">
      <c r="A16" s="1" t="s">
        <v>79</v>
      </c>
      <c r="B16" s="2">
        <v>14</v>
      </c>
      <c r="C16">
        <f>(Цены!B16-Цены!B$2)/Цены!B$2</f>
        <v>-4.7414217551272453E-2</v>
      </c>
      <c r="D16">
        <f>(Цены!C16-Цены!C$2)/Цены!C$2</f>
        <v>-5.2176403207330961E-2</v>
      </c>
      <c r="E16">
        <f>(Цены!D16-Цены!D$2)/Цены!D$2</f>
        <v>-8.4084880636604811E-2</v>
      </c>
      <c r="F16">
        <f>(Цены!E16-Цены!E$2)/Цены!E$2</f>
        <v>-6.147300469483568E-2</v>
      </c>
      <c r="G16">
        <f>(Цены!F16-Цены!F$2)/Цены!F$2</f>
        <v>-5.3213262382316821E-3</v>
      </c>
      <c r="H16">
        <f>(Цены!G16-Цены!G$2)/Цены!G$2</f>
        <v>-1.7210144927536173E-2</v>
      </c>
      <c r="I16">
        <f>(Цены!H16-Цены!H$2)/Цены!H$2</f>
        <v>-1.923673596028537E-2</v>
      </c>
      <c r="J16">
        <f>(Цены!J16-Цены!J$2)/Цены!J$2</f>
        <v>-0.12802850356294532</v>
      </c>
      <c r="K16">
        <f>(Цены!K16-Цены!K$2)/Цены!K$2</f>
        <v>-0.11278195488721804</v>
      </c>
      <c r="L16">
        <f>(Цены!L16-Цены!L$2)/Цены!L$2</f>
        <v>7.7922620758117721E-3</v>
      </c>
      <c r="M16">
        <f>(Цены!M16-Цены!M$2)/Цены!M$2</f>
        <v>4.1613895422470681E-3</v>
      </c>
      <c r="N16">
        <f>(Цены!N16-Цены!N$2)/Цены!N$2</f>
        <v>-6.985294117647059E-2</v>
      </c>
      <c r="O16">
        <f>(Цены!O16-Цены!O$2)/Цены!O$2</f>
        <v>-4.6059113300492463E-2</v>
      </c>
      <c r="P16">
        <f>(Цены!P16-Цены!P$2)/Цены!P$2</f>
        <v>5.9254155542158259E-2</v>
      </c>
      <c r="Q16">
        <f>(Цены!Q16-Цены!Q$2)/Цены!Q$2</f>
        <v>-7.8984091543399346E-2</v>
      </c>
      <c r="R16">
        <f>(Цены!R16-Цены!R$2)/Цены!R$2</f>
        <v>-8.4508502695976775E-2</v>
      </c>
      <c r="S16">
        <f>(Цены!S16-Цены!S$2)/Цены!S$2</f>
        <v>-2.1167146974063571E-2</v>
      </c>
      <c r="T16">
        <f>(Цены!T16-Цены!T$2)/Цены!T$2</f>
        <v>-4.1916167664670656E-2</v>
      </c>
      <c r="U16">
        <f>(Цены!U16-Цены!U$2)/Цены!U$2</f>
        <v>-0.1100244498777506</v>
      </c>
      <c r="V16">
        <f>(Цены!V16-Цены!V$2)/Цены!V$2</f>
        <v>-7.7254098360655665E-2</v>
      </c>
      <c r="W16">
        <f>(Цены!W16-Цены!W$2)/Цены!W$2</f>
        <v>5.7894736842105339E-2</v>
      </c>
      <c r="X16">
        <f>(Цены!X16-Цены!X$2)/Цены!X$2</f>
        <v>1.2561060711793321E-2</v>
      </c>
      <c r="Y16">
        <f>(Цены!Y16-Цены!Y$2)/Цены!Y$2</f>
        <v>1.5550919780011351E-2</v>
      </c>
      <c r="Z16">
        <f>(Цены!Z16-Цены!Z$2)/Цены!Z$2</f>
        <v>6.5584168463782802E-2</v>
      </c>
      <c r="AA16">
        <f>(Цены!AA16-Цены!AA$2)/Цены!AA$2</f>
        <v>1.2873025160912748E-2</v>
      </c>
      <c r="AB16">
        <f>(Цены!AB16-Цены!AB$2)/Цены!AB$2</f>
        <v>-1.1005502751375688E-2</v>
      </c>
      <c r="AC16">
        <f>(Цены!AD16-Цены!AD$2)/Цены!AD$2</f>
        <v>-7.82361308677091E-3</v>
      </c>
      <c r="AD16">
        <f>(Цены!AE16-Цены!AE$2)/Цены!AE$2</f>
        <v>-0.12460732984293194</v>
      </c>
      <c r="AE16">
        <f>(Цены!AF16-Цены!AF$2)/Цены!AF$2</f>
        <v>-2.8264852132949516E-2</v>
      </c>
      <c r="AF16">
        <f>(Цены!AG16-Цены!AG$2)/Цены!AG$2</f>
        <v>-7.1170084439083292E-2</v>
      </c>
      <c r="AG16">
        <f>(Цены!AH16-Цены!AH$2)/Цены!AH$2</f>
        <v>-6.3510638297872332E-2</v>
      </c>
      <c r="AH16">
        <f>(Цены!AI16-Цены!AI$2)/Цены!AI$2</f>
        <v>-5.5633802816901348E-2</v>
      </c>
      <c r="AI16">
        <f>(Цены!AJ16-Цены!AJ$2)/Цены!AJ$2</f>
        <v>-1.5759312320916905E-2</v>
      </c>
      <c r="AJ16">
        <f>(Цены!AK16-Цены!AK$2)/Цены!AK$2</f>
        <v>-9.2125847383973461E-3</v>
      </c>
      <c r="AK16">
        <f>(Цены!AL16-Цены!AL$2)/Цены!AL$2</f>
        <v>-1.706384230656062E-2</v>
      </c>
      <c r="AL16">
        <f>(Цены!AM16-Цены!AM$2)/Цены!AM$2</f>
        <v>-6.8320455469703126E-2</v>
      </c>
      <c r="AM16">
        <f>(Цены!AN16-Цены!AN$2)/Цены!AN$2</f>
        <v>-4.005431093007468E-2</v>
      </c>
      <c r="AN16">
        <f>(Цены!AO16-Цены!AO$2)/Цены!AO$2</f>
        <v>-2.7472527472527472E-2</v>
      </c>
      <c r="AO16">
        <f>(Цены!AP16-Цены!AP$2)/Цены!AP$2</f>
        <v>3.6452004860267314E-3</v>
      </c>
      <c r="AP16">
        <f>(Цены!AQ16-Цены!AQ$2)/Цены!AQ$2</f>
        <v>-5.108359133126935E-2</v>
      </c>
      <c r="AQ16">
        <f>(Цены!AR16-Цены!AR$2)/Цены!AR$2</f>
        <v>0.10876451953537483</v>
      </c>
      <c r="AR16">
        <f>(Цены!AS16-Цены!AS$2)/Цены!AS$2</f>
        <v>-5.7152501181394776E-2</v>
      </c>
      <c r="AS16">
        <f>(Цены!AU16-Цены!AU$2)/Цены!AU$2</f>
        <v>0.14833005893909634</v>
      </c>
      <c r="AT16">
        <f>(Цены!AV16-Цены!AV$2)/Цены!AV$2</f>
        <v>-3.9763391390075689E-2</v>
      </c>
      <c r="AU16">
        <f>(Цены!AW16-Цены!AW$2)/Цены!AW$2</f>
        <v>-3.6228023441662371E-2</v>
      </c>
      <c r="AV16">
        <f>(Цены!AX16-Цены!AX$2)/Цены!AX$2</f>
        <v>6.6225165562913907E-3</v>
      </c>
    </row>
    <row r="17" spans="1:48" x14ac:dyDescent="0.2">
      <c r="A17" s="1" t="s">
        <v>80</v>
      </c>
      <c r="B17" s="2">
        <v>15</v>
      </c>
      <c r="C17">
        <f>(Цены!B17-Цены!B$2)/Цены!B$2</f>
        <v>-5.1496325207909859E-2</v>
      </c>
      <c r="D17">
        <f>(Цены!C17-Цены!C$2)/Цены!C$2</f>
        <v>-5.2462772050400897E-2</v>
      </c>
      <c r="E17">
        <f>(Цены!D17-Цены!D$2)/Цены!D$2</f>
        <v>-8.1564986737400605E-2</v>
      </c>
      <c r="F17">
        <f>(Цены!E17-Цены!E$2)/Цены!E$2</f>
        <v>-6.6901408450704219E-2</v>
      </c>
      <c r="G17">
        <f>(Цены!F17-Цены!F$2)/Цены!F$2</f>
        <v>-1.9136307818256242E-2</v>
      </c>
      <c r="H17">
        <f>(Цены!G17-Цены!G$2)/Цены!G$2</f>
        <v>-2.3162525879917156E-2</v>
      </c>
      <c r="I17">
        <f>(Цены!H17-Цены!H$2)/Цены!H$2</f>
        <v>-2.1253490536766839E-2</v>
      </c>
      <c r="J17">
        <f>(Цены!J17-Цены!J$2)/Цены!J$2</f>
        <v>-0.1330166270783848</v>
      </c>
      <c r="K17">
        <f>(Цены!K17-Цены!K$2)/Цены!K$2</f>
        <v>-0.12531328320802004</v>
      </c>
      <c r="L17">
        <f>(Цены!L17-Цены!L$2)/Цены!L$2</f>
        <v>-4.9865461480184271E-3</v>
      </c>
      <c r="M17">
        <f>(Цены!M17-Цены!M$2)/Цены!M$2</f>
        <v>1.682648814908622E-2</v>
      </c>
      <c r="N17">
        <f>(Цены!N17-Цены!N$2)/Цены!N$2</f>
        <v>-8.544117647058827E-2</v>
      </c>
      <c r="O17">
        <f>(Цены!O17-Цены!O$2)/Цены!O$2</f>
        <v>-5.0738916256157521E-2</v>
      </c>
      <c r="P17">
        <f>(Цены!P17-Цены!P$2)/Цены!P$2</f>
        <v>3.849797605718714E-2</v>
      </c>
      <c r="Q17">
        <f>(Цены!Q17-Цены!Q$2)/Цены!Q$2</f>
        <v>-7.2471857847241528E-2</v>
      </c>
      <c r="R17">
        <f>(Цены!R17-Цены!R$2)/Цены!R$2</f>
        <v>-8.5441725425134771E-2</v>
      </c>
      <c r="S17">
        <f>(Цены!S17-Цены!S$2)/Цены!S$2</f>
        <v>-2.0345821325648564E-2</v>
      </c>
      <c r="T17">
        <f>(Цены!T17-Цены!T$2)/Цены!T$2</f>
        <v>-5.1736526946107704E-2</v>
      </c>
      <c r="U17">
        <f>(Цены!U17-Цены!U$2)/Цены!U$2</f>
        <v>-0.10234020258470136</v>
      </c>
      <c r="V17">
        <f>(Цены!V17-Цены!V$2)/Цены!V$2</f>
        <v>-5.327868852459005E-2</v>
      </c>
      <c r="W17">
        <f>(Цены!W17-Цены!W$2)/Цены!W$2</f>
        <v>6.565789473684204E-2</v>
      </c>
      <c r="X17">
        <f>(Цены!X17-Цены!X$2)/Цены!X$2</f>
        <v>1.5352407536636347E-2</v>
      </c>
      <c r="Y17">
        <f>(Цены!Y17-Цены!Y$2)/Цены!Y$2</f>
        <v>-7.2065238004931269E-3</v>
      </c>
      <c r="Z17">
        <f>(Цены!Z17-Цены!Z$2)/Цены!Z$2</f>
        <v>1.4419214343101172E-2</v>
      </c>
      <c r="AA17">
        <f>(Цены!AA17-Цены!AA$2)/Цены!AA$2</f>
        <v>2.0479812755997326E-3</v>
      </c>
      <c r="AB17">
        <f>(Цены!AB17-Цены!AB$2)/Цены!AB$2</f>
        <v>-1.2506253126563281E-2</v>
      </c>
      <c r="AC17">
        <f>(Цены!AD17-Цены!AD$2)/Цены!AD$2</f>
        <v>-3.2716927453769432E-2</v>
      </c>
      <c r="AD17">
        <f>(Цены!AE17-Цены!AE$2)/Цены!AE$2</f>
        <v>-0.11832460732984293</v>
      </c>
      <c r="AE17">
        <f>(Цены!AF17-Цены!AF$2)/Цены!AF$2</f>
        <v>-3.2190526040303612E-2</v>
      </c>
      <c r="AF17">
        <f>(Цены!AG17-Цены!AG$2)/Цены!AG$2</f>
        <v>-6.8757539203860102E-2</v>
      </c>
      <c r="AG17">
        <f>(Цены!AH17-Цены!AH$2)/Цены!AH$2</f>
        <v>-8.6276595744680842E-2</v>
      </c>
      <c r="AH17">
        <f>(Цены!AI17-Цены!AI$2)/Цены!AI$2</f>
        <v>-6.3380281690140747E-2</v>
      </c>
      <c r="AI17">
        <f>(Цены!AJ17-Цены!AJ$2)/Цены!AJ$2</f>
        <v>-1.3180515759312322E-2</v>
      </c>
      <c r="AJ17">
        <f>(Цены!AK17-Цены!AK$2)/Цены!AK$2</f>
        <v>-2.6768642447418722E-2</v>
      </c>
      <c r="AK17">
        <f>(Цены!AL17-Цены!AL$2)/Цены!AL$2</f>
        <v>-1.7358046484260009E-2</v>
      </c>
      <c r="AL17">
        <f>(Цены!AM17-Цены!AM$2)/Цены!AM$2</f>
        <v>-5.1104785143012067E-2</v>
      </c>
      <c r="AM17">
        <f>(Цены!AN17-Цены!AN$2)/Цены!AN$2</f>
        <v>-4.9558723693143243E-2</v>
      </c>
      <c r="AN17">
        <f>(Цены!AO17-Цены!AO$2)/Цены!AO$2</f>
        <v>-3.8461538461538422E-2</v>
      </c>
      <c r="AO17">
        <f>(Цены!AP17-Цены!AP$2)/Цены!AP$2</f>
        <v>7.8979343863912518E-2</v>
      </c>
      <c r="AP17">
        <f>(Цены!AQ17-Цены!AQ$2)/Цены!AQ$2</f>
        <v>-7.8947368421052627E-2</v>
      </c>
      <c r="AQ17">
        <f>(Цены!AR17-Цены!AR$2)/Цены!AR$2</f>
        <v>6.7581837381203713E-2</v>
      </c>
      <c r="AR17">
        <f>(Цены!AS17-Цены!AS$2)/Цены!AS$2</f>
        <v>-8.2400594072773836E-2</v>
      </c>
      <c r="AS17">
        <f>(Цены!AU17-Цены!AU$2)/Цены!AU$2</f>
        <v>0.14734774066797643</v>
      </c>
      <c r="AT17">
        <f>(Цены!AV17-Цены!AV$2)/Цены!AV$2</f>
        <v>-3.625807865045462E-2</v>
      </c>
      <c r="AU17">
        <f>(Цены!AW17-Цены!AW$2)/Цены!AW$2</f>
        <v>-6.4819747824542862E-2</v>
      </c>
      <c r="AV17">
        <f>(Цены!AX17-Цены!AX$2)/Цены!AX$2</f>
        <v>1.3245033112582781E-2</v>
      </c>
    </row>
    <row r="18" spans="1:48" x14ac:dyDescent="0.2">
      <c r="A18" s="1" t="s">
        <v>81</v>
      </c>
      <c r="B18" s="2">
        <v>16</v>
      </c>
      <c r="C18">
        <f>(Цены!B18-Цены!B$2)/Цены!B$2</f>
        <v>-4.7633541317912073E-2</v>
      </c>
      <c r="D18">
        <f>(Цены!C18-Цены!C$2)/Цены!C$2</f>
        <v>-4.3528064146620818E-2</v>
      </c>
      <c r="E18">
        <f>(Цены!D18-Цены!D$2)/Цены!D$2</f>
        <v>-8.2559681697612838E-2</v>
      </c>
      <c r="F18">
        <f>(Цены!E18-Цены!E$2)/Цены!E$2</f>
        <v>-6.1179577464788734E-2</v>
      </c>
      <c r="G18">
        <f>(Цены!F18-Цены!F$2)/Цены!F$2</f>
        <v>-9.721653704461727E-3</v>
      </c>
      <c r="H18">
        <f>(Цены!G18-Цены!G$2)/Цены!G$2</f>
        <v>8.0227743271222129E-3</v>
      </c>
      <c r="I18">
        <f>(Цены!H18-Цены!H$2)/Цены!H$2</f>
        <v>-2.5286999689729996E-2</v>
      </c>
      <c r="J18">
        <f>(Цены!J18-Цены!J$2)/Цены!J$2</f>
        <v>-0.13028503562945373</v>
      </c>
      <c r="K18">
        <f>(Цены!K18-Цены!K$2)/Цены!K$2</f>
        <v>-0.11278195488721804</v>
      </c>
      <c r="L18">
        <f>(Цены!L18-Цены!L$2)/Цены!L$2</f>
        <v>-8.8309516967528118E-3</v>
      </c>
      <c r="M18">
        <f>(Цены!M18-Цены!M$2)/Цены!M$2</f>
        <v>7.9609191242988545E-3</v>
      </c>
      <c r="N18">
        <f>(Цены!N18-Цены!N$2)/Цены!N$2</f>
        <v>-8.11029411764706E-2</v>
      </c>
      <c r="O18">
        <f>(Цены!O18-Цены!O$2)/Цены!O$2</f>
        <v>-6.4162561576354568E-2</v>
      </c>
      <c r="P18">
        <f>(Цены!P18-Цены!P$2)/Цены!P$2</f>
        <v>2.7904573249504735E-2</v>
      </c>
      <c r="Q18">
        <f>(Цены!Q18-Цены!Q$2)/Цены!Q$2</f>
        <v>-9.2938878035166025E-2</v>
      </c>
      <c r="R18">
        <f>(Цены!R18-Цены!R$2)/Цены!R$2</f>
        <v>-6.7917876399834098E-2</v>
      </c>
      <c r="S18">
        <f>(Цены!S18-Цены!S$2)/Цены!S$2</f>
        <v>-2.1340057636887552E-2</v>
      </c>
      <c r="T18">
        <f>(Цены!T18-Цены!T$2)/Цены!T$2</f>
        <v>-4.2155688622754442E-2</v>
      </c>
      <c r="U18">
        <f>(Цены!U18-Цены!U$2)/Цены!U$2</f>
        <v>-0.10338805448829899</v>
      </c>
      <c r="V18">
        <f>(Цены!V18-Цены!V$2)/Цены!V$2</f>
        <v>-6.5368852459016344E-2</v>
      </c>
      <c r="W18">
        <f>(Цены!W18-Цены!W$2)/Цены!W$2</f>
        <v>4.7763157894736785E-2</v>
      </c>
      <c r="X18">
        <f>(Цены!X18-Цены!X$2)/Цены!X$2</f>
        <v>1.2212142358688066E-2</v>
      </c>
      <c r="Y18">
        <f>(Цены!Y18-Цены!Y$2)/Цены!Y$2</f>
        <v>-1.3085530058790096E-2</v>
      </c>
      <c r="Z18">
        <f>(Цены!Z18-Цены!Z$2)/Цены!Z$2</f>
        <v>5.2898642648737761E-2</v>
      </c>
      <c r="AA18">
        <f>(Цены!AA18-Цены!AA$2)/Цены!AA$2</f>
        <v>0</v>
      </c>
      <c r="AB18">
        <f>(Цены!AB18-Цены!AB$2)/Цены!AB$2</f>
        <v>-1.0505252626313157E-2</v>
      </c>
      <c r="AC18">
        <f>(Цены!AD18-Цены!AD$2)/Цены!AD$2</f>
        <v>-2.8805120910384056E-2</v>
      </c>
      <c r="AD18">
        <f>(Цены!AE18-Цены!AE$2)/Цены!AE$2</f>
        <v>-0.1099476439790576</v>
      </c>
      <c r="AE18">
        <f>(Цены!AF18-Цены!AF$2)/Цены!AF$2</f>
        <v>-3.1667102852656427E-2</v>
      </c>
      <c r="AF18">
        <f>(Цены!AG18-Цены!AG$2)/Цены!AG$2</f>
        <v>-5.3075995174909595E-2</v>
      </c>
      <c r="AG18">
        <f>(Цены!AH18-Цены!AH$2)/Цены!AH$2</f>
        <v>-9.8244680851063818E-2</v>
      </c>
      <c r="AH18">
        <f>(Цены!AI18-Цены!AI$2)/Цены!AI$2</f>
        <v>-6.5492957746478855E-2</v>
      </c>
      <c r="AI18">
        <f>(Цены!AJ18-Цены!AJ$2)/Цены!AJ$2</f>
        <v>-2.148997134670487E-2</v>
      </c>
      <c r="AJ18">
        <f>(Цены!AK18-Цены!AK$2)/Цены!AK$2</f>
        <v>-4.0152963671128084E-2</v>
      </c>
      <c r="AK18">
        <f>(Цены!AL18-Цены!AL$2)/Цены!AL$2</f>
        <v>-1.7358046484260009E-2</v>
      </c>
      <c r="AL18">
        <f>(Цены!AM18-Цены!AM$2)/Цены!AM$2</f>
        <v>-7.0082689440151821E-2</v>
      </c>
      <c r="AM18">
        <f>(Цены!AN18-Цены!AN$2)/Цены!AN$2</f>
        <v>-4.684317718940937E-2</v>
      </c>
      <c r="AN18">
        <f>(Цены!AO18-Цены!AO$2)/Цены!AO$2</f>
        <v>-4.1208791208791208E-2</v>
      </c>
      <c r="AO18">
        <f>(Цены!AP18-Цены!AP$2)/Цены!AP$2</f>
        <v>3.6452004860267312E-2</v>
      </c>
      <c r="AP18">
        <f>(Цены!AQ18-Цены!AQ$2)/Цены!AQ$2</f>
        <v>-7.7399380804953561E-3</v>
      </c>
      <c r="AQ18">
        <f>(Цены!AR18-Цены!AR$2)/Цены!AR$2</f>
        <v>7.8141499472016804E-2</v>
      </c>
      <c r="AR18">
        <f>(Цены!AS18-Цены!AS$2)/Цены!AS$2</f>
        <v>-7.4421116586781882E-2</v>
      </c>
      <c r="AS18">
        <f>(Цены!AU18-Цены!AU$2)/Цены!AU$2</f>
        <v>0.14538310412573671</v>
      </c>
      <c r="AT18">
        <f>(Цены!AV18-Цены!AV$2)/Цены!AV$2</f>
        <v>-4.7869427100449162E-2</v>
      </c>
      <c r="AU18">
        <f>(Цены!AW18-Цены!AW$2)/Цены!AW$2</f>
        <v>-6.5885277925768107E-2</v>
      </c>
      <c r="AV18">
        <f>(Цены!AX18-Цены!AX$2)/Цены!AX$2</f>
        <v>1.3245033112582781E-2</v>
      </c>
    </row>
    <row r="19" spans="1:48" x14ac:dyDescent="0.2">
      <c r="A19" s="1" t="s">
        <v>82</v>
      </c>
      <c r="B19" s="2">
        <v>17</v>
      </c>
      <c r="C19">
        <f>(Цены!B19-Цены!B$2)/Цены!B$2</f>
        <v>-5.7221123116724872E-2</v>
      </c>
      <c r="D19">
        <f>(Цены!C19-Цены!C$2)/Цены!C$2</f>
        <v>-4.982817869415801E-2</v>
      </c>
      <c r="E19">
        <f>(Цены!D19-Цены!D$2)/Цены!D$2</f>
        <v>-9.3633952254641939E-2</v>
      </c>
      <c r="F19">
        <f>(Цены!E19-Цены!E$2)/Цены!E$2</f>
        <v>-6.8221830985915499E-2</v>
      </c>
      <c r="G19">
        <f>(Цены!F19-Цены!F$2)/Цены!F$2</f>
        <v>-1.760130986492018E-2</v>
      </c>
      <c r="H19">
        <f>(Цены!G19-Цены!G$2)/Цены!G$2</f>
        <v>7.8933747412008575E-3</v>
      </c>
      <c r="I19">
        <f>(Цены!H19-Цены!H$2)/Цены!H$2</f>
        <v>-5.2745888923363196E-2</v>
      </c>
      <c r="J19">
        <f>(Цены!J19-Цены!J$2)/Цены!J$2</f>
        <v>-0.13420427553444181</v>
      </c>
      <c r="K19">
        <f>(Цены!K19-Цены!K$2)/Цены!K$2</f>
        <v>-0.13032581453634084</v>
      </c>
      <c r="L19">
        <f>(Цены!L19-Цены!L$2)/Цены!L$2</f>
        <v>-4.4778599231954902E-2</v>
      </c>
      <c r="M19">
        <f>(Цены!M19-Цены!M$2)/Цены!M$2</f>
        <v>9.5892889451781333E-3</v>
      </c>
      <c r="N19">
        <f>(Цены!N19-Цены!N$2)/Цены!N$2</f>
        <v>-7.2058823529411745E-2</v>
      </c>
      <c r="O19">
        <f>(Цены!O19-Цены!O$2)/Цены!O$2</f>
        <v>-6.6502463054187097E-2</v>
      </c>
      <c r="P19">
        <f>(Цены!P19-Цены!P$2)/Цены!P$2</f>
        <v>2.3167685815175244E-2</v>
      </c>
      <c r="Q19">
        <f>(Цены!Q19-Цены!Q$2)/Цены!Q$2</f>
        <v>-0.10493999441808542</v>
      </c>
      <c r="R19">
        <f>(Цены!R19-Цены!R$2)/Цены!R$2</f>
        <v>-9.218166735794274E-2</v>
      </c>
      <c r="S19">
        <f>(Цены!S19-Цены!S$2)/Цены!S$2</f>
        <v>-2.8544668587896203E-2</v>
      </c>
      <c r="T19">
        <f>(Цены!T19-Цены!T$2)/Цены!T$2</f>
        <v>-5.3892215568862277E-2</v>
      </c>
      <c r="U19">
        <f>(Цены!U19-Цены!U$2)/Цены!U$2</f>
        <v>-9.9545930841774363E-2</v>
      </c>
      <c r="V19">
        <f>(Цены!V19-Цены!V$2)/Цены!V$2</f>
        <v>-7.0081967213114646E-2</v>
      </c>
      <c r="W19">
        <f>(Цены!W19-Цены!W$2)/Цены!W$2</f>
        <v>3.6842105263157857E-2</v>
      </c>
      <c r="X19">
        <f>(Цены!X19-Цены!X$2)/Цены!X$2</f>
        <v>1.3956734124214932E-2</v>
      </c>
      <c r="Y19">
        <f>(Цены!Y19-Цены!Y$2)/Цены!Y$2</f>
        <v>-3.5842973639294576E-2</v>
      </c>
      <c r="Z19">
        <f>(Цены!Z19-Цены!Z$2)/Цены!Z$2</f>
        <v>-1.6914034420065224E-4</v>
      </c>
      <c r="AA19">
        <f>(Цены!AA19-Цены!AA$2)/Цены!AA$2</f>
        <v>-1.5506143943826833E-2</v>
      </c>
      <c r="AB19">
        <f>(Цены!AB19-Цены!AB$2)/Цены!AB$2</f>
        <v>-1.2506253126563281E-2</v>
      </c>
      <c r="AC19">
        <f>(Цены!AD19-Цены!AD$2)/Цены!AD$2</f>
        <v>-4.6941678520625772E-2</v>
      </c>
      <c r="AD19">
        <f>(Цены!AE19-Цены!AE$2)/Цены!AE$2</f>
        <v>-0.12041884816753927</v>
      </c>
      <c r="AE19">
        <f>(Цены!AF19-Цены!AF$2)/Цены!AF$2</f>
        <v>-3.1405391258832765E-2</v>
      </c>
      <c r="AF19">
        <f>(Цены!AG19-Цены!AG$2)/Цены!AG$2</f>
        <v>-7.2979493365500733E-2</v>
      </c>
      <c r="AG19">
        <f>(Цены!AH19-Цены!AH$2)/Цены!AH$2</f>
        <v>-0.11489361702127657</v>
      </c>
      <c r="AH19">
        <f>(Цены!AI19-Цены!AI$2)/Цены!AI$2</f>
        <v>-5.281690140845071E-2</v>
      </c>
      <c r="AI19">
        <f>(Цены!AJ19-Цены!AJ$2)/Цены!AJ$2</f>
        <v>-2.2922636103151862E-2</v>
      </c>
      <c r="AJ19">
        <f>(Цены!AK19-Цены!AK$2)/Цены!AK$2</f>
        <v>-5.8404310794368204E-2</v>
      </c>
      <c r="AK19">
        <f>(Цены!AL19-Цены!AL$2)/Цены!AL$2</f>
        <v>-1.706384230656062E-2</v>
      </c>
      <c r="AL19">
        <f>(Цены!AM19-Цены!AM$2)/Цены!AM$2</f>
        <v>-8.919615019655687E-2</v>
      </c>
      <c r="AM19">
        <f>(Цены!AN19-Цены!AN$2)/Цены!AN$2</f>
        <v>-3.8017651052274268E-2</v>
      </c>
      <c r="AN19">
        <f>(Цены!AO19-Цены!AO$2)/Цены!AO$2</f>
        <v>-4.2582417582417507E-2</v>
      </c>
      <c r="AO19">
        <f>(Цены!AP19-Цены!AP$2)/Цены!AP$2</f>
        <v>4.7387606318347507E-2</v>
      </c>
      <c r="AP19">
        <f>(Цены!AQ19-Цены!AQ$2)/Цены!AQ$2</f>
        <v>-6.3467492260061917E-2</v>
      </c>
      <c r="AQ19">
        <f>(Цены!AR19-Цены!AR$2)/Цены!AR$2</f>
        <v>7.1805702217529008E-2</v>
      </c>
      <c r="AR19">
        <f>(Цены!AS19-Цены!AS$2)/Цены!AS$2</f>
        <v>-7.2422871801795588E-2</v>
      </c>
      <c r="AS19">
        <f>(Цены!AU19-Цены!AU$2)/Цены!AU$2</f>
        <v>0.13948919449901773</v>
      </c>
      <c r="AT19">
        <f>(Цены!AV19-Цены!AV$2)/Цены!AV$2</f>
        <v>-3.636761967356783E-2</v>
      </c>
      <c r="AU19">
        <f>(Цены!AW19-Цены!AW$2)/Цены!AW$2</f>
        <v>-7.0502575031078082E-2</v>
      </c>
      <c r="AV19">
        <f>(Цены!AX19-Цены!AX$2)/Цены!AX$2</f>
        <v>1.390728476821192E-2</v>
      </c>
    </row>
    <row r="20" spans="1:48" x14ac:dyDescent="0.2">
      <c r="A20" s="1" t="s">
        <v>83</v>
      </c>
      <c r="B20" s="2">
        <v>18</v>
      </c>
      <c r="C20">
        <f>(Цены!B20-Цены!B$2)/Цены!B$2</f>
        <v>-5.7221123116724872E-2</v>
      </c>
      <c r="D20">
        <f>(Цены!C20-Цены!C$2)/Цены!C$2</f>
        <v>-4.982817869415801E-2</v>
      </c>
      <c r="E20">
        <f>(Цены!D20-Цены!D$2)/Цены!D$2</f>
        <v>-9.3633952254641939E-2</v>
      </c>
      <c r="F20">
        <f>(Цены!E20-Цены!E$2)/Цены!E$2</f>
        <v>-6.8221830985915499E-2</v>
      </c>
      <c r="G20">
        <f>(Цены!F20-Цены!F$2)/Цены!F$2</f>
        <v>-1.760130986492018E-2</v>
      </c>
      <c r="H20">
        <f>(Цены!G20-Цены!G$2)/Цены!G$2</f>
        <v>7.8933747412008575E-3</v>
      </c>
      <c r="I20">
        <f>(Цены!H20-Цены!H$2)/Цены!H$2</f>
        <v>-5.2745888923363196E-2</v>
      </c>
      <c r="J20">
        <f>(Цены!J20-Цены!J$2)/Цены!J$2</f>
        <v>-0.13420427553444181</v>
      </c>
      <c r="K20">
        <f>(Цены!K20-Цены!K$2)/Цены!K$2</f>
        <v>-0.13032581453634084</v>
      </c>
      <c r="L20">
        <f>(Цены!L20-Цены!L$2)/Цены!L$2</f>
        <v>-4.4778599231954902E-2</v>
      </c>
      <c r="M20">
        <f>(Цены!M20-Цены!M$2)/Цены!M$2</f>
        <v>9.5892889451781333E-3</v>
      </c>
      <c r="N20">
        <f>(Цены!N20-Цены!N$2)/Цены!N$2</f>
        <v>-7.2058823529411745E-2</v>
      </c>
      <c r="O20">
        <f>(Цены!O20-Цены!O$2)/Цены!O$2</f>
        <v>-6.6502463054187097E-2</v>
      </c>
      <c r="P20">
        <f>(Цены!P20-Цены!P$2)/Цены!P$2</f>
        <v>2.3167685815175244E-2</v>
      </c>
      <c r="Q20">
        <f>(Цены!Q20-Цены!Q$2)/Цены!Q$2</f>
        <v>-0.10493999441808542</v>
      </c>
      <c r="R20">
        <f>(Цены!R20-Цены!R$2)/Цены!R$2</f>
        <v>-9.218166735794274E-2</v>
      </c>
      <c r="S20">
        <f>(Цены!S20-Цены!S$2)/Цены!S$2</f>
        <v>-2.8544668587896203E-2</v>
      </c>
      <c r="T20">
        <f>(Цены!T20-Цены!T$2)/Цены!T$2</f>
        <v>-5.3892215568862277E-2</v>
      </c>
      <c r="U20">
        <f>(Цены!U20-Цены!U$2)/Цены!U$2</f>
        <v>-9.9545930841774363E-2</v>
      </c>
      <c r="V20">
        <f>(Цены!V20-Цены!V$2)/Цены!V$2</f>
        <v>-7.0081967213114646E-2</v>
      </c>
      <c r="W20">
        <f>(Цены!W20-Цены!W$2)/Цены!W$2</f>
        <v>3.6842105263157857E-2</v>
      </c>
      <c r="X20">
        <f>(Цены!X20-Цены!X$2)/Цены!X$2</f>
        <v>1.3956734124214932E-2</v>
      </c>
      <c r="Y20">
        <f>(Цены!Y20-Цены!Y$2)/Цены!Y$2</f>
        <v>-3.5842973639294576E-2</v>
      </c>
      <c r="Z20">
        <f>(Цены!Z20-Цены!Z$2)/Цены!Z$2</f>
        <v>-1.6914034420065224E-4</v>
      </c>
      <c r="AA20">
        <f>(Цены!AA20-Цены!AA$2)/Цены!AA$2</f>
        <v>-1.5506143943826833E-2</v>
      </c>
      <c r="AB20">
        <f>(Цены!AB20-Цены!AB$2)/Цены!AB$2</f>
        <v>-1.2506253126563281E-2</v>
      </c>
      <c r="AC20">
        <f>(Цены!AD20-Цены!AD$2)/Цены!AD$2</f>
        <v>-4.6941678520625772E-2</v>
      </c>
      <c r="AD20">
        <f>(Цены!AE20-Цены!AE$2)/Цены!AE$2</f>
        <v>-0.12041884816753927</v>
      </c>
      <c r="AE20">
        <f>(Цены!AF20-Цены!AF$2)/Цены!AF$2</f>
        <v>-3.1405391258832765E-2</v>
      </c>
      <c r="AF20">
        <f>(Цены!AG20-Цены!AG$2)/Цены!AG$2</f>
        <v>-7.2979493365500733E-2</v>
      </c>
      <c r="AG20">
        <f>(Цены!AH20-Цены!AH$2)/Цены!AH$2</f>
        <v>-0.11489361702127657</v>
      </c>
      <c r="AH20">
        <f>(Цены!AI20-Цены!AI$2)/Цены!AI$2</f>
        <v>-5.281690140845071E-2</v>
      </c>
      <c r="AI20">
        <f>(Цены!AJ20-Цены!AJ$2)/Цены!AJ$2</f>
        <v>-2.2922636103151862E-2</v>
      </c>
      <c r="AJ20">
        <f>(Цены!AK20-Цены!AK$2)/Цены!AK$2</f>
        <v>-5.8404310794368204E-2</v>
      </c>
      <c r="AK20">
        <f>(Цены!AL20-Цены!AL$2)/Цены!AL$2</f>
        <v>-1.706384230656062E-2</v>
      </c>
      <c r="AL20">
        <f>(Цены!AM20-Цены!AM$2)/Цены!AM$2</f>
        <v>-8.919615019655687E-2</v>
      </c>
      <c r="AM20">
        <f>(Цены!AN20-Цены!AN$2)/Цены!AN$2</f>
        <v>-3.8017651052274268E-2</v>
      </c>
      <c r="AN20">
        <f>(Цены!AO20-Цены!AO$2)/Цены!AO$2</f>
        <v>-4.2582417582417507E-2</v>
      </c>
      <c r="AO20">
        <f>(Цены!AP20-Цены!AP$2)/Цены!AP$2</f>
        <v>4.7387606318347507E-2</v>
      </c>
      <c r="AP20">
        <f>(Цены!AQ20-Цены!AQ$2)/Цены!AQ$2</f>
        <v>-6.3467492260061917E-2</v>
      </c>
      <c r="AQ20">
        <f>(Цены!AR20-Цены!AR$2)/Цены!AR$2</f>
        <v>7.1805702217529008E-2</v>
      </c>
      <c r="AR20">
        <f>(Цены!AS20-Цены!AS$2)/Цены!AS$2</f>
        <v>-7.2422871801795588E-2</v>
      </c>
      <c r="AS20">
        <f>(Цены!AU20-Цены!AU$2)/Цены!AU$2</f>
        <v>0.13948919449901773</v>
      </c>
      <c r="AT20">
        <f>(Цены!AV20-Цены!AV$2)/Цены!AV$2</f>
        <v>-3.636761967356783E-2</v>
      </c>
      <c r="AU20">
        <f>(Цены!AW20-Цены!AW$2)/Цены!AW$2</f>
        <v>-7.0502575031078082E-2</v>
      </c>
      <c r="AV20">
        <f>(Цены!AX20-Цены!AX$2)/Цены!AX$2</f>
        <v>1.390728476821192E-2</v>
      </c>
    </row>
    <row r="21" spans="1:48" x14ac:dyDescent="0.2">
      <c r="A21" s="1" t="s">
        <v>84</v>
      </c>
      <c r="B21" s="2">
        <v>19</v>
      </c>
      <c r="C21">
        <f>(Цены!B21-Цены!B$2)/Цены!B$2</f>
        <v>-6.3133912825516642E-2</v>
      </c>
      <c r="D21">
        <f>(Цены!C21-Цены!C$2)/Цены!C$2</f>
        <v>-5.2061855670103116E-2</v>
      </c>
      <c r="E21">
        <f>(Цены!D21-Цены!D$2)/Цены!D$2</f>
        <v>-9.3169761273209611E-2</v>
      </c>
      <c r="F21">
        <f>(Цены!E21-Цены!E$2)/Цены!E$2</f>
        <v>-6.5727699530516437E-2</v>
      </c>
      <c r="G21">
        <f>(Цены!F21-Цены!F$2)/Цены!F$2</f>
        <v>-2.8039295947605403E-2</v>
      </c>
      <c r="H21">
        <f>(Цены!G21-Цены!G$2)/Цены!G$2</f>
        <v>1.3198757763975215E-2</v>
      </c>
      <c r="I21">
        <f>(Цены!H21-Цены!H$2)/Цены!H$2</f>
        <v>-4.9332919640086764E-2</v>
      </c>
      <c r="J21">
        <f>(Цены!J21-Цены!J$2)/Цены!J$2</f>
        <v>-0.14489311163895488</v>
      </c>
      <c r="K21">
        <f>(Цены!K21-Цены!K$2)/Цены!K$2</f>
        <v>-0.14035087719298245</v>
      </c>
      <c r="L21">
        <f>(Цены!L21-Цены!L$2)/Цены!L$2</f>
        <v>-8.3117113822200148E-2</v>
      </c>
      <c r="M21">
        <f>(Цены!M21-Цены!M$2)/Цены!M$2</f>
        <v>2.5330197213677894E-3</v>
      </c>
      <c r="N21">
        <f>(Цены!N21-Цены!N$2)/Цены!N$2</f>
        <v>-7.2058823529411745E-2</v>
      </c>
      <c r="O21">
        <f>(Цены!O21-Цены!O$2)/Цены!O$2</f>
        <v>-6.4039408866995023E-2</v>
      </c>
      <c r="P21">
        <f>(Цены!P21-Цены!P$2)/Цены!P$2</f>
        <v>2.2392558780467238E-3</v>
      </c>
      <c r="Q21">
        <f>(Цены!Q21-Цены!Q$2)/Цены!Q$2</f>
        <v>-0.1185226532700716</v>
      </c>
      <c r="R21">
        <f>(Цены!R21-Цены!R$2)/Цены!R$2</f>
        <v>-0.11893405226047277</v>
      </c>
      <c r="S21">
        <f>(Цены!S21-Цены!S$2)/Цены!S$2</f>
        <v>-3.2420749279538932E-2</v>
      </c>
      <c r="T21">
        <f>(Цены!T21-Цены!T$2)/Цены!T$2</f>
        <v>-4.1916167664670656E-2</v>
      </c>
      <c r="U21">
        <f>(Цены!U21-Цены!U$2)/Цены!U$2</f>
        <v>-0.12679008033531261</v>
      </c>
      <c r="V21">
        <f>(Цены!V21-Цены!V$2)/Цены!V$2</f>
        <v>-9.6926229508196668E-2</v>
      </c>
      <c r="W21">
        <f>(Цены!W21-Цены!W$2)/Цены!W$2</f>
        <v>1.4473684210526241E-2</v>
      </c>
      <c r="X21">
        <f>(Цены!X21-Цены!X$2)/Цены!X$2</f>
        <v>1.7096999302163213E-2</v>
      </c>
      <c r="Y21">
        <f>(Цены!Y21-Цены!Y$2)/Цены!Y$2</f>
        <v>-6.9789493646880335E-2</v>
      </c>
      <c r="Z21">
        <f>(Цены!Z21-Цены!Z$2)/Цены!Z$2</f>
        <v>-4.456848069685819E-2</v>
      </c>
      <c r="AA21">
        <f>(Цены!AA21-Цены!AA$2)/Цены!AA$2</f>
        <v>-2.2820362785254567E-2</v>
      </c>
      <c r="AB21">
        <f>(Цены!AB21-Цены!AB$2)/Цены!AB$2</f>
        <v>-2.351175587793897E-2</v>
      </c>
      <c r="AC21">
        <f>(Цены!AD21-Цены!AD$2)/Цены!AD$2</f>
        <v>-6.6856330014224655E-2</v>
      </c>
      <c r="AD21">
        <f>(Цены!AE21-Цены!AE$2)/Цены!AE$2</f>
        <v>-0.14973821989528796</v>
      </c>
      <c r="AE21">
        <f>(Цены!AF21-Цены!AF$2)/Цены!AF$2</f>
        <v>-2.2768908662653874E-2</v>
      </c>
      <c r="AF21">
        <f>(Цены!AG21-Цены!AG$2)/Цены!AG$2</f>
        <v>-5.971049457177325E-2</v>
      </c>
      <c r="AG21">
        <f>(Цены!AH21-Цены!AH$2)/Цены!AH$2</f>
        <v>-0.14468085106382972</v>
      </c>
      <c r="AH21">
        <f>(Цены!AI21-Цены!AI$2)/Цены!AI$2</f>
        <v>-7.8873239436619669E-2</v>
      </c>
      <c r="AI21">
        <f>(Цены!AJ21-Цены!AJ$2)/Цены!AJ$2</f>
        <v>-2.5787965616045846E-2</v>
      </c>
      <c r="AJ21">
        <f>(Цены!AK21-Цены!AK$2)/Цены!AK$2</f>
        <v>-7.3179210846514908E-2</v>
      </c>
      <c r="AK21">
        <f>(Цены!AL21-Цены!AL$2)/Цены!AL$2</f>
        <v>-2.0888496616651858E-2</v>
      </c>
      <c r="AL21">
        <f>(Цены!AM21-Цены!AM$2)/Цены!AM$2</f>
        <v>-9.5702860241290502E-2</v>
      </c>
      <c r="AM21">
        <f>(Цены!AN21-Цены!AN$2)/Цены!AN$2</f>
        <v>-4.2769857433808553E-2</v>
      </c>
      <c r="AN21">
        <f>(Цены!AO21-Цены!AO$2)/Цены!AO$2</f>
        <v>-2.4725274725274686E-2</v>
      </c>
      <c r="AO21">
        <f>(Цены!AP21-Цены!AP$2)/Цены!AP$2</f>
        <v>4.1312272174969626E-2</v>
      </c>
      <c r="AP21">
        <f>(Цены!AQ21-Цены!AQ$2)/Цены!AQ$2</f>
        <v>-6.3467492260061917E-2</v>
      </c>
      <c r="AQ21">
        <f>(Цены!AR21-Цены!AR$2)/Цены!AR$2</f>
        <v>5.9134107708553263E-2</v>
      </c>
      <c r="AR21">
        <f>(Цены!AS21-Цены!AS$2)/Цены!AS$2</f>
        <v>-9.966920947816095E-2</v>
      </c>
      <c r="AS21">
        <f>(Цены!AU21-Цены!AU$2)/Цены!AU$2</f>
        <v>0.13555992141453829</v>
      </c>
      <c r="AT21">
        <f>(Цены!AV21-Цены!AV$2)/Цены!AV$2</f>
        <v>-6.6710483075911958E-2</v>
      </c>
      <c r="AU21">
        <f>(Цены!AW21-Цены!AW$2)/Цены!AW$2</f>
        <v>-0.1077961285739657</v>
      </c>
      <c r="AV21">
        <f>(Цены!AX21-Цены!AX$2)/Цены!AX$2</f>
        <v>6.6225165562913907E-3</v>
      </c>
    </row>
    <row r="22" spans="1:48" x14ac:dyDescent="0.2">
      <c r="A22" s="1" t="s">
        <v>85</v>
      </c>
      <c r="B22" s="2">
        <v>20</v>
      </c>
      <c r="C22">
        <f>(Цены!B22-Цены!B$2)/Цены!B$2</f>
        <v>-7.9529483380629609E-2</v>
      </c>
      <c r="D22">
        <f>(Цены!C22-Цены!C$2)/Цены!C$2</f>
        <v>-7.8178694158075643E-2</v>
      </c>
      <c r="E22">
        <f>(Цены!D22-Цены!D$2)/Цены!D$2</f>
        <v>-0.10431034482758632</v>
      </c>
      <c r="F22">
        <f>(Цены!E22-Цены!E$2)/Цены!E$2</f>
        <v>-8.0105633802816906E-2</v>
      </c>
      <c r="G22">
        <f>(Цены!F22-Цены!F$2)/Цены!F$2</f>
        <v>-4.4105607859189523E-2</v>
      </c>
      <c r="H22">
        <f>(Цены!G22-Цены!G$2)/Цены!G$2</f>
        <v>-1.9798136645962677E-2</v>
      </c>
      <c r="I22">
        <f>(Цены!H22-Цены!H$2)/Цены!H$2</f>
        <v>-7.8032888613093307E-2</v>
      </c>
      <c r="J22">
        <f>(Цены!J22-Цены!J$2)/Цены!J$2</f>
        <v>-0.16413301662707844</v>
      </c>
      <c r="K22">
        <f>(Цены!K22-Цены!K$2)/Цены!K$2</f>
        <v>-0.17030075187969923</v>
      </c>
      <c r="L22">
        <f>(Цены!L22-Цены!L$2)/Цены!L$2</f>
        <v>-4.5194493064082131E-2</v>
      </c>
      <c r="M22">
        <f>(Цены!M22-Цены!M$2)/Цены!M$2</f>
        <v>-7.2371992039080872E-3</v>
      </c>
      <c r="N22">
        <f>(Цены!N22-Цены!N$2)/Цены!N$2</f>
        <v>-9.5588235294117641E-2</v>
      </c>
      <c r="O22">
        <f>(Цены!O22-Цены!O$2)/Цены!O$2</f>
        <v>-9.618226600985208E-2</v>
      </c>
      <c r="P22">
        <f>(Цены!P22-Цены!P$2)/Цены!P$2</f>
        <v>-1.8603048833003157E-2</v>
      </c>
      <c r="Q22">
        <f>(Цены!Q22-Цены!Q$2)/Цены!Q$2</f>
        <v>-0.13061680156293601</v>
      </c>
      <c r="R22">
        <f>(Цены!R22-Цены!R$2)/Цены!R$2</f>
        <v>-0.1280588967233513</v>
      </c>
      <c r="S22">
        <f>(Цены!S22-Цены!S$2)/Цены!S$2</f>
        <v>-3.8184438040345811E-2</v>
      </c>
      <c r="T22">
        <f>(Цены!T22-Цены!T$2)/Цены!T$2</f>
        <v>-5.4491017964071825E-2</v>
      </c>
      <c r="U22">
        <f>(Цены!U22-Цены!U$2)/Цены!U$2</f>
        <v>-0.13342647572476424</v>
      </c>
      <c r="V22">
        <f>(Цены!V22-Цены!V$2)/Цены!V$2</f>
        <v>-9.8770491803278695E-2</v>
      </c>
      <c r="W22">
        <f>(Цены!W22-Цены!W$2)/Цены!W$2</f>
        <v>-9.210526315789511E-3</v>
      </c>
      <c r="X22">
        <f>(Цены!X22-Цены!X$2)/Цены!X$2</f>
        <v>1.6399162595952504E-2</v>
      </c>
      <c r="Y22">
        <f>(Цены!Y22-Цены!Y$2)/Цены!Y$2</f>
        <v>-0.13047600986155883</v>
      </c>
      <c r="Z22">
        <f>(Цены!Z22-Цены!Z$2)/Цены!Z$2</f>
        <v>-0.12892722736690776</v>
      </c>
      <c r="AA22">
        <f>(Цены!AA22-Цены!AA$2)/Цены!AA$2</f>
        <v>-3.4230544177881767E-2</v>
      </c>
      <c r="AB22">
        <f>(Цены!AB22-Цены!AB$2)/Цены!AB$2</f>
        <v>-5.0025012506253123E-2</v>
      </c>
      <c r="AC22">
        <f>(Цены!AD22-Цены!AD$2)/Цены!AD$2</f>
        <v>-8.4281650071123634E-2</v>
      </c>
      <c r="AD22">
        <f>(Цены!AE22-Цены!AE$2)/Цены!AE$2</f>
        <v>-0.15392670157068064</v>
      </c>
      <c r="AE22">
        <f>(Цены!AF22-Цены!AF$2)/Цены!AF$2</f>
        <v>-2.5386024600889939E-2</v>
      </c>
      <c r="AF22">
        <f>(Цены!AG22-Цены!AG$2)/Цены!AG$2</f>
        <v>-7.1773220747889055E-2</v>
      </c>
      <c r="AG22">
        <f>(Цены!AH22-Цены!AH$2)/Цены!AH$2</f>
        <v>-0.19420212765957443</v>
      </c>
      <c r="AH22">
        <f>(Цены!AI22-Цены!AI$2)/Цены!AI$2</f>
        <v>-0.11126760563380282</v>
      </c>
      <c r="AI22">
        <f>(Цены!AJ22-Цены!AJ$2)/Цены!AJ$2</f>
        <v>-3.6962750716332378E-2</v>
      </c>
      <c r="AJ22">
        <f>(Цены!AK22-Цены!AK$2)/Цены!AK$2</f>
        <v>-0.14322961932904568</v>
      </c>
      <c r="AK22">
        <f>(Цены!AL22-Цены!AL$2)/Цены!AL$2</f>
        <v>-1.706384230656062E-2</v>
      </c>
      <c r="AL22">
        <f>(Цены!AM22-Цены!AM$2)/Цены!AM$2</f>
        <v>-9.1771722922597262E-2</v>
      </c>
      <c r="AM22">
        <f>(Цены!AN22-Цены!AN$2)/Цены!AN$2</f>
        <v>-6.313645621181263E-2</v>
      </c>
      <c r="AN22">
        <f>(Цены!AO22-Цены!AO$2)/Цены!AO$2</f>
        <v>-2.4725274725274686E-2</v>
      </c>
      <c r="AO22">
        <f>(Цены!AP22-Цены!AP$2)/Цены!AP$2</f>
        <v>5.8323207776427702E-2</v>
      </c>
      <c r="AP22">
        <f>(Цены!AQ22-Цены!AQ$2)/Цены!AQ$2</f>
        <v>-7.7399380804953566E-2</v>
      </c>
      <c r="AQ22">
        <f>(Цены!AR22-Цены!AR$2)/Цены!AR$2</f>
        <v>2.2175290390707435E-2</v>
      </c>
      <c r="AR22">
        <f>(Цены!AS22-Цены!AS$2)/Цены!AS$2</f>
        <v>-0.12027273340984272</v>
      </c>
      <c r="AS22">
        <f>(Цены!AU22-Цены!AU$2)/Цены!AU$2</f>
        <v>0.12671905697445979</v>
      </c>
      <c r="AT22">
        <f>(Цены!AV22-Цены!AV$2)/Цены!AV$2</f>
        <v>-0.11271771278343745</v>
      </c>
      <c r="AU22">
        <f>(Цены!AW22-Цены!AW$2)/Цены!AW$2</f>
        <v>-0.18273841236014923</v>
      </c>
      <c r="AV22">
        <f>(Цены!AX22-Цены!AX$2)/Цены!AX$2</f>
        <v>6.6225165562913907E-3</v>
      </c>
    </row>
    <row r="23" spans="1:48" x14ac:dyDescent="0.2">
      <c r="A23" s="1" t="s">
        <v>86</v>
      </c>
      <c r="B23" s="2">
        <v>21</v>
      </c>
      <c r="C23">
        <f>(Цены!B23-Цены!B$2)/Цены!B$2</f>
        <v>-8.8790317527102106E-2</v>
      </c>
      <c r="D23">
        <f>(Цены!C23-Цены!C$2)/Цены!C$2</f>
        <v>-0.1065292096219931</v>
      </c>
      <c r="E23">
        <f>(Цены!D23-Цены!D$2)/Цены!D$2</f>
        <v>-0.11140583554376665</v>
      </c>
      <c r="F23">
        <f>(Цены!E23-Цены!E$2)/Цены!E$2</f>
        <v>-9.4483568075117375E-2</v>
      </c>
      <c r="G23">
        <f>(Цены!F23-Цены!F$2)/Цены!F$2</f>
        <v>-4.7175603765861648E-2</v>
      </c>
      <c r="H23">
        <f>(Цены!G23-Цены!G$2)/Цены!G$2</f>
        <v>-2.4327122153209053E-2</v>
      </c>
      <c r="I23">
        <f>(Цены!H23-Цены!H$2)/Цены!H$2</f>
        <v>-8.7961526528079356E-2</v>
      </c>
      <c r="J23">
        <f>(Цены!J23-Цены!J$2)/Цены!J$2</f>
        <v>-0.19014251781472688</v>
      </c>
      <c r="K23">
        <f>(Цены!K23-Цены!K$2)/Цены!K$2</f>
        <v>-0.17017543859649117</v>
      </c>
      <c r="L23">
        <f>(Цены!L23-Цены!L$2)/Цены!L$2</f>
        <v>-5.1116277854698404E-2</v>
      </c>
      <c r="M23">
        <f>(Цены!M23-Цены!M$2)/Цены!M$2</f>
        <v>-3.075809661661019E-3</v>
      </c>
      <c r="N23">
        <f>(Цены!N23-Цены!N$2)/Цены!N$2</f>
        <v>-9.1911764705882359E-2</v>
      </c>
      <c r="O23">
        <f>(Цены!O23-Цены!O$2)/Цены!O$2</f>
        <v>-8.4975369458126938E-3</v>
      </c>
      <c r="P23">
        <f>(Цены!P23-Цены!P$2)/Цены!P$2</f>
        <v>-2.9799328223236533E-2</v>
      </c>
      <c r="Q23">
        <f>(Цены!Q23-Цены!Q$2)/Цены!Q$2</f>
        <v>-0.14354823704530648</v>
      </c>
      <c r="R23">
        <f>(Цены!R23-Цены!R$2)/Цены!R$2</f>
        <v>-0.14216092907507261</v>
      </c>
      <c r="S23">
        <f>(Цены!S23-Цены!S$2)/Цены!S$2</f>
        <v>-4.7824207492795423E-2</v>
      </c>
      <c r="T23">
        <f>(Цены!T23-Цены!T$2)/Цены!T$2</f>
        <v>-6.5149700598802374E-2</v>
      </c>
      <c r="U23">
        <f>(Цены!U23-Цены!U$2)/Цены!U$2</f>
        <v>-0.1617184771219001</v>
      </c>
      <c r="V23">
        <f>(Цены!V23-Цены!V$2)/Цены!V$2</f>
        <v>-7.2950819672131059E-2</v>
      </c>
      <c r="W23">
        <f>(Цены!W23-Цены!W$2)/Цены!W$2</f>
        <v>-2.6842105263157976E-2</v>
      </c>
      <c r="X23">
        <f>(Цены!X23-Цены!X$2)/Цены!X$2</f>
        <v>1.6399162595952504E-2</v>
      </c>
      <c r="Y23">
        <f>(Цены!Y23-Цены!Y$2)/Цены!Y$2</f>
        <v>-0.11065806941020295</v>
      </c>
      <c r="Z23">
        <f>(Цены!Z23-Цены!Z$2)/Цены!Z$2</f>
        <v>-9.5099158526787644E-2</v>
      </c>
      <c r="AA23">
        <f>(Цены!AA23-Цены!AA$2)/Цены!AA$2</f>
        <v>-3.3352837916910572E-2</v>
      </c>
      <c r="AB23">
        <f>(Цены!AB23-Цены!AB$2)/Цены!AB$2</f>
        <v>-4.7023511755877941E-2</v>
      </c>
      <c r="AC23">
        <f>(Цены!AD23-Цены!AD$2)/Цены!AD$2</f>
        <v>-8.1792318634423891E-2</v>
      </c>
      <c r="AD23">
        <f>(Цены!AE23-Цены!AE$2)/Цены!AE$2</f>
        <v>-0.18115183246073299</v>
      </c>
      <c r="AE23">
        <f>(Цены!AF23-Цены!AF$2)/Цены!AF$2</f>
        <v>-2.1722062287359359E-2</v>
      </c>
      <c r="AF23">
        <f>(Цены!AG23-Цены!AG$2)/Цены!AG$2</f>
        <v>-8.8057901085645485E-2</v>
      </c>
      <c r="AG23">
        <f>(Цены!AH23-Цены!AH$2)/Цены!AH$2</f>
        <v>-0.21914893617021269</v>
      </c>
      <c r="AH23">
        <f>(Цены!AI23-Цены!AI$2)/Цены!AI$2</f>
        <v>-0.11267605633802814</v>
      </c>
      <c r="AI23">
        <f>(Цены!AJ23-Цены!AJ$2)/Цены!AJ$2</f>
        <v>-3.1805157593123211E-2</v>
      </c>
      <c r="AJ23">
        <f>(Цены!AK23-Цены!AK$2)/Цены!AK$2</f>
        <v>-0.16269772292716841</v>
      </c>
      <c r="AK23">
        <f>(Цены!AL23-Цены!AL$2)/Цены!AL$2</f>
        <v>-1.706384230656062E-2</v>
      </c>
      <c r="AL23">
        <f>(Цены!AM23-Цены!AM$2)/Цены!AM$2</f>
        <v>-6.981157652162126E-2</v>
      </c>
      <c r="AM23">
        <f>(Цены!AN23-Цены!AN$2)/Цены!AN$2</f>
        <v>-6.7888662593346916E-2</v>
      </c>
      <c r="AN23">
        <f>(Цены!AO23-Цены!AO$2)/Цены!AO$2</f>
        <v>-4.2582417582417507E-2</v>
      </c>
      <c r="AO23">
        <f>(Цены!AP23-Цены!AP$2)/Цены!AP$2</f>
        <v>3.0376670716889428E-2</v>
      </c>
      <c r="AP23">
        <f>(Цены!AQ23-Цены!AQ$2)/Цены!AQ$2</f>
        <v>-9.2879256965944276E-2</v>
      </c>
      <c r="AQ23">
        <f>(Цены!AR23-Цены!AR$2)/Цены!AR$2</f>
        <v>4.0126715945089729E-2</v>
      </c>
      <c r="AR23">
        <f>(Цены!AS23-Цены!AS$2)/Цены!AS$2</f>
        <v>-0.13621818672787395</v>
      </c>
      <c r="AS23">
        <f>(Цены!AU23-Цены!AU$2)/Цены!AU$2</f>
        <v>8.9390962671905785E-2</v>
      </c>
      <c r="AT23">
        <f>(Цены!AV23-Цены!AV$2)/Цены!AV$2</f>
        <v>-0.13123014568956076</v>
      </c>
      <c r="AU23">
        <f>(Цены!AW23-Цены!AW$2)/Цены!AW$2</f>
        <v>-0.17954182205647312</v>
      </c>
      <c r="AV23">
        <f>(Цены!AX23-Цены!AX$2)/Цены!AX$2</f>
        <v>3.9735099337748344E-3</v>
      </c>
    </row>
    <row r="24" spans="1:48" x14ac:dyDescent="0.2">
      <c r="A24" s="1" t="s">
        <v>87</v>
      </c>
      <c r="B24" s="2">
        <v>22</v>
      </c>
      <c r="C24">
        <f>(Цены!B24-Цены!B$2)/Цены!B$2</f>
        <v>-7.800316900462817E-2</v>
      </c>
      <c r="D24">
        <f>(Цены!C24-Цены!C$2)/Цены!C$2</f>
        <v>-8.3619702176403174E-2</v>
      </c>
      <c r="E24">
        <f>(Цены!D24-Цены!D$2)/Цены!D$2</f>
        <v>-0.11240053050397888</v>
      </c>
      <c r="F24">
        <f>(Цены!E24-Цены!E$2)/Цены!E$2</f>
        <v>-8.4507042253521125E-2</v>
      </c>
      <c r="G24">
        <f>(Цены!F24-Цены!F$2)/Цены!F$2</f>
        <v>-4.1035611952517398E-2</v>
      </c>
      <c r="H24">
        <f>(Цены!G24-Цены!G$2)/Цены!G$2</f>
        <v>-2.730331262939947E-2</v>
      </c>
      <c r="I24">
        <f>(Цены!H24-Цены!H$2)/Цены!H$2</f>
        <v>-7.3068569655600282E-2</v>
      </c>
      <c r="J24">
        <f>(Цены!J24-Цены!J$2)/Цены!J$2</f>
        <v>-0.15451306413301666</v>
      </c>
      <c r="K24">
        <f>(Цены!K24-Цены!K$2)/Цены!K$2</f>
        <v>-0.14335839598997491</v>
      </c>
      <c r="L24">
        <f>(Цены!L24-Цены!L$2)/Цены!L$2</f>
        <v>-4.9350296507223328E-2</v>
      </c>
      <c r="M24">
        <f>(Цены!M24-Цены!M$2)/Цены!M$2</f>
        <v>-1.1036728785959874E-2</v>
      </c>
      <c r="N24">
        <f>(Цены!N24-Цены!N$2)/Цены!N$2</f>
        <v>-5.6985294117647058E-2</v>
      </c>
      <c r="O24">
        <f>(Цены!O24-Цены!O$2)/Цены!O$2</f>
        <v>-5.8128078817733936E-2</v>
      </c>
      <c r="P24">
        <f>(Цены!P24-Цены!P$2)/Цены!P$2</f>
        <v>-2.1272930841443449E-2</v>
      </c>
      <c r="Q24">
        <f>(Цены!Q24-Цены!Q$2)/Цены!Q$2</f>
        <v>-0.12112754674853472</v>
      </c>
      <c r="R24">
        <f>(Цены!R24-Цены!R$2)/Цены!R$2</f>
        <v>-0.1086686022397345</v>
      </c>
      <c r="S24">
        <f>(Цены!S24-Цены!S$2)/Цены!S$2</f>
        <v>-3.0979827089337161E-2</v>
      </c>
      <c r="T24">
        <f>(Цены!T24-Цены!T$2)/Цены!T$2</f>
        <v>-5.7365269461077922E-2</v>
      </c>
      <c r="U24">
        <f>(Цены!U24-Цены!U$2)/Цены!U$2</f>
        <v>-0.14704855047153337</v>
      </c>
      <c r="V24">
        <f>(Цены!V24-Цены!V$2)/Цены!V$2</f>
        <v>-6.9672131147540964E-2</v>
      </c>
      <c r="W24">
        <f>(Цены!W24-Цены!W$2)/Цены!W$2</f>
        <v>-8.5526315789474436E-3</v>
      </c>
      <c r="X24">
        <f>(Цены!X24-Цены!X$2)/Цены!X$2</f>
        <v>1.6399162595952504E-2</v>
      </c>
      <c r="Y24">
        <f>(Цены!Y24-Цены!Y$2)/Цены!Y$2</f>
        <v>-9.7288071306656468E-2</v>
      </c>
      <c r="Z24">
        <f>(Цены!Z24-Цены!Z$2)/Цены!Z$2</f>
        <v>-5.9368260814410746E-2</v>
      </c>
      <c r="AA24">
        <f>(Цены!AA24-Цены!AA$2)/Цены!AA$2</f>
        <v>3.7741369221767046E-2</v>
      </c>
      <c r="AB24">
        <f>(Цены!AB24-Цены!AB$2)/Цены!AB$2</f>
        <v>-2.9014507253626812E-2</v>
      </c>
      <c r="AC24">
        <f>(Цены!AD24-Цены!AD$2)/Цены!AD$2</f>
        <v>-6.8278805120910294E-2</v>
      </c>
      <c r="AD24">
        <f>(Цены!AE24-Цены!AE$2)/Цены!AE$2</f>
        <v>-0.13926701570680627</v>
      </c>
      <c r="AE24">
        <f>(Цены!AF24-Цены!AF$2)/Цены!AF$2</f>
        <v>-2.1198639099712174E-2</v>
      </c>
      <c r="AF24">
        <f>(Цены!AG24-Цены!AG$2)/Цены!AG$2</f>
        <v>-8.8661037394451248E-2</v>
      </c>
      <c r="AG24">
        <f>(Цены!AH24-Цены!AH$2)/Цены!AH$2</f>
        <v>-0.18085106382978725</v>
      </c>
      <c r="AH24">
        <f>(Цены!AI24-Цены!AI$2)/Цены!AI$2</f>
        <v>-0.10070422535211267</v>
      </c>
      <c r="AI24">
        <f>(Цены!AJ24-Цены!AJ$2)/Цены!AJ$2</f>
        <v>-2.865329512893983E-2</v>
      </c>
      <c r="AJ24">
        <f>(Цены!AK24-Цены!AK$2)/Цены!AK$2</f>
        <v>-0.14896575699634976</v>
      </c>
      <c r="AK24">
        <f>(Цены!AL24-Цены!AL$2)/Цены!AL$2</f>
        <v>-1.6181229773462785E-2</v>
      </c>
      <c r="AL24">
        <f>(Цены!AM24-Цены!AM$2)/Цены!AM$2</f>
        <v>-8.3231665988884374E-2</v>
      </c>
      <c r="AM24">
        <f>(Цены!AN24-Цены!AN$2)/Цены!AN$2</f>
        <v>-5.2274270196877123E-2</v>
      </c>
      <c r="AN24">
        <f>(Цены!AO24-Цены!AO$2)/Цены!AO$2</f>
        <v>-6.5934065934065894E-2</v>
      </c>
      <c r="AO24">
        <f>(Цены!AP24-Цены!AP$2)/Цены!AP$2</f>
        <v>3.6452004860267312E-2</v>
      </c>
      <c r="AP24">
        <f>(Цены!AQ24-Цены!AQ$2)/Цены!AQ$2</f>
        <v>-7.1207430340557279E-2</v>
      </c>
      <c r="AQ24">
        <f>(Цены!AR24-Цены!AR$2)/Цены!AR$2</f>
        <v>6.2302006335797161E-2</v>
      </c>
      <c r="AR24">
        <f>(Цены!AS24-Цены!AS$2)/Цены!AS$2</f>
        <v>-0.10897184905150878</v>
      </c>
      <c r="AS24">
        <f>(Цены!AU24-Цены!AU$2)/Цены!AU$2</f>
        <v>9.1355599214145364E-2</v>
      </c>
      <c r="AT24">
        <f>(Цены!AV24-Цены!AV$2)/Цены!AV$2</f>
        <v>-8.6427867236279987E-2</v>
      </c>
      <c r="AU24">
        <f>(Цены!AW24-Цены!AW$2)/Цены!AW$2</f>
        <v>-0.16000710353400827</v>
      </c>
      <c r="AV24">
        <f>(Цены!AX24-Цены!AX$2)/Цены!AX$2</f>
        <v>2.6490066225165563E-3</v>
      </c>
    </row>
    <row r="25" spans="1:48" x14ac:dyDescent="0.2">
      <c r="A25" s="1" t="s">
        <v>88</v>
      </c>
      <c r="B25" s="2">
        <v>23</v>
      </c>
      <c r="C25">
        <f>(Цены!B25-Цены!B$2)/Цены!B$2</f>
        <v>-8.2868575827835272E-2</v>
      </c>
      <c r="D25">
        <f>(Цены!C25-Цены!C$2)/Цены!C$2</f>
        <v>-6.4146620847651714E-2</v>
      </c>
      <c r="E25">
        <f>(Цены!D25-Цены!D$2)/Цены!D$2</f>
        <v>-0.12931034482758619</v>
      </c>
      <c r="F25">
        <f>(Цены!E25-Цены!E$2)/Цены!E$2</f>
        <v>-9.4483568075117375E-2</v>
      </c>
      <c r="G25">
        <f>(Цены!F25-Цены!F$2)/Цены!F$2</f>
        <v>-4.7687269750307001E-2</v>
      </c>
      <c r="H25">
        <f>(Цены!G25-Цены!G$2)/Цены!G$2</f>
        <v>-4.2701863354037271E-2</v>
      </c>
      <c r="I25">
        <f>(Цены!H25-Цены!H$2)/Цены!H$2</f>
        <v>-7.9739373254731516E-2</v>
      </c>
      <c r="J25">
        <f>(Цены!J25-Цены!J$2)/Цены!J$2</f>
        <v>-0.1330166270783848</v>
      </c>
      <c r="K25">
        <f>(Цены!K25-Цены!K$2)/Цены!K$2</f>
        <v>-0.15639097744360897</v>
      </c>
      <c r="L25">
        <f>(Цены!L25-Цены!L$2)/Цены!L$2</f>
        <v>-3.8960265419681825E-2</v>
      </c>
      <c r="M25">
        <f>(Цены!M25-Цены!M$2)/Цены!M$2</f>
        <v>-4.8851094626380411E-3</v>
      </c>
      <c r="N25">
        <f>(Цены!N25-Цены!N$2)/Цены!N$2</f>
        <v>-8.4779411764705895E-2</v>
      </c>
      <c r="O25">
        <f>(Цены!O25-Цены!O$2)/Цены!O$2</f>
        <v>-0.10344827586206885</v>
      </c>
      <c r="P25">
        <f>(Цены!P25-Цены!P$2)/Цены!P$2</f>
        <v>-4.4009990526225125E-2</v>
      </c>
      <c r="Q25">
        <f>(Цены!Q25-Цены!Q$2)/Цены!Q$2</f>
        <v>-0.12550004651595492</v>
      </c>
      <c r="R25">
        <f>(Цены!R25-Цены!R$2)/Цены!R$2</f>
        <v>-0.13459145582745743</v>
      </c>
      <c r="S25">
        <f>(Цены!S25-Цены!S$2)/Цены!S$2</f>
        <v>-4.8991354466858789E-2</v>
      </c>
      <c r="T25">
        <f>(Цены!T25-Цены!T$2)/Цены!T$2</f>
        <v>-5.3293413173652729E-2</v>
      </c>
      <c r="U25">
        <f>(Цены!U25-Цены!U$2)/Цены!U$2</f>
        <v>-0.14041215508208174</v>
      </c>
      <c r="V25">
        <f>(Цены!V25-Цены!V$2)/Цены!V$2</f>
        <v>-9.9999999999999908E-2</v>
      </c>
      <c r="W25">
        <f>(Цены!W25-Цены!W$2)/Цены!W$2</f>
        <v>-1.8684210526315814E-2</v>
      </c>
      <c r="X25">
        <f>(Цены!X25-Цены!X$2)/Цены!X$2</f>
        <v>1.1863224005582613E-2</v>
      </c>
      <c r="Y25">
        <f>(Цены!Y25-Цены!Y$2)/Цены!Y$2</f>
        <v>-0.11245970036032622</v>
      </c>
      <c r="Z25">
        <f>(Цены!Z25-Цены!Z$2)/Цены!Z$2</f>
        <v>-0.11666455241236418</v>
      </c>
      <c r="AA25">
        <f>(Цены!AA25-Цены!AA$2)/Цены!AA$2</f>
        <v>1.8139262726740751E-2</v>
      </c>
      <c r="AB25">
        <f>(Цены!AB25-Цены!AB$2)/Цены!AB$2</f>
        <v>-4.5522761380690342E-2</v>
      </c>
      <c r="AC25">
        <f>(Цены!AD25-Цены!AD$2)/Цены!AD$2</f>
        <v>-8.6059743954480794E-2</v>
      </c>
      <c r="AD25">
        <f>(Цены!AE25-Цены!AE$2)/Цены!AE$2</f>
        <v>-0.14136125654450263</v>
      </c>
      <c r="AE25">
        <f>(Цены!AF25-Цены!AF$2)/Цены!AF$2</f>
        <v>-1.7011253598534413E-2</v>
      </c>
      <c r="AF25">
        <f>(Цены!AG25-Цены!AG$2)/Цены!AG$2</f>
        <v>-0.1109770808202654</v>
      </c>
      <c r="AG25">
        <f>(Цены!AH25-Цены!AH$2)/Цены!AH$2</f>
        <v>-0.19148936170212766</v>
      </c>
      <c r="AH25">
        <f>(Цены!AI25-Цены!AI$2)/Цены!AI$2</f>
        <v>-0.12816901408450695</v>
      </c>
      <c r="AI25">
        <f>(Цены!AJ25-Цены!AJ$2)/Цены!AJ$2</f>
        <v>-2.865329512893983E-2</v>
      </c>
      <c r="AJ25">
        <f>(Цены!AK25-Цены!AK$2)/Цены!AK$2</f>
        <v>-0.1614809664522858</v>
      </c>
      <c r="AK25">
        <f>(Цены!AL25-Цены!AL$2)/Цены!AL$2</f>
        <v>-1.7358046484260009E-2</v>
      </c>
      <c r="AL25">
        <f>(Цены!AM25-Цены!AM$2)/Цены!AM$2</f>
        <v>-8.0384980344313406E-2</v>
      </c>
      <c r="AM25">
        <f>(Цены!AN25-Цены!AN$2)/Цены!AN$2</f>
        <v>-5.5668703326544465E-2</v>
      </c>
      <c r="AN25">
        <f>(Цены!AO25-Цены!AO$2)/Цены!AO$2</f>
        <v>-7.4175824175824065E-2</v>
      </c>
      <c r="AO25">
        <f>(Цены!AP25-Цены!AP$2)/Цены!AP$2</f>
        <v>4.0097205346294046E-2</v>
      </c>
      <c r="AP25">
        <f>(Цены!AQ25-Цены!AQ$2)/Цены!AQ$2</f>
        <v>-7.4303405572755415E-2</v>
      </c>
      <c r="AQ25">
        <f>(Цены!AR25-Цены!AR$2)/Цены!AR$2</f>
        <v>6.124604012671591E-2</v>
      </c>
      <c r="AR25">
        <f>(Цены!AS25-Цены!AS$2)/Цены!AS$2</f>
        <v>-0.11495308175251463</v>
      </c>
      <c r="AS25">
        <f>(Цены!AU25-Цены!AU$2)/Цены!AU$2</f>
        <v>0.12180746561886056</v>
      </c>
      <c r="AT25">
        <f>(Цены!AV25-Цены!AV$2)/Цены!AV$2</f>
        <v>-0.11523715631504008</v>
      </c>
      <c r="AU25">
        <f>(Цены!AW25-Цены!AW$2)/Цены!AW$2</f>
        <v>-0.16533475404013509</v>
      </c>
      <c r="AV25">
        <f>(Цены!AX25-Цены!AX$2)/Цены!AX$2</f>
        <v>6.6225165562913907E-4</v>
      </c>
    </row>
    <row r="26" spans="1:48" x14ac:dyDescent="0.2">
      <c r="A26" s="1" t="s">
        <v>89</v>
      </c>
      <c r="B26" s="2">
        <v>24</v>
      </c>
      <c r="C26">
        <f>(Цены!B26-Цены!B$2)/Цены!B$2</f>
        <v>-7.9337015585415421E-2</v>
      </c>
      <c r="D26">
        <f>(Цены!C26-Цены!C$2)/Цены!C$2</f>
        <v>-5.8419243986254234E-2</v>
      </c>
      <c r="E26">
        <f>(Цены!D26-Цены!D$2)/Цены!D$2</f>
        <v>-0.10610079575596816</v>
      </c>
      <c r="F26">
        <f>(Цены!E26-Цены!E$2)/Цены!E$2</f>
        <v>-9.4776995305164313E-2</v>
      </c>
      <c r="G26">
        <f>(Цены!F26-Цены!F$2)/Цены!F$2</f>
        <v>-4.4617273843634876E-2</v>
      </c>
      <c r="H26">
        <f>(Цены!G26-Цены!G$2)/Цены!G$2</f>
        <v>-3.4290890269151143E-2</v>
      </c>
      <c r="I26">
        <f>(Цены!H26-Цены!H$2)/Цены!H$2</f>
        <v>-8.1290722928948109E-2</v>
      </c>
      <c r="J26">
        <f>(Цены!J26-Цены!J$2)/Цены!J$2</f>
        <v>-0.13539192399049882</v>
      </c>
      <c r="K26">
        <f>(Цены!K26-Цены!K$2)/Цены!K$2</f>
        <v>-0.15664160401002505</v>
      </c>
      <c r="L26">
        <f>(Цены!L26-Цены!L$2)/Цены!L$2</f>
        <v>-4.67525274954936E-2</v>
      </c>
      <c r="M26">
        <f>(Цены!M26-Цены!M$2)/Цены!M$2</f>
        <v>-6.5134792835173198E-3</v>
      </c>
      <c r="N26">
        <f>(Цены!N26-Цены!N$2)/Цены!N$2</f>
        <v>-0.1304411764705882</v>
      </c>
      <c r="O26">
        <f>(Цены!O26-Цены!O$2)/Цены!O$2</f>
        <v>-8.620689655172406E-2</v>
      </c>
      <c r="P26">
        <f>(Цены!P26-Цены!P$2)/Цены!P$2</f>
        <v>-3.9703729222289201E-2</v>
      </c>
      <c r="Q26">
        <f>(Цены!Q26-Цены!Q$2)/Цены!Q$2</f>
        <v>-0.10828914317610941</v>
      </c>
      <c r="R26">
        <f>(Цены!R26-Цены!R$2)/Цены!R$2</f>
        <v>-0.14454583160514306</v>
      </c>
      <c r="S26">
        <f>(Цены!S26-Цены!S$2)/Цены!S$2</f>
        <v>-4.8991354466858789E-2</v>
      </c>
      <c r="T26">
        <f>(Цены!T26-Цены!T$2)/Цены!T$2</f>
        <v>-5.2335329341317419E-2</v>
      </c>
      <c r="U26">
        <f>(Цены!U26-Цены!U$2)/Цены!U$2</f>
        <v>-0.15438351379671672</v>
      </c>
      <c r="V26">
        <f>(Цены!V26-Цены!V$2)/Цены!V$2</f>
        <v>-0.10676229508196709</v>
      </c>
      <c r="W26">
        <f>(Цены!W26-Цены!W$2)/Цены!W$2</f>
        <v>-1.3026315789473617E-2</v>
      </c>
      <c r="X26">
        <f>(Цены!X26-Цены!X$2)/Цены!X$2</f>
        <v>1.1863224005582613E-2</v>
      </c>
      <c r="Y26">
        <f>(Цены!Y26-Цены!Y$2)/Цены!Y$2</f>
        <v>-4.8928503698084672E-2</v>
      </c>
      <c r="Z26">
        <f>(Цены!Z26-Цены!Z$2)/Цены!Z$2</f>
        <v>-0.10989893864434019</v>
      </c>
      <c r="AA26">
        <f>(Цены!AA26-Цены!AA$2)/Цены!AA$2</f>
        <v>-1.1995318899941553E-2</v>
      </c>
      <c r="AB26">
        <f>(Цены!AB26-Цены!AB$2)/Цены!AB$2</f>
        <v>-5.2526263131565783E-2</v>
      </c>
      <c r="AC26">
        <f>(Цены!AD26-Цены!AD$2)/Цены!AD$2</f>
        <v>-7.8236130867709724E-2</v>
      </c>
      <c r="AD26">
        <f>(Цены!AE26-Цены!AE$2)/Цены!AE$2</f>
        <v>-0.14764397905759163</v>
      </c>
      <c r="AE26">
        <f>(Цены!AF26-Цены!AF$2)/Цены!AF$2</f>
        <v>-2.8788275320597296E-3</v>
      </c>
      <c r="AF26">
        <f>(Цены!AG26-Цены!AG$2)/Цены!AG$2</f>
        <v>-8.9264173703256997E-2</v>
      </c>
      <c r="AG26">
        <f>(Цены!AH26-Цены!AH$2)/Цены!AH$2</f>
        <v>-0.19276595744680855</v>
      </c>
      <c r="AH26">
        <f>(Цены!AI26-Цены!AI$2)/Цены!AI$2</f>
        <v>-0.13732394366197179</v>
      </c>
      <c r="AI26">
        <f>(Цены!AJ26-Цены!AJ$2)/Цены!AJ$2</f>
        <v>-2.3495702005730659E-2</v>
      </c>
      <c r="AJ26">
        <f>(Цены!AK26-Цены!AK$2)/Цены!AK$2</f>
        <v>-0.13453850165131237</v>
      </c>
      <c r="AK26">
        <f>(Цены!AL26-Цены!AL$2)/Цены!AL$2</f>
        <v>-1.7358046484260009E-2</v>
      </c>
      <c r="AL26">
        <f>(Цены!AM26-Цены!AM$2)/Цены!AM$2</f>
        <v>-6.4931543988071036E-2</v>
      </c>
      <c r="AM26">
        <f>(Цены!AN26-Цены!AN$2)/Цены!AN$2</f>
        <v>-5.4310930074677528E-2</v>
      </c>
      <c r="AN26">
        <f>(Цены!AO26-Цены!AO$2)/Цены!AO$2</f>
        <v>-8.9285714285714288E-2</v>
      </c>
      <c r="AO26">
        <f>(Цены!AP26-Цены!AP$2)/Цены!AP$2</f>
        <v>3.4021871202916158E-2</v>
      </c>
      <c r="AP26">
        <f>(Цены!AQ26-Цены!AQ$2)/Цены!AQ$2</f>
        <v>-7.7399380804953566E-2</v>
      </c>
      <c r="AQ26">
        <f>(Цены!AR26-Цены!AR$2)/Цены!AR$2</f>
        <v>6.7581837381203713E-2</v>
      </c>
      <c r="AR26">
        <f>(Цены!AS26-Цены!AS$2)/Цены!AS$2</f>
        <v>-0.15416188483089177</v>
      </c>
      <c r="AS26">
        <f>(Цены!AU26-Цены!AU$2)/Цены!AU$2</f>
        <v>0.13261296660117877</v>
      </c>
      <c r="AT26">
        <f>(Цены!AV26-Цены!AV$2)/Цены!AV$2</f>
        <v>-9.7272428524482521E-2</v>
      </c>
      <c r="AU26">
        <f>(Цены!AW26-Цены!AW$2)/Цены!AW$2</f>
        <v>-0.16053986858462091</v>
      </c>
      <c r="AV26">
        <f>(Цены!AX26-Цены!AX$2)/Цены!AX$2</f>
        <v>6.6225165562913907E-4</v>
      </c>
    </row>
    <row r="27" spans="1:48" x14ac:dyDescent="0.2">
      <c r="A27" s="1" t="s">
        <v>90</v>
      </c>
      <c r="B27" s="2">
        <v>25</v>
      </c>
      <c r="C27">
        <f>(Цены!B27-Цены!B$2)/Цены!B$2</f>
        <v>-8.3575783075366727E-2</v>
      </c>
      <c r="D27">
        <f>(Цены!C27-Цены!C$2)/Цены!C$2</f>
        <v>-7.2164948453608213E-2</v>
      </c>
      <c r="E27">
        <f>(Цены!D27-Цены!D$2)/Цены!D$2</f>
        <v>-0.10742705570291787</v>
      </c>
      <c r="F27">
        <f>(Цены!E27-Цены!E$2)/Цены!E$2</f>
        <v>-9.6684272300469484E-2</v>
      </c>
      <c r="G27">
        <f>(Цены!F27-Цены!F$2)/Цены!F$2</f>
        <v>-4.5845272206303724E-2</v>
      </c>
      <c r="H27">
        <f>(Цены!G27-Цены!G$2)/Цены!G$2</f>
        <v>-2.3033126293995801E-2</v>
      </c>
      <c r="I27">
        <f>(Цены!H27-Цены!H$2)/Цены!H$2</f>
        <v>-8.0359913124418134E-2</v>
      </c>
      <c r="J27">
        <f>(Цены!J27-Цены!J$2)/Цены!J$2</f>
        <v>-0.12114014251781473</v>
      </c>
      <c r="K27">
        <f>(Цены!K27-Цены!K$2)/Цены!K$2</f>
        <v>-0.16791979949874686</v>
      </c>
      <c r="L27">
        <f>(Цены!L27-Цены!L$2)/Цены!L$2</f>
        <v>-3.8960265419681825E-2</v>
      </c>
      <c r="M27">
        <f>(Цены!M27-Цены!M$2)/Цены!M$2</f>
        <v>-1.2122308666546127E-2</v>
      </c>
      <c r="N27">
        <f>(Цены!N27-Цены!N$2)/Цены!N$2</f>
        <v>-0.16536764705882348</v>
      </c>
      <c r="O27">
        <f>(Цены!O27-Цены!O$2)/Цены!O$2</f>
        <v>-0.10036945812807876</v>
      </c>
      <c r="P27">
        <f>(Цены!P27-Цены!P$2)/Цены!P$2</f>
        <v>-5.2622513134096972E-2</v>
      </c>
      <c r="Q27">
        <f>(Цены!Q27-Цены!Q$2)/Цены!Q$2</f>
        <v>-0.1218718020280956</v>
      </c>
      <c r="R27">
        <f>(Цены!R27-Цены!R$2)/Цены!R$2</f>
        <v>-0.14651596847780998</v>
      </c>
      <c r="S27">
        <f>(Цены!S27-Цены!S$2)/Цены!S$2</f>
        <v>-4.8991354466858789E-2</v>
      </c>
      <c r="T27">
        <f>(Цены!T27-Цены!T$2)/Цены!T$2</f>
        <v>-4.9700598802395281E-2</v>
      </c>
      <c r="U27">
        <f>(Цены!U27-Цены!U$2)/Цены!U$2</f>
        <v>-0.14634998253580161</v>
      </c>
      <c r="V27">
        <f>(Цены!V27-Цены!V$2)/Цены!V$2</f>
        <v>-7.7868852459016341E-2</v>
      </c>
      <c r="W27">
        <f>(Цены!W27-Цены!W$2)/Цены!W$2</f>
        <v>-3.2105263157894706E-2</v>
      </c>
      <c r="X27">
        <f>(Цены!X27-Цены!X$2)/Цены!X$2</f>
        <v>1.2212142358688066E-2</v>
      </c>
      <c r="Y27">
        <f>(Цены!Y27-Цены!Y$2)/Цены!Y$2</f>
        <v>-7.7185662810544314E-2</v>
      </c>
      <c r="Z27">
        <f>(Цены!Z27-Цены!Z$2)/Цены!Z$2</f>
        <v>-0.12216161359888367</v>
      </c>
      <c r="AA27">
        <f>(Цены!AA27-Цены!AA$2)/Цены!AA$2</f>
        <v>-2.2235225277940383E-2</v>
      </c>
      <c r="AB27">
        <f>(Цены!AB27-Цены!AB$2)/Цены!AB$2</f>
        <v>-5.0525262631315661E-2</v>
      </c>
      <c r="AC27">
        <f>(Цены!AD27-Цены!AD$2)/Цены!AD$2</f>
        <v>-9.4950213371265968E-2</v>
      </c>
      <c r="AD27">
        <f>(Цены!AE27-Цены!AE$2)/Цены!AE$2</f>
        <v>-0.13926701570680627</v>
      </c>
      <c r="AE27">
        <f>(Цены!AF27-Цены!AF$2)/Цены!AF$2</f>
        <v>-6.5427898455901589E-3</v>
      </c>
      <c r="AF27">
        <f>(Цены!AG27-Цены!AG$2)/Цены!AG$2</f>
        <v>-0.10132689987937279</v>
      </c>
      <c r="AG27">
        <f>(Цены!AH27-Цены!AH$2)/Цены!AH$2</f>
        <v>-0.19989361702127667</v>
      </c>
      <c r="AH27">
        <f>(Цены!AI27-Цены!AI$2)/Цены!AI$2</f>
        <v>-0.12535211267605631</v>
      </c>
      <c r="AI27">
        <f>(Цены!AJ27-Цены!AJ$2)/Цены!AJ$2</f>
        <v>-3.4383954154727794E-2</v>
      </c>
      <c r="AJ27">
        <f>(Цены!AK27-Цены!AK$2)/Цены!AK$2</f>
        <v>-0.13697201460107775</v>
      </c>
      <c r="AK27">
        <f>(Цены!AL27-Цены!AL$2)/Цены!AL$2</f>
        <v>-1.8240659017358014E-2</v>
      </c>
      <c r="AL27">
        <f>(Цены!AM27-Цены!AM$2)/Цены!AM$2</f>
        <v>-5.6933712891419276E-2</v>
      </c>
      <c r="AM27">
        <f>(Цены!AN27-Цены!AN$2)/Цены!AN$2</f>
        <v>-5.8384249830278345E-2</v>
      </c>
      <c r="AN27">
        <f>(Цены!AO27-Цены!AO$2)/Цены!AO$2</f>
        <v>-7.9670329670329637E-2</v>
      </c>
      <c r="AO27">
        <f>(Цены!AP27-Цены!AP$2)/Цены!AP$2</f>
        <v>4.25273390036452E-2</v>
      </c>
      <c r="AP27">
        <f>(Цены!AQ27-Цены!AQ$2)/Цены!AQ$2</f>
        <v>-5.7275541795665637E-2</v>
      </c>
      <c r="AQ27">
        <f>(Цены!AR27-Цены!AR$2)/Цены!AR$2</f>
        <v>7.91974656810982E-2</v>
      </c>
      <c r="AR27">
        <f>(Цены!AS27-Цены!AS$2)/Цены!AS$2</f>
        <v>-0.13754134881522984</v>
      </c>
      <c r="AS27">
        <f>(Цены!AU27-Цены!AU$2)/Цены!AU$2</f>
        <v>0.131630648330059</v>
      </c>
      <c r="AT27">
        <f>(Цены!AV27-Цены!AV$2)/Цены!AV$2</f>
        <v>-0.10395443093438501</v>
      </c>
      <c r="AU27">
        <f>(Цены!AW27-Цены!AW$2)/Цены!AW$2</f>
        <v>-0.1759900550523886</v>
      </c>
      <c r="AV27">
        <f>(Цены!AX27-Цены!AX$2)/Цены!AX$2</f>
        <v>-4.6357615894039739E-3</v>
      </c>
    </row>
    <row r="28" spans="1:48" x14ac:dyDescent="0.2">
      <c r="A28" s="1" t="s">
        <v>91</v>
      </c>
      <c r="B28" s="2">
        <v>26</v>
      </c>
      <c r="C28">
        <f>(Цены!B28-Цены!B$2)/Цены!B$2</f>
        <v>-9.3682580321734529E-2</v>
      </c>
      <c r="D28">
        <f>(Цены!C28-Цены!C$2)/Цены!C$2</f>
        <v>-7.8006872852233705E-2</v>
      </c>
      <c r="E28">
        <f>(Цены!D28-Цены!D$2)/Цены!D$2</f>
        <v>-0.11876657824933702</v>
      </c>
      <c r="F28">
        <f>(Цены!E28-Цены!E$2)/Цены!E$2</f>
        <v>-9.9178403755868547E-2</v>
      </c>
      <c r="G28">
        <f>(Цены!F28-Цены!F$2)/Цены!F$2</f>
        <v>-7.2758902988129343E-2</v>
      </c>
      <c r="H28">
        <f>(Цены!G28-Цены!G$2)/Цены!G$2</f>
        <v>-3.4290890269151143E-2</v>
      </c>
      <c r="I28">
        <f>(Цены!H28-Цены!H$2)/Цены!H$2</f>
        <v>-9.4011790257523986E-2</v>
      </c>
      <c r="J28">
        <f>(Цены!J28-Цены!J$2)/Цены!J$2</f>
        <v>-0.15688836104513068</v>
      </c>
      <c r="K28">
        <f>(Цены!K28-Цены!K$2)/Цены!K$2</f>
        <v>-0.17518796992481198</v>
      </c>
      <c r="L28">
        <f>(Цены!L28-Цены!L$2)/Цены!L$2</f>
        <v>-4.072729172653413E-2</v>
      </c>
      <c r="M28">
        <f>(Цены!M28-Цены!M$2)/Цены!M$2</f>
        <v>-2.2978107472408259E-2</v>
      </c>
      <c r="N28">
        <f>(Цены!N28-Цены!N$2)/Цены!N$2</f>
        <v>-0.14374999999999999</v>
      </c>
      <c r="O28">
        <f>(Цены!O28-Цены!O$2)/Цены!O$2</f>
        <v>-0.11034482758620678</v>
      </c>
      <c r="P28">
        <f>(Цены!P28-Цены!P$2)/Цены!P$2</f>
        <v>-6.5369046593747343E-2</v>
      </c>
      <c r="Q28">
        <f>(Цены!Q28-Цены!Q$2)/Цены!Q$2</f>
        <v>-0.14503674760442822</v>
      </c>
      <c r="R28">
        <f>(Цены!R28-Цены!R$2)/Цены!R$2</f>
        <v>-0.17223143923683121</v>
      </c>
      <c r="S28">
        <f>(Цены!S28-Цены!S$2)/Цены!S$2</f>
        <v>-4.8991354466858789E-2</v>
      </c>
      <c r="T28">
        <f>(Цены!T28-Цены!T$2)/Цены!T$2</f>
        <v>-8.3832335329341312E-2</v>
      </c>
      <c r="U28">
        <f>(Цены!U28-Цены!U$2)/Цены!U$2</f>
        <v>-0.14076143904994762</v>
      </c>
      <c r="V28">
        <f>(Цены!V28-Цены!V$2)/Цены!V$2</f>
        <v>-8.2786885245901623E-2</v>
      </c>
      <c r="W28">
        <f>(Цены!W28-Цены!W$2)/Цены!W$2</f>
        <v>-8.4736842105263124E-2</v>
      </c>
      <c r="X28">
        <f>(Цены!X28-Цены!X$2)/Цены!X$2</f>
        <v>1.6050244242847053E-2</v>
      </c>
      <c r="Y28">
        <f>(Цены!Y28-Цены!Y$2)/Цены!Y$2</f>
        <v>-0.10771856628105446</v>
      </c>
      <c r="Z28">
        <f>(Цены!Z28-Цены!Z$2)/Цены!Z$2</f>
        <v>-0.1623324453465263</v>
      </c>
      <c r="AA28">
        <f>(Цены!AA28-Цены!AA$2)/Цены!AA$2</f>
        <v>-5.7050906963136333E-2</v>
      </c>
      <c r="AB28">
        <f>(Цены!AB28-Цены!AB$2)/Цены!AB$2</f>
        <v>-5.4027013506753374E-2</v>
      </c>
      <c r="AC28">
        <f>(Цены!AD28-Цены!AD$2)/Цены!AD$2</f>
        <v>-0.10953058321479368</v>
      </c>
      <c r="AD28">
        <f>(Цены!AE28-Цены!AE$2)/Цены!AE$2</f>
        <v>-0.14031413612565444</v>
      </c>
      <c r="AE28">
        <f>(Цены!AF28-Цены!AF$2)/Цены!AF$2</f>
        <v>-2.8788275320597296E-3</v>
      </c>
      <c r="AF28">
        <f>(Цены!AG28-Цены!AG$2)/Цены!AG$2</f>
        <v>-0.1073582629674307</v>
      </c>
      <c r="AG28">
        <f>(Цены!AH28-Цены!AH$2)/Цены!AH$2</f>
        <v>-0.22441489361702127</v>
      </c>
      <c r="AH28">
        <f>(Цены!AI28-Цены!AI$2)/Цены!AI$2</f>
        <v>-0.13943661971830978</v>
      </c>
      <c r="AI28">
        <f>(Цены!AJ28-Цены!AJ$2)/Цены!AJ$2</f>
        <v>-3.151862464183381E-2</v>
      </c>
      <c r="AJ28">
        <f>(Цены!AK28-Цены!AK$2)/Цены!AK$2</f>
        <v>-0.14305579697549112</v>
      </c>
      <c r="AK28">
        <f>(Цены!AL28-Цены!AL$2)/Цены!AL$2</f>
        <v>-1.7358046484260009E-2</v>
      </c>
      <c r="AL28">
        <f>(Цены!AM28-Цены!AM$2)/Цены!AM$2</f>
        <v>-5.1647010980073203E-2</v>
      </c>
      <c r="AM28">
        <f>(Цены!AN28-Цены!AN$2)/Цены!AN$2</f>
        <v>-5.5668703326544465E-2</v>
      </c>
      <c r="AN28">
        <f>(Цены!AO28-Цены!AO$2)/Цены!AO$2</f>
        <v>-7.9670329670329637E-2</v>
      </c>
      <c r="AO28">
        <f>(Цены!AP28-Цены!AP$2)/Цены!AP$2</f>
        <v>4.6172539489671933E-2</v>
      </c>
      <c r="AP28">
        <f>(Цены!AQ28-Цены!AQ$2)/Цены!AQ$2</f>
        <v>-4.4891640866873063E-2</v>
      </c>
      <c r="AQ28">
        <f>(Цены!AR28-Цены!AR$2)/Цены!AR$2</f>
        <v>6.6525871172122455E-2</v>
      </c>
      <c r="AR28">
        <f>(Цены!AS28-Цены!AS$2)/Цены!AS$2</f>
        <v>-0.16146627961925331</v>
      </c>
      <c r="AS28">
        <f>(Цены!AU28-Цены!AU$2)/Цены!AU$2</f>
        <v>0.11591355599214143</v>
      </c>
      <c r="AT28">
        <f>(Цены!AV28-Цены!AV$2)/Цены!AV$2</f>
        <v>-0.14777084017964737</v>
      </c>
      <c r="AU28">
        <f>(Цены!AW28-Цены!AW$2)/Цены!AW$2</f>
        <v>-0.19854377552832544</v>
      </c>
      <c r="AV28">
        <f>(Цены!AX28-Цены!AX$2)/Цены!AX$2</f>
        <v>-9.9337748344370865E-3</v>
      </c>
    </row>
    <row r="29" spans="1:48" x14ac:dyDescent="0.2">
      <c r="A29" s="1" t="s">
        <v>92</v>
      </c>
      <c r="B29" s="2">
        <v>27</v>
      </c>
      <c r="C29">
        <f>(Цены!B29-Цены!B$2)/Цены!B$2</f>
        <v>-9.3682580321734529E-2</v>
      </c>
      <c r="D29">
        <f>(Цены!C29-Цены!C$2)/Цены!C$2</f>
        <v>-7.8006872852233705E-2</v>
      </c>
      <c r="E29">
        <f>(Цены!D29-Цены!D$2)/Цены!D$2</f>
        <v>-0.11876657824933702</v>
      </c>
      <c r="F29">
        <f>(Цены!E29-Цены!E$2)/Цены!E$2</f>
        <v>-9.9178403755868547E-2</v>
      </c>
      <c r="G29">
        <f>(Цены!F29-Цены!F$2)/Цены!F$2</f>
        <v>-7.2758902988129343E-2</v>
      </c>
      <c r="H29">
        <f>(Цены!G29-Цены!G$2)/Цены!G$2</f>
        <v>-3.4290890269151143E-2</v>
      </c>
      <c r="I29">
        <f>(Цены!H29-Цены!H$2)/Цены!H$2</f>
        <v>-9.4011790257523986E-2</v>
      </c>
      <c r="J29">
        <f>(Цены!J29-Цены!J$2)/Цены!J$2</f>
        <v>-0.15688836104513068</v>
      </c>
      <c r="K29">
        <f>(Цены!K29-Цены!K$2)/Цены!K$2</f>
        <v>-0.17518796992481198</v>
      </c>
      <c r="L29">
        <f>(Цены!L29-Цены!L$2)/Цены!L$2</f>
        <v>-4.072729172653413E-2</v>
      </c>
      <c r="M29">
        <f>(Цены!M29-Цены!M$2)/Цены!M$2</f>
        <v>-2.2978107472408259E-2</v>
      </c>
      <c r="N29">
        <f>(Цены!N29-Цены!N$2)/Цены!N$2</f>
        <v>-0.14374999999999999</v>
      </c>
      <c r="O29">
        <f>(Цены!O29-Цены!O$2)/Цены!O$2</f>
        <v>-0.11034482758620678</v>
      </c>
      <c r="P29">
        <f>(Цены!P29-Цены!P$2)/Цены!P$2</f>
        <v>-6.5369046593747343E-2</v>
      </c>
      <c r="Q29">
        <f>(Цены!Q29-Цены!Q$2)/Цены!Q$2</f>
        <v>-0.14503674760442822</v>
      </c>
      <c r="R29">
        <f>(Цены!R29-Цены!R$2)/Цены!R$2</f>
        <v>-0.17223143923683121</v>
      </c>
      <c r="S29">
        <f>(Цены!S29-Цены!S$2)/Цены!S$2</f>
        <v>-4.8991354466858789E-2</v>
      </c>
      <c r="T29">
        <f>(Цены!T29-Цены!T$2)/Цены!T$2</f>
        <v>-8.3832335329341312E-2</v>
      </c>
      <c r="U29">
        <f>(Цены!U29-Цены!U$2)/Цены!U$2</f>
        <v>-0.14076143904994762</v>
      </c>
      <c r="V29">
        <f>(Цены!V29-Цены!V$2)/Цены!V$2</f>
        <v>-8.2786885245901623E-2</v>
      </c>
      <c r="W29">
        <f>(Цены!W29-Цены!W$2)/Цены!W$2</f>
        <v>-8.4736842105263124E-2</v>
      </c>
      <c r="X29">
        <f>(Цены!X29-Цены!X$2)/Цены!X$2</f>
        <v>1.6050244242847053E-2</v>
      </c>
      <c r="Y29">
        <f>(Цены!Y29-Цены!Y$2)/Цены!Y$2</f>
        <v>-0.10771856628105446</v>
      </c>
      <c r="Z29">
        <f>(Цены!Z29-Цены!Z$2)/Цены!Z$2</f>
        <v>-0.1623324453465263</v>
      </c>
      <c r="AA29">
        <f>(Цены!AA29-Цены!AA$2)/Цены!AA$2</f>
        <v>-5.7050906963136333E-2</v>
      </c>
      <c r="AB29">
        <f>(Цены!AB29-Цены!AB$2)/Цены!AB$2</f>
        <v>-5.4027013506753374E-2</v>
      </c>
      <c r="AC29">
        <f>(Цены!AD29-Цены!AD$2)/Цены!AD$2</f>
        <v>-0.10953058321479368</v>
      </c>
      <c r="AD29">
        <f>(Цены!AE29-Цены!AE$2)/Цены!AE$2</f>
        <v>-0.14031413612565444</v>
      </c>
      <c r="AE29">
        <f>(Цены!AF29-Цены!AF$2)/Цены!AF$2</f>
        <v>-2.8788275320597296E-3</v>
      </c>
      <c r="AF29">
        <f>(Цены!AG29-Цены!AG$2)/Цены!AG$2</f>
        <v>-0.1073582629674307</v>
      </c>
      <c r="AG29">
        <f>(Цены!AH29-Цены!AH$2)/Цены!AH$2</f>
        <v>-0.22441489361702127</v>
      </c>
      <c r="AH29">
        <f>(Цены!AI29-Цены!AI$2)/Цены!AI$2</f>
        <v>-0.13943661971830978</v>
      </c>
      <c r="AI29">
        <f>(Цены!AJ29-Цены!AJ$2)/Цены!AJ$2</f>
        <v>-3.151862464183381E-2</v>
      </c>
      <c r="AJ29">
        <f>(Цены!AK29-Цены!AK$2)/Цены!AK$2</f>
        <v>-0.14305579697549112</v>
      </c>
      <c r="AK29">
        <f>(Цены!AL29-Цены!AL$2)/Цены!AL$2</f>
        <v>-1.7358046484260009E-2</v>
      </c>
      <c r="AL29">
        <f>(Цены!AM29-Цены!AM$2)/Цены!AM$2</f>
        <v>-5.1647010980073203E-2</v>
      </c>
      <c r="AM29">
        <f>(Цены!AN29-Цены!AN$2)/Цены!AN$2</f>
        <v>-5.5668703326544465E-2</v>
      </c>
      <c r="AN29">
        <f>(Цены!AO29-Цены!AO$2)/Цены!AO$2</f>
        <v>-7.9670329670329637E-2</v>
      </c>
      <c r="AO29">
        <f>(Цены!AP29-Цены!AP$2)/Цены!AP$2</f>
        <v>4.6172539489671933E-2</v>
      </c>
      <c r="AP29">
        <f>(Цены!AQ29-Цены!AQ$2)/Цены!AQ$2</f>
        <v>-4.4891640866873063E-2</v>
      </c>
      <c r="AQ29">
        <f>(Цены!AR29-Цены!AR$2)/Цены!AR$2</f>
        <v>6.6525871172122455E-2</v>
      </c>
      <c r="AR29">
        <f>(Цены!AS29-Цены!AS$2)/Цены!AS$2</f>
        <v>-0.16146627961925331</v>
      </c>
      <c r="AS29">
        <f>(Цены!AU29-Цены!AU$2)/Цены!AU$2</f>
        <v>0.11591355599214143</v>
      </c>
      <c r="AT29">
        <f>(Цены!AV29-Цены!AV$2)/Цены!AV$2</f>
        <v>-0.14777084017964737</v>
      </c>
      <c r="AU29">
        <f>(Цены!AW29-Цены!AW$2)/Цены!AW$2</f>
        <v>-0.19854377552832544</v>
      </c>
      <c r="AV29">
        <f>(Цены!AX29-Цены!AX$2)/Цены!AX$2</f>
        <v>-9.9337748344370865E-3</v>
      </c>
    </row>
    <row r="30" spans="1:48" x14ac:dyDescent="0.2">
      <c r="A30" s="1" t="s">
        <v>93</v>
      </c>
      <c r="B30" s="2">
        <v>28</v>
      </c>
      <c r="C30">
        <f>(Цены!B30-Цены!B$2)/Цены!B$2</f>
        <v>-0.11633111622369229</v>
      </c>
      <c r="D30">
        <f>(Цены!C30-Цены!C$2)/Цены!C$2</f>
        <v>-0.10538373424971367</v>
      </c>
      <c r="E30">
        <f>(Цены!D30-Цены!D$2)/Цены!D$2</f>
        <v>-0.14456233421750669</v>
      </c>
      <c r="F30">
        <f>(Цены!E30-Цены!E$2)/Цены!E$2</f>
        <v>-0.12852112676056338</v>
      </c>
      <c r="G30">
        <f>(Цены!F30-Цены!F$2)/Цены!F$2</f>
        <v>-9.8751534997953333E-2</v>
      </c>
      <c r="H30">
        <f>(Цены!G30-Цены!G$2)/Цены!G$2</f>
        <v>-7.4534161490683121E-2</v>
      </c>
      <c r="I30">
        <f>(Цены!H30-Цены!H$2)/Цены!H$2</f>
        <v>-9.4166925224945602E-2</v>
      </c>
      <c r="J30">
        <f>(Цены!J30-Цены!J$2)/Цены!J$2</f>
        <v>-0.18598574821852734</v>
      </c>
      <c r="K30">
        <f>(Цены!K30-Цены!K$2)/Цены!K$2</f>
        <v>-0.20087719298245607</v>
      </c>
      <c r="L30">
        <f>(Цены!L30-Цены!L$2)/Цены!L$2</f>
        <v>-5.8597142036103368E-2</v>
      </c>
      <c r="M30">
        <f>(Цены!M30-Цены!M$2)/Цены!M$2</f>
        <v>-7.0019902297810827E-2</v>
      </c>
      <c r="N30">
        <f>(Цены!N30-Цены!N$2)/Цены!N$2</f>
        <v>-0.16544117647058823</v>
      </c>
      <c r="O30">
        <f>(Цены!O30-Цены!O$2)/Цены!O$2</f>
        <v>-0.12931034482758608</v>
      </c>
      <c r="P30">
        <f>(Цены!P30-Цены!P$2)/Цены!P$2</f>
        <v>-6.6747050211006798E-2</v>
      </c>
      <c r="Q30">
        <f>(Цены!Q30-Цены!Q$2)/Цены!Q$2</f>
        <v>-0.17210903339845568</v>
      </c>
      <c r="R30">
        <f>(Цены!R30-Цены!R$2)/Цены!R$2</f>
        <v>-0.16103276648693485</v>
      </c>
      <c r="S30">
        <f>(Цены!S30-Цены!S$2)/Цены!S$2</f>
        <v>-6.9164265129682975E-2</v>
      </c>
      <c r="T30">
        <f>(Цены!T30-Цены!T$2)/Цены!T$2</f>
        <v>-9.580838323353294E-2</v>
      </c>
      <c r="U30">
        <f>(Цены!U30-Цены!U$2)/Цены!U$2</f>
        <v>-0.1673070206077541</v>
      </c>
      <c r="V30">
        <f>(Цены!V30-Цены!V$2)/Цены!V$2</f>
        <v>-0.13073770491803269</v>
      </c>
      <c r="W30">
        <f>(Цены!W30-Цены!W$2)/Цены!W$2</f>
        <v>-0.10078947368421048</v>
      </c>
      <c r="X30">
        <f>(Цены!X30-Цены!X$2)/Цены!X$2</f>
        <v>1.1863224005582613E-2</v>
      </c>
      <c r="Y30">
        <f>(Цены!Y30-Цены!Y$2)/Цены!Y$2</f>
        <v>-0.14138061824388395</v>
      </c>
      <c r="Z30">
        <f>(Цены!Z30-Цены!Z$2)/Цены!Z$2</f>
        <v>-0.30758171592879191</v>
      </c>
      <c r="AA30">
        <f>(Цены!AA30-Цены!AA$2)/Цены!AA$2</f>
        <v>-0.10678759508484494</v>
      </c>
      <c r="AB30">
        <f>(Цены!AB30-Цены!AB$2)/Цены!AB$2</f>
        <v>-7.0535267633816914E-2</v>
      </c>
      <c r="AC30">
        <f>(Цены!AD30-Цены!AD$2)/Цены!AD$2</f>
        <v>-0.13904694167852064</v>
      </c>
      <c r="AD30">
        <f>(Цены!AE30-Цены!AE$2)/Цены!AE$2</f>
        <v>-0.16649214659685863</v>
      </c>
      <c r="AE30">
        <f>(Цены!AF30-Цены!AF$2)/Цены!AF$2</f>
        <v>1.439413766029835E-2</v>
      </c>
      <c r="AF30">
        <f>(Цены!AG30-Цены!AG$2)/Цены!AG$2</f>
        <v>-9.7708082026538093E-2</v>
      </c>
      <c r="AG30">
        <f>(Цены!AH30-Цены!AH$2)/Цены!AH$2</f>
        <v>-0.28473404255319151</v>
      </c>
      <c r="AH30">
        <f>(Цены!AI30-Цены!AI$2)/Цены!AI$2</f>
        <v>-0.18309859154929575</v>
      </c>
      <c r="AI30">
        <f>(Цены!AJ30-Цены!AJ$2)/Цены!AJ$2</f>
        <v>-4.0401146131805156E-2</v>
      </c>
      <c r="AJ30">
        <f>(Цены!AK30-Цены!AK$2)/Цены!AK$2</f>
        <v>-0.20215539718407791</v>
      </c>
      <c r="AK30">
        <f>(Цены!AL30-Цены!AL$2)/Цены!AL$2</f>
        <v>2.9420417769939025E-4</v>
      </c>
      <c r="AL30">
        <f>(Цены!AM30-Цены!AM$2)/Цены!AM$2</f>
        <v>1.1928968415344991E-2</v>
      </c>
      <c r="AM30">
        <f>(Цены!AN30-Цены!AN$2)/Цены!AN$2</f>
        <v>-7.3319755600814662E-2</v>
      </c>
      <c r="AN30">
        <f>(Цены!AO30-Цены!AO$2)/Цены!AO$2</f>
        <v>-0.16758241758241754</v>
      </c>
      <c r="AO30">
        <f>(Цены!AP30-Цены!AP$2)/Цены!AP$2</f>
        <v>8.5054678007290396E-3</v>
      </c>
      <c r="AP30">
        <f>(Цены!AQ30-Цены!AQ$2)/Цены!AQ$2</f>
        <v>-5.2631578947368418E-2</v>
      </c>
      <c r="AQ30">
        <f>(Цены!AR30-Цены!AR$2)/Цены!AR$2</f>
        <v>2.9567053854276631E-2</v>
      </c>
      <c r="AR30">
        <f>(Цены!AS30-Цены!AS$2)/Цены!AS$2</f>
        <v>-0.23189090663606288</v>
      </c>
      <c r="AS30">
        <f>(Цены!AU30-Цены!AU$2)/Цены!AU$2</f>
        <v>0.10707269155206292</v>
      </c>
      <c r="AT30">
        <f>(Цены!AV30-Цены!AV$2)/Цены!AV$2</f>
        <v>-0.29346040092014464</v>
      </c>
      <c r="AU30">
        <f>(Цены!AW30-Цены!AW$2)/Цены!AW$2</f>
        <v>-0.24791333688510042</v>
      </c>
      <c r="AV30">
        <f>(Цены!AX30-Цены!AX$2)/Цены!AX$2</f>
        <v>-1.5894039735099338E-2</v>
      </c>
    </row>
    <row r="31" spans="1:48" x14ac:dyDescent="0.2">
      <c r="A31" s="1" t="s">
        <v>94</v>
      </c>
      <c r="B31" s="2">
        <v>29</v>
      </c>
      <c r="C31">
        <f>(Цены!B31-Цены!B$2)/Цены!B$2</f>
        <v>-0.11645644409034342</v>
      </c>
      <c r="D31">
        <f>(Цены!C31-Цены!C$2)/Цены!C$2</f>
        <v>-9.7938144329896878E-2</v>
      </c>
      <c r="E31">
        <f>(Цены!D31-Цены!D$2)/Цены!D$2</f>
        <v>-0.14602122015915125</v>
      </c>
      <c r="F31">
        <f>(Цены!E31-Цены!E$2)/Цены!E$2</f>
        <v>-0.11150234741784038</v>
      </c>
      <c r="G31">
        <f>(Цены!F31-Цены!F$2)/Цены!F$2</f>
        <v>-9.3839541547277944E-2</v>
      </c>
      <c r="H31">
        <f>(Цены!G31-Цены!G$2)/Цены!G$2</f>
        <v>-8.4756728778467919E-2</v>
      </c>
      <c r="I31">
        <f>(Цены!H31-Цены!H$2)/Цены!H$2</f>
        <v>-0.12503878374185534</v>
      </c>
      <c r="J31">
        <f>(Цены!J31-Цены!J$2)/Цены!J$2</f>
        <v>-0.18978622327790967</v>
      </c>
      <c r="K31">
        <f>(Цены!K31-Цены!K$2)/Цены!K$2</f>
        <v>-0.21052631578947367</v>
      </c>
      <c r="L31">
        <f>(Цены!L31-Цены!L$2)/Цены!L$2</f>
        <v>-4.8830951696752715E-2</v>
      </c>
      <c r="M31">
        <f>(Цены!M31-Цены!M$2)/Цены!M$2</f>
        <v>-7.653338158132815E-2</v>
      </c>
      <c r="N31">
        <f>(Цены!N31-Цены!N$2)/Цены!N$2</f>
        <v>-0.16911764705882354</v>
      </c>
      <c r="O31">
        <f>(Цены!O31-Цены!O$2)/Цены!O$2</f>
        <v>-0.11330049261083733</v>
      </c>
      <c r="P31">
        <f>(Цены!P31-Цены!P$2)/Цены!P$2</f>
        <v>-6.9503057445525734E-2</v>
      </c>
      <c r="Q31">
        <f>(Цены!Q31-Цены!Q$2)/Цены!Q$2</f>
        <v>-0.19992557447204387</v>
      </c>
      <c r="R31">
        <f>(Цены!R31-Цены!R$2)/Цены!R$2</f>
        <v>-0.15989216092907502</v>
      </c>
      <c r="S31">
        <f>(Цены!S31-Цены!S$2)/Цены!S$2</f>
        <v>-6.2680115273775303E-2</v>
      </c>
      <c r="T31">
        <f>(Цены!T31-Цены!T$2)/Цены!T$2</f>
        <v>-0.10299401197604784</v>
      </c>
      <c r="U31">
        <f>(Цены!U31-Цены!U$2)/Цены!U$2</f>
        <v>-0.19699615787635347</v>
      </c>
      <c r="V31">
        <f>(Цены!V31-Цены!V$2)/Цены!V$2</f>
        <v>-0.14077868852459011</v>
      </c>
      <c r="W31">
        <f>(Цены!W31-Цены!W$2)/Цены!W$2</f>
        <v>-0.13157894736842105</v>
      </c>
      <c r="X31">
        <f>(Цены!X31-Цены!X$2)/Цены!X$2</f>
        <v>1.1863224005582613E-2</v>
      </c>
      <c r="Y31">
        <f>(Цены!Y31-Цены!Y$2)/Цены!Y$2</f>
        <v>-0.11483026739996206</v>
      </c>
      <c r="Z31">
        <f>(Цены!Z31-Цены!Z$2)/Цены!Z$2</f>
        <v>-0.26106812127362689</v>
      </c>
      <c r="AA31">
        <f>(Цены!AA31-Цены!AA$2)/Цены!AA$2</f>
        <v>-0.12697483908718557</v>
      </c>
      <c r="AB31">
        <f>(Цены!AB31-Цены!AB$2)/Цены!AB$2</f>
        <v>-8.2041020510255122E-2</v>
      </c>
      <c r="AC31">
        <f>(Цены!AD31-Цены!AD$2)/Цены!AD$2</f>
        <v>-0.12802275960170692</v>
      </c>
      <c r="AD31">
        <f>(Цены!AE31-Цены!AE$2)/Цены!AE$2</f>
        <v>-0.16230366492146597</v>
      </c>
      <c r="AE31">
        <f>(Цены!AF31-Цены!AF$2)/Цены!AF$2</f>
        <v>-2.6171159382366589E-4</v>
      </c>
      <c r="AF31">
        <f>(Цены!AG31-Цены!AG$2)/Цены!AG$2</f>
        <v>-0.1194209891435465</v>
      </c>
      <c r="AG31">
        <f>(Цены!AH31-Цены!AH$2)/Цены!AH$2</f>
        <v>-0.29255319148936171</v>
      </c>
      <c r="AH31">
        <f>(Цены!AI31-Цены!AI$2)/Цены!AI$2</f>
        <v>-0.16971830985915495</v>
      </c>
      <c r="AI31">
        <f>(Цены!AJ31-Цены!AJ$2)/Цены!AJ$2</f>
        <v>-5.730659025787966E-2</v>
      </c>
      <c r="AJ31">
        <f>(Цены!AK31-Цены!AK$2)/Цены!AK$2</f>
        <v>-0.18720667477837649</v>
      </c>
      <c r="AK31">
        <f>(Цены!AL31-Цены!AL$2)/Цены!AL$2</f>
        <v>-1.706384230656062E-2</v>
      </c>
      <c r="AL31">
        <f>(Цены!AM31-Цены!AM$2)/Цены!AM$2</f>
        <v>-2.2909041615832994E-2</v>
      </c>
      <c r="AM31">
        <f>(Цены!AN31-Цены!AN$2)/Цены!AN$2</f>
        <v>-8.2145281737949757E-2</v>
      </c>
      <c r="AN31">
        <f>(Цены!AO31-Цены!AO$2)/Цены!AO$2</f>
        <v>-0.15109890109890112</v>
      </c>
      <c r="AO31">
        <f>(Цены!AP31-Цены!AP$2)/Цены!AP$2</f>
        <v>3.7667071688942892E-2</v>
      </c>
      <c r="AP31">
        <f>(Цены!AQ31-Цены!AQ$2)/Цены!AQ$2</f>
        <v>-6.5015479876160992E-2</v>
      </c>
      <c r="AQ31">
        <f>(Цены!AR31-Цены!AR$2)/Цены!AR$2</f>
        <v>3.3790918690601933E-2</v>
      </c>
      <c r="AR31">
        <f>(Цены!AS31-Цены!AS$2)/Цены!AS$2</f>
        <v>-0.21063930331465605</v>
      </c>
      <c r="AS31">
        <f>(Цены!AU31-Цены!AU$2)/Цены!AU$2</f>
        <v>0.11394891944990186</v>
      </c>
      <c r="AT31">
        <f>(Цены!AV31-Цены!AV$2)/Цены!AV$2</f>
        <v>-0.27144265527440026</v>
      </c>
      <c r="AU31">
        <f>(Цены!AW31-Цены!AW$2)/Цены!AW$2</f>
        <v>-0.23459421061978342</v>
      </c>
      <c r="AV31">
        <f>(Цены!AX31-Цены!AX$2)/Цены!AX$2</f>
        <v>-1.5894039735099338E-2</v>
      </c>
    </row>
    <row r="32" spans="1:48" x14ac:dyDescent="0.2">
      <c r="A32" s="1" t="s">
        <v>95</v>
      </c>
      <c r="B32" s="2">
        <v>30</v>
      </c>
      <c r="C32">
        <f>(Цены!B32-Цены!B$2)/Цены!B$2</f>
        <v>-0.10473828855846087</v>
      </c>
      <c r="D32">
        <f>(Цены!C32-Цены!C$2)/Цены!C$2</f>
        <v>-8.9805269186712527E-2</v>
      </c>
      <c r="E32">
        <f>(Цены!D32-Цены!D$2)/Цены!D$2</f>
        <v>-0.138395225464191</v>
      </c>
      <c r="F32">
        <f>(Цены!E32-Цены!E$2)/Цены!E$2</f>
        <v>-0.10475352112676056</v>
      </c>
      <c r="G32">
        <f>(Цены!F32-Цены!F$2)/Цены!F$2</f>
        <v>-8.2582889889480149E-2</v>
      </c>
      <c r="H32">
        <f>(Цены!G32-Цены!G$2)/Цены!G$2</f>
        <v>-6.5993788819875776E-2</v>
      </c>
      <c r="I32">
        <f>(Цены!H32-Цены!H$2)/Цены!H$2</f>
        <v>-0.12038473471920558</v>
      </c>
      <c r="J32">
        <f>(Цены!J32-Цены!J$2)/Цены!J$2</f>
        <v>-0.13681710213776727</v>
      </c>
      <c r="K32">
        <f>(Цены!K32-Цены!K$2)/Цены!K$2</f>
        <v>-0.20238095238095238</v>
      </c>
      <c r="L32">
        <f>(Цены!L32-Цены!L$2)/Цены!L$2</f>
        <v>-4.0519344810470516E-2</v>
      </c>
      <c r="M32">
        <f>(Цены!M32-Цены!M$2)/Цены!M$2</f>
        <v>-1.646462818889094E-2</v>
      </c>
      <c r="N32">
        <f>(Цены!N32-Цены!N$2)/Цены!N$2</f>
        <v>-0.16161764705882356</v>
      </c>
      <c r="O32">
        <f>(Цены!O32-Цены!O$2)/Цены!O$2</f>
        <v>-8.546798029556639E-2</v>
      </c>
      <c r="P32">
        <f>(Цены!P32-Цены!P$2)/Цены!P$2</f>
        <v>-6.9675307897683267E-2</v>
      </c>
      <c r="Q32">
        <f>(Цены!Q32-Цены!Q$2)/Цены!Q$2</f>
        <v>-0.18141222439296681</v>
      </c>
      <c r="R32">
        <f>(Цены!R32-Цены!R$2)/Цены!R$2</f>
        <v>-0.1587515553712153</v>
      </c>
      <c r="S32">
        <f>(Цены!S32-Цены!S$2)/Цены!S$2</f>
        <v>-5.9610951008645559E-2</v>
      </c>
      <c r="T32">
        <f>(Цены!T32-Цены!T$2)/Цены!T$2</f>
        <v>-8.4910179640718605E-2</v>
      </c>
      <c r="U32">
        <f>(Цены!U32-Цены!U$2)/Цены!U$2</f>
        <v>-0.19524973803702411</v>
      </c>
      <c r="V32">
        <f>(Цены!V32-Цены!V$2)/Цены!V$2</f>
        <v>-0.1081967213114753</v>
      </c>
      <c r="W32">
        <f>(Цены!W32-Цены!W$2)/Цены!W$2</f>
        <v>-0.10526315789473684</v>
      </c>
      <c r="X32">
        <f>(Цены!X32-Цены!X$2)/Цены!X$2</f>
        <v>3.977669225401248E-2</v>
      </c>
      <c r="Y32">
        <f>(Цены!Y32-Цены!Y$2)/Цены!Y$2</f>
        <v>-0.11615778494215812</v>
      </c>
      <c r="Z32">
        <f>(Цены!Z32-Цены!Z$2)/Цены!Z$2</f>
        <v>-0.2536682312148506</v>
      </c>
      <c r="AA32">
        <f>(Цены!AA32-Цены!AA$2)/Цены!AA$2</f>
        <v>-7.8993563487419538E-2</v>
      </c>
      <c r="AB32">
        <f>(Цены!AB32-Цены!AB$2)/Цены!AB$2</f>
        <v>-8.1540770385192599E-2</v>
      </c>
      <c r="AC32">
        <f>(Цены!AD32-Цены!AD$2)/Цены!AD$2</f>
        <v>-0.12517780938833567</v>
      </c>
      <c r="AD32">
        <f>(Цены!AE32-Цены!AE$2)/Цены!AE$2</f>
        <v>-0.17068062827225131</v>
      </c>
      <c r="AE32">
        <f>(Цены!AF32-Цены!AF$2)/Цены!AF$2</f>
        <v>9.9450405652969226E-3</v>
      </c>
      <c r="AF32">
        <f>(Цены!AG32-Цены!AG$2)/Цены!AG$2</f>
        <v>-0.10856453558504221</v>
      </c>
      <c r="AG32">
        <f>(Цены!AH32-Цены!AH$2)/Цены!AH$2</f>
        <v>-0.23936170212765959</v>
      </c>
      <c r="AH32">
        <f>(Цены!AI32-Цены!AI$2)/Цены!AI$2</f>
        <v>-0.16338028169014074</v>
      </c>
      <c r="AI32">
        <f>(Цены!AJ32-Цены!AJ$2)/Цены!AJ$2</f>
        <v>-6.3037249283667621E-2</v>
      </c>
      <c r="AJ32">
        <f>(Цены!AK32-Цены!AK$2)/Цены!AK$2</f>
        <v>-0.1832087606466192</v>
      </c>
      <c r="AK32">
        <f>(Цены!AL32-Цены!AL$2)/Цены!AL$2</f>
        <v>-9.1203295086789236E-3</v>
      </c>
      <c r="AL32">
        <f>(Цены!AM32-Цены!AM$2)/Цены!AM$2</f>
        <v>3.1177985631015317E-3</v>
      </c>
      <c r="AM32">
        <f>(Цены!AN32-Цены!AN$2)/Цены!AN$2</f>
        <v>-5.7705363204344877E-2</v>
      </c>
      <c r="AN32">
        <f>(Цены!AO32-Цены!AO$2)/Цены!AO$2</f>
        <v>-0.14972527472527472</v>
      </c>
      <c r="AO32">
        <f>(Цены!AP32-Цены!AP$2)/Цены!AP$2</f>
        <v>2.551640340218712E-2</v>
      </c>
      <c r="AP32">
        <f>(Цены!AQ32-Цены!AQ$2)/Цены!AQ$2</f>
        <v>-6.5015479876160992E-2</v>
      </c>
      <c r="AQ32">
        <f>(Цены!AR32-Цены!AR$2)/Цены!AR$2</f>
        <v>4.1182682154170973E-2</v>
      </c>
      <c r="AR32">
        <f>(Цены!AS32-Цены!AS$2)/Цены!AS$2</f>
        <v>-0.21594545331803128</v>
      </c>
      <c r="AS32">
        <f>(Цены!AU32-Цены!AU$2)/Цены!AU$2</f>
        <v>0.12377210216110028</v>
      </c>
      <c r="AT32">
        <f>(Цены!AV32-Цены!AV$2)/Цены!AV$2</f>
        <v>-0.27856282177675545</v>
      </c>
      <c r="AU32">
        <f>(Цены!AW32-Цены!AW$2)/Цены!AW$2</f>
        <v>-0.26212040490143856</v>
      </c>
      <c r="AV32">
        <f>(Цены!AX32-Цены!AX$2)/Цены!AX$2</f>
        <v>-1.7218543046357615E-2</v>
      </c>
    </row>
    <row r="33" spans="1:48" x14ac:dyDescent="0.2">
      <c r="A33" s="1" t="s">
        <v>96</v>
      </c>
      <c r="B33" s="2">
        <v>31</v>
      </c>
      <c r="C33">
        <f>(Цены!B33-Цены!B$2)/Цены!B$2</f>
        <v>-0.10424145308709386</v>
      </c>
      <c r="D33">
        <f>(Цены!C33-Цены!C$2)/Цены!C$2</f>
        <v>-9.8396334478808745E-2</v>
      </c>
      <c r="E33">
        <f>(Цены!D33-Цены!D$2)/Цены!D$2</f>
        <v>-0.14588859416445621</v>
      </c>
      <c r="F33">
        <f>(Цены!E33-Цены!E$2)/Цены!E$2</f>
        <v>-9.6244131455399062E-2</v>
      </c>
      <c r="G33">
        <f>(Цены!F33-Цены!F$2)/Цены!F$2</f>
        <v>-6.9074907900122801E-2</v>
      </c>
      <c r="H33">
        <f>(Цены!G33-Цены!G$2)/Цены!G$2</f>
        <v>-7.1687370600414052E-2</v>
      </c>
      <c r="I33">
        <f>(Цены!H33-Цены!H$2)/Цены!H$2</f>
        <v>-0.11092150170648452</v>
      </c>
      <c r="J33">
        <f>(Цены!J33-Цены!J$2)/Цены!J$2</f>
        <v>-0.13206650831353925</v>
      </c>
      <c r="K33">
        <f>(Цены!K33-Цены!K$2)/Цены!K$2</f>
        <v>-0.20952380952380958</v>
      </c>
      <c r="L33">
        <f>(Цены!L33-Цены!L$2)/Цены!L$2</f>
        <v>-3.6882886177799744E-2</v>
      </c>
      <c r="M33">
        <f>(Цены!M33-Цены!M$2)/Цены!M$2</f>
        <v>-2.6596707074362302E-2</v>
      </c>
      <c r="N33">
        <f>(Цены!N33-Цены!N$2)/Цены!N$2</f>
        <v>-0.1676470588235294</v>
      </c>
      <c r="O33">
        <f>(Цены!O33-Цены!O$2)/Цены!O$2</f>
        <v>-5.0123152709359506E-2</v>
      </c>
      <c r="P33">
        <f>(Цены!P33-Цены!P$2)/Цены!P$2</f>
        <v>-4.7368874343295155E-2</v>
      </c>
      <c r="Q33">
        <f>(Цены!Q33-Цены!Q$2)/Цены!Q$2</f>
        <v>-0.18271467113219836</v>
      </c>
      <c r="R33">
        <f>(Цены!R33-Цены!R$2)/Цены!R$2</f>
        <v>-0.14682704272086275</v>
      </c>
      <c r="S33">
        <f>(Цены!S33-Цены!S$2)/Цены!S$2</f>
        <v>-6.2492795389049095E-2</v>
      </c>
      <c r="T33">
        <f>(Цены!T33-Цены!T$2)/Цены!T$2</f>
        <v>-7.7125748502993988E-2</v>
      </c>
      <c r="U33">
        <f>(Цены!U33-Цены!U$2)/Цены!U$2</f>
        <v>-0.16451274886482711</v>
      </c>
      <c r="V33">
        <f>(Цены!V33-Цены!V$2)/Цены!V$2</f>
        <v>-8.7090163934426229E-2</v>
      </c>
      <c r="W33">
        <f>(Цены!W33-Цены!W$2)/Цены!W$2</f>
        <v>-7.5000000000000039E-2</v>
      </c>
      <c r="X33">
        <f>(Цены!X33-Цены!X$2)/Цены!X$2</f>
        <v>4.3963712491276917E-2</v>
      </c>
      <c r="Y33">
        <f>(Цены!Y33-Цены!Y$2)/Цены!Y$2</f>
        <v>-0.10866679309690881</v>
      </c>
      <c r="Z33">
        <f>(Цены!Z33-Цены!Z$2)/Цены!Z$2</f>
        <v>-0.24795974459808023</v>
      </c>
      <c r="AA33">
        <f>(Цены!AA33-Цены!AA$2)/Цены!AA$2</f>
        <v>-9.5377413692217736E-2</v>
      </c>
      <c r="AB33">
        <f>(Цены!AB33-Цены!AB$2)/Цены!AB$2</f>
        <v>-7.9539769884942477E-2</v>
      </c>
      <c r="AC33">
        <f>(Цены!AD33-Цены!AD$2)/Цены!AD$2</f>
        <v>-0.11806543385490749</v>
      </c>
      <c r="AD33">
        <f>(Цены!AE33-Цены!AE$2)/Цены!AE$2</f>
        <v>-0.15916230366492146</v>
      </c>
      <c r="AE33">
        <f>(Цены!AF33-Цены!AF$2)/Цены!AF$2</f>
        <v>8.898194190002557E-3</v>
      </c>
      <c r="AF33">
        <f>(Цены!AG33-Цены!AG$2)/Цены!AG$2</f>
        <v>-0.10434258142340175</v>
      </c>
      <c r="AG33">
        <f>(Цены!AH33-Цены!AH$2)/Цены!AH$2</f>
        <v>-0.25930851063829785</v>
      </c>
      <c r="AH33">
        <f>(Цены!AI33-Цены!AI$2)/Цены!AI$2</f>
        <v>-0.12746478873239428</v>
      </c>
      <c r="AI33">
        <f>(Цены!AJ33-Цены!AJ$2)/Цены!AJ$2</f>
        <v>-6.3037249283667621E-2</v>
      </c>
      <c r="AJ33">
        <f>(Цены!AK33-Цены!AK$2)/Цены!AK$2</f>
        <v>-0.18998783243525116</v>
      </c>
      <c r="AK33">
        <f>(Цены!AL33-Цены!AL$2)/Цены!AL$2</f>
        <v>-1.4710208884966167E-2</v>
      </c>
      <c r="AL33">
        <f>(Цены!AM33-Цены!AM$2)/Цены!AM$2</f>
        <v>-3.7820252135014235E-2</v>
      </c>
      <c r="AM33">
        <f>(Цены!AN33-Цены!AN$2)/Цены!AN$2</f>
        <v>-4.4806517311608958E-2</v>
      </c>
      <c r="AN33">
        <f>(Цены!AO33-Цены!AO$2)/Цены!AO$2</f>
        <v>-0.1524725274725274</v>
      </c>
      <c r="AO33">
        <f>(Цены!AP33-Цены!AP$2)/Цены!AP$2</f>
        <v>1.8226002430133656E-2</v>
      </c>
      <c r="AP33">
        <f>(Цены!AQ33-Цены!AQ$2)/Цены!AQ$2</f>
        <v>-4.9535603715170282E-2</v>
      </c>
      <c r="AQ33">
        <f>(Цены!AR33-Цены!AR$2)/Цены!AR$2</f>
        <v>5.9134107708553263E-2</v>
      </c>
      <c r="AR33">
        <f>(Цены!AS33-Цены!AS$2)/Цены!AS$2</f>
        <v>-0.21594545331803128</v>
      </c>
      <c r="AS33">
        <f>(Цены!AU33-Цены!AU$2)/Цены!AU$2</f>
        <v>0.11984282907662086</v>
      </c>
      <c r="AT33">
        <f>(Цены!AV33-Цены!AV$2)/Цены!AV$2</f>
        <v>-0.27670062438383181</v>
      </c>
      <c r="AU33">
        <f>(Цены!AW33-Цены!AW$2)/Цены!AW$2</f>
        <v>-0.26478423015450198</v>
      </c>
      <c r="AV33">
        <f>(Цены!AX33-Цены!AX$2)/Цены!AX$2</f>
        <v>-1.7218543046357615E-2</v>
      </c>
    </row>
    <row r="34" spans="1:48" x14ac:dyDescent="0.2">
      <c r="A34" s="1" t="s">
        <v>97</v>
      </c>
      <c r="B34" s="2">
        <v>32</v>
      </c>
      <c r="C34">
        <f>(Цены!B34-Цены!B$2)/Цены!B$2</f>
        <v>-0.10811766496280446</v>
      </c>
      <c r="D34">
        <f>(Цены!C34-Цены!C$2)/Цены!C$2</f>
        <v>-0.10538373424971367</v>
      </c>
      <c r="E34">
        <f>(Цены!D34-Цены!D$2)/Цены!D$2</f>
        <v>-0.15384615384615394</v>
      </c>
      <c r="F34">
        <f>(Цены!E34-Цены!E$2)/Цены!E$2</f>
        <v>-9.3896713615023469E-2</v>
      </c>
      <c r="G34">
        <f>(Цены!F34-Цены!F$2)/Цены!F$2</f>
        <v>-7.3168235775685639E-2</v>
      </c>
      <c r="H34">
        <f>(Цены!G34-Цены!G$2)/Цены!G$2</f>
        <v>-6.4182194616977106E-2</v>
      </c>
      <c r="I34">
        <f>(Цены!H34-Цены!H$2)/Цены!H$2</f>
        <v>-0.11774744027303749</v>
      </c>
      <c r="J34">
        <f>(Цены!J34-Цены!J$2)/Цены!J$2</f>
        <v>-0.15439429928741091</v>
      </c>
      <c r="K34">
        <f>(Цены!K34-Цены!K$2)/Цены!K$2</f>
        <v>-0.21127819548872184</v>
      </c>
      <c r="L34">
        <f>(Цены!L34-Цены!L$2)/Цены!L$2</f>
        <v>-2.898717312364478E-2</v>
      </c>
      <c r="M34">
        <f>(Цены!M34-Цены!M$2)/Цены!M$2</f>
        <v>-5.8802243531753208E-2</v>
      </c>
      <c r="N34">
        <f>(Цены!N34-Цены!N$2)/Цены!N$2</f>
        <v>-0.19007352941176467</v>
      </c>
      <c r="O34">
        <f>(Цены!O34-Цены!O$2)/Цены!O$2</f>
        <v>-3.5591133004925966E-2</v>
      </c>
      <c r="P34">
        <f>(Цены!P34-Цены!P$2)/Цены!P$2</f>
        <v>-4.8919128412712017E-2</v>
      </c>
      <c r="Q34">
        <f>(Цены!Q34-Цены!Q$2)/Цены!Q$2</f>
        <v>-0.1905293515675876</v>
      </c>
      <c r="R34">
        <f>(Цены!R34-Цены!R$2)/Цены!R$2</f>
        <v>-0.15698880132725007</v>
      </c>
      <c r="S34">
        <f>(Цены!S34-Цены!S$2)/Цены!S$2</f>
        <v>-6.1412103746397717E-2</v>
      </c>
      <c r="T34">
        <f>(Цены!T34-Цены!T$2)/Цены!T$2</f>
        <v>-8.2155688622754477E-2</v>
      </c>
      <c r="U34">
        <f>(Цены!U34-Цены!U$2)/Цены!U$2</f>
        <v>-0.18337408312958436</v>
      </c>
      <c r="V34">
        <f>(Цены!V34-Цены!V$2)/Цены!V$2</f>
        <v>-0.11700819672131135</v>
      </c>
      <c r="W34">
        <f>(Цены!W34-Цены!W$2)/Цены!W$2</f>
        <v>-7.4078947368420994E-2</v>
      </c>
      <c r="X34">
        <f>(Цены!X34-Цены!X$2)/Цены!X$2</f>
        <v>4.4661549197487625E-2</v>
      </c>
      <c r="Y34">
        <f>(Цены!Y34-Цены!Y$2)/Цены!Y$2</f>
        <v>-0.10866679309690881</v>
      </c>
      <c r="Z34">
        <f>(Цены!Z34-Цены!Z$2)/Цены!Z$2</f>
        <v>-0.24182840712080855</v>
      </c>
      <c r="AA34">
        <f>(Цены!AA34-Цены!AA$2)/Цены!AA$2</f>
        <v>-0.10415447630193102</v>
      </c>
      <c r="AB34">
        <f>(Цены!AB34-Цены!AB$2)/Цены!AB$2</f>
        <v>-8.5042521260630319E-2</v>
      </c>
      <c r="AC34">
        <f>(Цены!AD34-Цены!AD$2)/Цены!AD$2</f>
        <v>-8.9971550497866176E-2</v>
      </c>
      <c r="AD34">
        <f>(Цены!AE34-Цены!AE$2)/Цены!AE$2</f>
        <v>-0.15602094240837697</v>
      </c>
      <c r="AE34">
        <f>(Цены!AF34-Цены!AF$2)/Цены!AF$2</f>
        <v>1.0468463752944255E-2</v>
      </c>
      <c r="AF34">
        <f>(Цены!AG34-Цены!AG$2)/Цены!AG$2</f>
        <v>-9.8914354644149605E-2</v>
      </c>
      <c r="AG34">
        <f>(Цены!AH34-Цены!AH$2)/Цены!AH$2</f>
        <v>-0.25521276595744674</v>
      </c>
      <c r="AH34">
        <f>(Цены!AI34-Цены!AI$2)/Цены!AI$2</f>
        <v>-0.10492957746478863</v>
      </c>
      <c r="AI34">
        <f>(Цены!AJ34-Цены!AJ$2)/Цены!AJ$2</f>
        <v>-7.4498567335243557E-2</v>
      </c>
      <c r="AJ34">
        <f>(Цены!AK34-Цены!AK$2)/Цены!AK$2</f>
        <v>-0.18268729358595517</v>
      </c>
      <c r="AK34">
        <f>(Цены!AL34-Цены!AL$2)/Цены!AL$2</f>
        <v>-7.3551044424830835E-3</v>
      </c>
      <c r="AL34">
        <f>(Цены!AM34-Цены!AM$2)/Цены!AM$2</f>
        <v>-5.639148705435814E-2</v>
      </c>
      <c r="AM34">
        <f>(Цены!AN34-Цены!AN$2)/Цены!AN$2</f>
        <v>-3.8017651052274268E-2</v>
      </c>
      <c r="AN34">
        <f>(Цены!AO34-Цены!AO$2)/Цены!AO$2</f>
        <v>-0.15109890109890112</v>
      </c>
      <c r="AO34">
        <f>(Цены!AP34-Цены!AP$2)/Цены!AP$2</f>
        <v>1.5795868772782502E-2</v>
      </c>
      <c r="AP34">
        <f>(Цены!AQ34-Цены!AQ$2)/Цены!AQ$2</f>
        <v>-4.7987616099071206E-2</v>
      </c>
      <c r="AQ34">
        <f>(Цены!AR34-Цены!AR$2)/Цены!AR$2</f>
        <v>5.3854276663146718E-2</v>
      </c>
      <c r="AR34">
        <f>(Цены!AS34-Цены!AS$2)/Цены!AS$2</f>
        <v>-0.21594545331803128</v>
      </c>
      <c r="AS34">
        <f>(Цены!AU34-Цены!AU$2)/Цены!AU$2</f>
        <v>0.12082514734774065</v>
      </c>
      <c r="AT34">
        <f>(Цены!AV34-Цены!AV$2)/Цены!AV$2</f>
        <v>-0.28064410121590538</v>
      </c>
      <c r="AU34">
        <f>(Цены!AW34-Цены!AW$2)/Цены!AW$2</f>
        <v>-0.26567217190552311</v>
      </c>
      <c r="AV34">
        <f>(Цены!AX34-Цены!AX$2)/Цены!AX$2</f>
        <v>-1.9205298013245033E-2</v>
      </c>
    </row>
    <row r="35" spans="1:48" x14ac:dyDescent="0.2">
      <c r="A35" s="1" t="s">
        <v>98</v>
      </c>
      <c r="B35" s="2">
        <v>33</v>
      </c>
      <c r="C35">
        <f>(Цены!B35-Цены!B$2)/Цены!B$2</f>
        <v>-9.8368947335440035E-2</v>
      </c>
      <c r="D35">
        <f>(Цены!C35-Цены!C$2)/Цены!C$2</f>
        <v>-9.3069873997709052E-2</v>
      </c>
      <c r="E35">
        <f>(Цены!D35-Цены!D$2)/Цены!D$2</f>
        <v>-0.15086206896551724</v>
      </c>
      <c r="F35">
        <f>(Цены!E35-Цены!E$2)/Цены!E$2</f>
        <v>-9.1842723004694829E-2</v>
      </c>
      <c r="G35">
        <f>(Цены!F35-Цены!F$2)/Цены!F$2</f>
        <v>-7.3475235366352851E-2</v>
      </c>
      <c r="H35">
        <f>(Цены!G35-Цены!G$2)/Цены!G$2</f>
        <v>-6.560559006211171E-2</v>
      </c>
      <c r="I35">
        <f>(Цены!H35-Цены!H$2)/Цены!H$2</f>
        <v>-0.11107663667390626</v>
      </c>
      <c r="J35">
        <f>(Цены!J35-Цены!J$2)/Цены!J$2</f>
        <v>-0.11876484560570071</v>
      </c>
      <c r="K35">
        <f>(Цены!K35-Цены!K$2)/Цены!K$2</f>
        <v>-0.21315789473684213</v>
      </c>
      <c r="L35">
        <f>(Цены!L35-Цены!L$2)/Цены!L$2</f>
        <v>7.7922620758117721E-3</v>
      </c>
      <c r="M35">
        <f>(Цены!M35-Цены!M$2)/Цены!M$2</f>
        <v>-2.4425547313189792E-2</v>
      </c>
      <c r="N35">
        <f>(Цены!N35-Цены!N$2)/Цены!N$2</f>
        <v>-0.17051470588235293</v>
      </c>
      <c r="O35">
        <f>(Цены!O35-Цены!O$2)/Цены!O$2</f>
        <v>-3.1280788177339848E-2</v>
      </c>
      <c r="P35">
        <f>(Цены!P35-Цены!P$2)/Цены!P$2</f>
        <v>-3.9789854448367967E-2</v>
      </c>
      <c r="Q35">
        <f>(Цены!Q35-Цены!Q$2)/Цены!Q$2</f>
        <v>-0.14875802400223273</v>
      </c>
      <c r="R35">
        <f>(Цены!R35-Цены!R$2)/Цены!R$2</f>
        <v>-0.13573206138531727</v>
      </c>
      <c r="S35">
        <f>(Цены!S35-Цены!S$2)/Цены!S$2</f>
        <v>-5.6195965417867443E-2</v>
      </c>
      <c r="T35">
        <f>(Цены!T35-Цены!T$2)/Цены!T$2</f>
        <v>-8.7425149700598767E-2</v>
      </c>
      <c r="U35">
        <f>(Цены!U35-Цены!U$2)/Цены!U$2</f>
        <v>-0.17219699615787634</v>
      </c>
      <c r="V35">
        <f>(Цены!V35-Цены!V$2)/Цены!V$2</f>
        <v>-8.9959016393442642E-2</v>
      </c>
      <c r="W35">
        <f>(Цены!W35-Цены!W$2)/Цены!W$2</f>
        <v>-4.3421052631578909E-2</v>
      </c>
      <c r="X35">
        <f>(Цены!X35-Цены!X$2)/Цены!X$2</f>
        <v>2.3028611304954521E-2</v>
      </c>
      <c r="Y35">
        <f>(Цены!Y35-Цены!Y$2)/Цены!Y$2</f>
        <v>-9.6813957898729347E-2</v>
      </c>
      <c r="Z35">
        <f>(Цены!Z35-Цены!Z$2)/Цены!Z$2</f>
        <v>-0.19679479047739862</v>
      </c>
      <c r="AA35">
        <f>(Цены!AA35-Цены!AA$2)/Цены!AA$2</f>
        <v>-6.7290813341135167E-2</v>
      </c>
      <c r="AB35">
        <f>(Цены!AB35-Цены!AB$2)/Цены!AB$2</f>
        <v>-8.0040020010005E-2</v>
      </c>
      <c r="AC35">
        <f>(Цены!AD35-Цены!AD$2)/Цены!AD$2</f>
        <v>-8.2503556187766641E-2</v>
      </c>
      <c r="AD35">
        <f>(Цены!AE35-Цены!AE$2)/Цены!AE$2</f>
        <v>-0.16544502617801046</v>
      </c>
      <c r="AE35">
        <f>(Цены!AF35-Цены!AF$2)/Цены!AF$2</f>
        <v>1.2562156503532988E-2</v>
      </c>
      <c r="AF35">
        <f>(Цены!AG35-Цены!AG$2)/Цены!AG$2</f>
        <v>-0.1073582629674307</v>
      </c>
      <c r="AG35">
        <f>(Цены!AH35-Цены!AH$2)/Цены!AH$2</f>
        <v>-0.24425531914893611</v>
      </c>
      <c r="AH35">
        <f>(Цены!AI35-Цены!AI$2)/Цены!AI$2</f>
        <v>-0.10985915492957737</v>
      </c>
      <c r="AI35">
        <f>(Цены!AJ35-Цены!AJ$2)/Цены!AJ$2</f>
        <v>-6.4469914040114609E-2</v>
      </c>
      <c r="AJ35">
        <f>(Цены!AK35-Цены!AK$2)/Цены!AK$2</f>
        <v>-0.14827046758213103</v>
      </c>
      <c r="AK35">
        <f>(Цены!AL35-Цены!AL$2)/Цены!AL$2</f>
        <v>-1.7358046484260009E-2</v>
      </c>
      <c r="AL35">
        <f>(Цены!AM35-Цены!AM$2)/Цены!AM$2</f>
        <v>-9.5160634404229366E-2</v>
      </c>
      <c r="AM35">
        <f>(Цены!AN35-Цены!AN$2)/Цены!AN$2</f>
        <v>-4.8879837067209775E-2</v>
      </c>
      <c r="AN35">
        <f>(Цены!AO35-Цены!AO$2)/Цены!AO$2</f>
        <v>-0.14972527472527472</v>
      </c>
      <c r="AO35">
        <f>(Цены!AP35-Цены!AP$2)/Цены!AP$2</f>
        <v>1.9441069258809233E-2</v>
      </c>
      <c r="AP35">
        <f>(Цены!AQ35-Цены!AQ$2)/Цены!AQ$2</f>
        <v>-5.7275541795665637E-2</v>
      </c>
      <c r="AQ35">
        <f>(Цены!AR35-Цены!AR$2)/Цены!AR$2</f>
        <v>6.0190073917634666E-2</v>
      </c>
      <c r="AR35">
        <f>(Цены!AS35-Цены!AS$2)/Цены!AS$2</f>
        <v>-0.19401876729899409</v>
      </c>
      <c r="AS35">
        <f>(Цены!AU35-Цены!AU$2)/Цены!AU$2</f>
        <v>0.12180746561886056</v>
      </c>
      <c r="AT35">
        <f>(Цены!AV35-Цены!AV$2)/Цены!AV$2</f>
        <v>-0.25073940190601379</v>
      </c>
      <c r="AU35">
        <f>(Цены!AW35-Цены!AW$2)/Цены!AW$2</f>
        <v>-0.22678032321079741</v>
      </c>
      <c r="AV35">
        <f>(Цены!AX35-Цены!AX$2)/Цены!AX$2</f>
        <v>-1.9867549668874173E-2</v>
      </c>
    </row>
    <row r="36" spans="1:48" x14ac:dyDescent="0.2">
      <c r="A36" s="1" t="s">
        <v>99</v>
      </c>
      <c r="B36" s="2">
        <v>34</v>
      </c>
      <c r="C36">
        <f>(Цены!B36-Цены!B$2)/Цены!B$2</f>
        <v>-8.8257674093834698E-2</v>
      </c>
      <c r="D36">
        <f>(Цены!C36-Цены!C$2)/Цены!C$2</f>
        <v>-7.703321878579604E-2</v>
      </c>
      <c r="E36">
        <f>(Цены!D36-Цены!D$2)/Цены!D$2</f>
        <v>-0.14496021220159158</v>
      </c>
      <c r="F36">
        <f>(Цены!E36-Цены!E$2)/Цены!E$2</f>
        <v>-8.1572769953051641E-2</v>
      </c>
      <c r="G36">
        <f>(Цены!F36-Цены!F$2)/Цены!F$2</f>
        <v>-6.1706917724109703E-2</v>
      </c>
      <c r="H36">
        <f>(Цены!G36-Цены!G$2)/Цены!G$2</f>
        <v>-4.2443064182194561E-2</v>
      </c>
      <c r="I36">
        <f>(Цены!H36-Цены!H$2)/Цены!H$2</f>
        <v>-0.10223394353087181</v>
      </c>
      <c r="J36">
        <f>(Цены!J36-Цены!J$2)/Цены!J$2</f>
        <v>-0.12422802850356297</v>
      </c>
      <c r="K36">
        <f>(Цены!K36-Цены!K$2)/Цены!K$2</f>
        <v>-0.21190476190476193</v>
      </c>
      <c r="L36">
        <f>(Цены!L36-Цены!L$2)/Цены!L$2</f>
        <v>7.7922620758117721E-3</v>
      </c>
      <c r="M36">
        <f>(Цены!M36-Цены!M$2)/Цены!M$2</f>
        <v>-2.9672516736023322E-2</v>
      </c>
      <c r="N36">
        <f>(Цены!N36-Цены!N$2)/Цены!N$2</f>
        <v>-0.15845588235294117</v>
      </c>
      <c r="O36">
        <f>(Цены!O36-Цены!O$2)/Цены!O$2</f>
        <v>-1.6625615763546663E-2</v>
      </c>
      <c r="P36">
        <f>(Цены!P36-Цены!P$2)/Цены!P$2</f>
        <v>-1.6794419085350124E-2</v>
      </c>
      <c r="Q36">
        <f>(Цены!Q36-Цены!Q$2)/Цены!Q$2</f>
        <v>-0.12084845101869937</v>
      </c>
      <c r="R36">
        <f>(Цены!R36-Цены!R$2)/Цены!R$2</f>
        <v>-0.13573206138531727</v>
      </c>
      <c r="S36">
        <f>(Цены!S36-Цены!S$2)/Цены!S$2</f>
        <v>-4.5389048991354465E-2</v>
      </c>
      <c r="T36">
        <f>(Цены!T36-Цены!T$2)/Цены!T$2</f>
        <v>-0.10179640718562874</v>
      </c>
      <c r="U36">
        <f>(Цены!U36-Цены!U$2)/Цены!U$2</f>
        <v>-0.16486203283269299</v>
      </c>
      <c r="V36">
        <f>(Цены!V36-Цены!V$2)/Цены!V$2</f>
        <v>-8.5450819672131043E-2</v>
      </c>
      <c r="W36">
        <f>(Цены!W36-Цены!W$2)/Цены!W$2</f>
        <v>-2.6052631578947421E-2</v>
      </c>
      <c r="X36">
        <f>(Цены!X36-Цены!X$2)/Цены!X$2</f>
        <v>1.6399162595952504E-2</v>
      </c>
      <c r="Y36">
        <f>(Цены!Y36-Цены!Y$2)/Цены!Y$2</f>
        <v>-9.1598710411530462E-2</v>
      </c>
      <c r="Z36">
        <f>(Цены!Z36-Цены!Z$2)/Цены!Z$2</f>
        <v>-0.19425768531438964</v>
      </c>
      <c r="AA36">
        <f>(Цены!AA36-Цены!AA$2)/Цены!AA$2</f>
        <v>-5.4710356933879427E-2</v>
      </c>
      <c r="AB36">
        <f>(Цены!AB36-Цены!AB$2)/Цены!AB$2</f>
        <v>-6.953476738369184E-2</v>
      </c>
      <c r="AC36">
        <f>(Цены!AD36-Цены!AD$2)/Цены!AD$2</f>
        <v>-7.8947368421052627E-2</v>
      </c>
      <c r="AD36">
        <f>(Цены!AE36-Цены!AE$2)/Цены!AE$2</f>
        <v>-0.16858638743455498</v>
      </c>
      <c r="AE36">
        <f>(Цены!AF36-Цены!AF$2)/Цены!AF$2</f>
        <v>7.3279246270608594E-3</v>
      </c>
      <c r="AF36">
        <f>(Цены!AG36-Цены!AG$2)/Цены!AG$2</f>
        <v>-0.11640530759951755</v>
      </c>
      <c r="AG36">
        <f>(Цены!AH36-Цены!AH$2)/Цены!AH$2</f>
        <v>-0.21537234042553197</v>
      </c>
      <c r="AH36">
        <f>(Цены!AI36-Цены!AI$2)/Цены!AI$2</f>
        <v>-0.10633802816901408</v>
      </c>
      <c r="AI36">
        <f>(Цены!AJ36-Цены!AJ$2)/Цены!AJ$2</f>
        <v>-6.73352435530086E-2</v>
      </c>
      <c r="AJ36">
        <f>(Цены!AK36-Цены!AK$2)/Цены!AK$2</f>
        <v>-0.17086737354423787</v>
      </c>
      <c r="AK36">
        <f>(Цены!AL36-Цены!AL$2)/Цены!AL$2</f>
        <v>-7.0609002647836934E-3</v>
      </c>
      <c r="AL36">
        <f>(Цены!AM36-Цены!AM$2)/Цены!AM$2</f>
        <v>-0.10397180425647282</v>
      </c>
      <c r="AM36">
        <f>(Цены!AN36-Цены!AN$2)/Цены!AN$2</f>
        <v>-5.2953156822810592E-2</v>
      </c>
      <c r="AN36">
        <f>(Цены!AO36-Цены!AO$2)/Цены!AO$2</f>
        <v>-0.17582417582417578</v>
      </c>
      <c r="AO36">
        <f>(Цены!AP36-Цены!AP$2)/Цены!AP$2</f>
        <v>2.187120291616039E-2</v>
      </c>
      <c r="AP36">
        <f>(Цены!AQ36-Цены!AQ$2)/Цены!AQ$2</f>
        <v>-6.1919504643962849E-2</v>
      </c>
      <c r="AQ36">
        <f>(Цены!AR36-Цены!AR$2)/Цены!AR$2</f>
        <v>8.2365364308342098E-2</v>
      </c>
      <c r="AR36">
        <f>(Цены!AS36-Цены!AS$2)/Цены!AS$2</f>
        <v>-0.19203402416796056</v>
      </c>
      <c r="AS36">
        <f>(Цены!AU36-Цены!AU$2)/Цены!AU$2</f>
        <v>0.1709233791748527</v>
      </c>
      <c r="AT36">
        <f>(Цены!AV36-Цены!AV$2)/Цены!AV$2</f>
        <v>-0.19947420308905692</v>
      </c>
      <c r="AU36">
        <f>(Цены!AW36-Цены!AW$2)/Цены!AW$2</f>
        <v>-0.19552477357485354</v>
      </c>
      <c r="AV36">
        <f>(Цены!AX36-Цены!AX$2)/Цены!AX$2</f>
        <v>-1.9867549668874173E-2</v>
      </c>
    </row>
    <row r="37" spans="1:48" x14ac:dyDescent="0.2">
      <c r="A37" s="1" t="s">
        <v>100</v>
      </c>
      <c r="B37" s="2">
        <v>35</v>
      </c>
      <c r="C37">
        <f>(Цены!B37-Цены!B$2)/Цены!B$2</f>
        <v>-8.5679500837011049E-2</v>
      </c>
      <c r="D37">
        <f>(Цены!C37-Цены!C$2)/Цены!C$2</f>
        <v>-6.1855670103092689E-2</v>
      </c>
      <c r="E37">
        <f>(Цены!D37-Цены!D$2)/Цены!D$2</f>
        <v>-0.14595490716180384</v>
      </c>
      <c r="F37">
        <f>(Цены!E37-Цены!E$2)/Цены!E$2</f>
        <v>-9.2576291079812204E-2</v>
      </c>
      <c r="G37">
        <f>(Цены!F37-Цены!F$2)/Цены!F$2</f>
        <v>-7.7875562832582887E-2</v>
      </c>
      <c r="H37">
        <f>(Цены!G37-Цены!G$2)/Цены!G$2</f>
        <v>-4.4901656314699709E-2</v>
      </c>
      <c r="I37">
        <f>(Цены!H37-Цены!H$2)/Цены!H$2</f>
        <v>-8.563450201675453E-2</v>
      </c>
      <c r="J37">
        <f>(Цены!J37-Цены!J$2)/Цены!J$2</f>
        <v>-0.13432304038004753</v>
      </c>
      <c r="K37">
        <f>(Цены!K37-Цены!K$2)/Цены!K$2</f>
        <v>-0.22017543859649127</v>
      </c>
      <c r="L37">
        <f>(Цены!L37-Цены!L$2)/Цены!L$2</f>
        <v>1.6103868962094158E-2</v>
      </c>
      <c r="M37">
        <f>(Цены!M37-Цены!M$2)/Цены!M$2</f>
        <v>-3.6185996019540436E-3</v>
      </c>
      <c r="N37">
        <f>(Цены!N37-Цены!N$2)/Цены!N$2</f>
        <v>-0.1385294117647059</v>
      </c>
      <c r="O37">
        <f>(Цены!O37-Цены!O$2)/Цены!O$2</f>
        <v>0</v>
      </c>
      <c r="P37">
        <f>(Цены!P37-Цены!P$2)/Цены!P$2</f>
        <v>-1.7311170441822454E-2</v>
      </c>
      <c r="Q37">
        <f>(Цены!Q37-Цены!Q$2)/Цены!Q$2</f>
        <v>-0.12717462089496701</v>
      </c>
      <c r="R37">
        <f>(Цены!R37-Цены!R$2)/Цены!R$2</f>
        <v>-0.15450020738282871</v>
      </c>
      <c r="S37">
        <f>(Цены!S37-Цены!S$2)/Цены!S$2</f>
        <v>-3.1700288184438145E-2</v>
      </c>
      <c r="T37">
        <f>(Цены!T37-Цены!T$2)/Цены!T$2</f>
        <v>-6.2874251497005984E-2</v>
      </c>
      <c r="U37">
        <f>(Цены!U37-Цены!U$2)/Цены!U$2</f>
        <v>-0.17603911980440098</v>
      </c>
      <c r="V37">
        <f>(Цены!V37-Цены!V$2)/Цены!V$2</f>
        <v>-0.10881147540983598</v>
      </c>
      <c r="W37">
        <f>(Цены!W37-Цены!W$2)/Цены!W$2</f>
        <v>-5.2631578947369166E-3</v>
      </c>
      <c r="X37">
        <f>(Цены!X37-Цены!X$2)/Цены!X$2</f>
        <v>6.9783670621074659E-3</v>
      </c>
      <c r="Y37">
        <f>(Цены!Y37-Цены!Y$2)/Цены!Y$2</f>
        <v>-7.7185662810544314E-2</v>
      </c>
      <c r="Z37">
        <f>(Цены!Z37-Цены!Z$2)/Цены!Z$2</f>
        <v>-0.17586367288257437</v>
      </c>
      <c r="AA37">
        <f>(Цены!AA37-Цены!AA$2)/Цены!AA$2</f>
        <v>-6.7875950848449357E-2</v>
      </c>
      <c r="AB37">
        <f>(Цены!AB37-Цены!AB$2)/Цены!AB$2</f>
        <v>-8.0040020010005E-2</v>
      </c>
      <c r="AC37">
        <f>(Цены!AD37-Цены!AD$2)/Цены!AD$2</f>
        <v>-2.3826458036984258E-2</v>
      </c>
      <c r="AD37">
        <f>(Цены!AE37-Цены!AE$2)/Цены!AE$2</f>
        <v>-0.16858638743455498</v>
      </c>
      <c r="AE37">
        <f>(Цены!AF37-Цены!AF$2)/Цены!AF$2</f>
        <v>2.3554043444123977E-3</v>
      </c>
      <c r="AF37">
        <f>(Цены!AG37-Цены!AG$2)/Цены!AG$2</f>
        <v>-0.10615199034981919</v>
      </c>
      <c r="AG37">
        <f>(Цены!AH37-Цены!AH$2)/Цены!AH$2</f>
        <v>-0.2063829787234043</v>
      </c>
      <c r="AH37">
        <f>(Цены!AI37-Цены!AI$2)/Цены!AI$2</f>
        <v>-0.11267605633802814</v>
      </c>
      <c r="AI37">
        <f>(Цены!AJ37-Цены!AJ$2)/Цены!AJ$2</f>
        <v>-4.9283667621776502E-2</v>
      </c>
      <c r="AJ37">
        <f>(Цены!AK37-Цены!AK$2)/Цены!AK$2</f>
        <v>-0.14340344168260041</v>
      </c>
      <c r="AK37">
        <f>(Цены!AL37-Цены!AL$2)/Цены!AL$2</f>
        <v>-1.706384230656062E-2</v>
      </c>
      <c r="AL37">
        <f>(Цены!AM37-Цены!AM$2)/Цены!AM$2</f>
        <v>-9.4076182730107094E-2</v>
      </c>
      <c r="AM37">
        <f>(Цены!AN37-Цены!AN$2)/Цены!AN$2</f>
        <v>-4.8200950441276307E-2</v>
      </c>
      <c r="AN37">
        <f>(Цены!AO37-Цены!AO$2)/Цены!AO$2</f>
        <v>-0.17719780219780218</v>
      </c>
      <c r="AO37">
        <f>(Цены!AP37-Цены!AP$2)/Цены!AP$2</f>
        <v>2.551640340218712E-2</v>
      </c>
      <c r="AP37">
        <f>(Цены!AQ37-Цены!AQ$2)/Цены!AQ$2</f>
        <v>-6.1919504643962849E-2</v>
      </c>
      <c r="AQ37">
        <f>(Цены!AR37-Цены!AR$2)/Цены!AR$2</f>
        <v>8.6589229144667393E-2</v>
      </c>
      <c r="AR37">
        <f>(Цены!AS37-Цены!AS$2)/Цены!AS$2</f>
        <v>-0.16412610544791736</v>
      </c>
      <c r="AS37">
        <f>(Цены!AU37-Цены!AU$2)/Цены!AU$2</f>
        <v>0.15127701375245586</v>
      </c>
      <c r="AT37">
        <f>(Цены!AV37-Цены!AV$2)/Цены!AV$2</f>
        <v>-0.17055537298718376</v>
      </c>
      <c r="AU37">
        <f>(Цены!AW37-Цены!AW$2)/Цены!AW$2</f>
        <v>-0.16870893269401532</v>
      </c>
      <c r="AV37">
        <f>(Цены!AX37-Цены!AX$2)/Цены!AX$2</f>
        <v>-1.5894039735099338E-2</v>
      </c>
    </row>
    <row r="38" spans="1:48" x14ac:dyDescent="0.2">
      <c r="A38" s="1" t="s">
        <v>101</v>
      </c>
      <c r="B38" s="2">
        <v>36</v>
      </c>
      <c r="C38">
        <f>(Цены!B38-Цены!B$2)/Цены!B$2</f>
        <v>-8.3284843384926519E-2</v>
      </c>
      <c r="D38">
        <f>(Цены!C38-Цены!C$2)/Цены!C$2</f>
        <v>-6.6552119129438744E-2</v>
      </c>
      <c r="E38">
        <f>(Цены!D38-Цены!D$2)/Цены!D$2</f>
        <v>-0.14257294429708223</v>
      </c>
      <c r="F38">
        <f>(Цены!E38-Цены!E$2)/Цены!E$2</f>
        <v>-9.0082159624413141E-2</v>
      </c>
      <c r="G38">
        <f>(Цены!F38-Цены!F$2)/Цены!F$2</f>
        <v>-6.7846909537453953E-2</v>
      </c>
      <c r="H38">
        <f>(Цены!G38-Цены!G$2)/Цены!G$2</f>
        <v>-3.9208074534161433E-2</v>
      </c>
      <c r="I38">
        <f>(Цены!H38-Цены!H$2)/Цены!H$2</f>
        <v>-7.9894508222153146E-2</v>
      </c>
      <c r="J38">
        <f>(Цены!J38-Цены!J$2)/Цены!J$2</f>
        <v>-0.13372921615201902</v>
      </c>
      <c r="K38">
        <f>(Цены!K38-Цены!K$2)/Цены!K$2</f>
        <v>-0.20802005012531327</v>
      </c>
      <c r="L38">
        <f>(Цены!L38-Цены!L$2)/Цены!L$2</f>
        <v>1.0909375898011926E-2</v>
      </c>
      <c r="M38">
        <f>(Цены!M38-Цены!M$2)/Цены!M$2</f>
        <v>2.6777637054459839E-2</v>
      </c>
      <c r="N38">
        <f>(Цены!N38-Цены!N$2)/Цены!N$2</f>
        <v>-0.15897058823529414</v>
      </c>
      <c r="O38">
        <f>(Цены!O38-Цены!O$2)/Цены!O$2</f>
        <v>-1.1083743842364515E-2</v>
      </c>
      <c r="P38">
        <f>(Цены!P38-Цены!P$2)/Цены!P$2</f>
        <v>-1.5158039789854492E-2</v>
      </c>
      <c r="Q38">
        <f>(Цены!Q38-Цены!Q$2)/Цены!Q$2</f>
        <v>-0.12084845101869937</v>
      </c>
      <c r="R38">
        <f>(Цены!R38-Цены!R$2)/Цены!R$2</f>
        <v>-0.13500622148486099</v>
      </c>
      <c r="S38">
        <f>(Цены!S38-Цены!S$2)/Цены!S$2</f>
        <v>-3.7463976945245031E-2</v>
      </c>
      <c r="T38">
        <f>(Цены!T38-Цены!T$2)/Цены!T$2</f>
        <v>-6.5868263473053898E-2</v>
      </c>
      <c r="U38">
        <f>(Цены!U38-Цены!U$2)/Цены!U$2</f>
        <v>-0.16556060076842474</v>
      </c>
      <c r="V38">
        <f>(Цены!V38-Цены!V$2)/Цены!V$2</f>
        <v>-9.8360655737704861E-2</v>
      </c>
      <c r="W38">
        <f>(Цены!W38-Цены!W$2)/Цены!W$2</f>
        <v>-1.3157894736842105E-2</v>
      </c>
      <c r="X38">
        <f>(Цены!X38-Цены!X$2)/Цены!X$2</f>
        <v>2.0935101186321209E-3</v>
      </c>
      <c r="Y38">
        <f>(Цены!Y38-Цены!Y$2)/Цены!Y$2</f>
        <v>-9.9089702256779863E-2</v>
      </c>
      <c r="Z38">
        <f>(Цены!Z38-Цены!Z$2)/Цены!Z$2</f>
        <v>-0.20482895682692717</v>
      </c>
      <c r="AA38">
        <f>(Цены!AA38-Цены!AA$2)/Цены!AA$2</f>
        <v>-6.963136337039208E-2</v>
      </c>
      <c r="AB38">
        <f>(Цены!AB38-Цены!AB$2)/Цены!AB$2</f>
        <v>-8.0040020010005E-2</v>
      </c>
      <c r="AC38">
        <f>(Цены!AD38-Цены!AD$2)/Цены!AD$2</f>
        <v>-4.5163584637268772E-2</v>
      </c>
      <c r="AD38">
        <f>(Цены!AE38-Цены!AE$2)/Цены!AE$2</f>
        <v>-0.16649214659685863</v>
      </c>
      <c r="AE38">
        <f>(Цены!AF38-Цены!AF$2)/Цены!AF$2</f>
        <v>-2.6171159382360636E-3</v>
      </c>
      <c r="AF38">
        <f>(Цены!AG38-Цены!AG$2)/Цены!AG$2</f>
        <v>-8.5645355850422294E-2</v>
      </c>
      <c r="AG38">
        <f>(Цены!AH38-Цены!AH$2)/Цены!AH$2</f>
        <v>-0.23085106382978726</v>
      </c>
      <c r="AH38">
        <f>(Цены!AI38-Цены!AI$2)/Цены!AI$2</f>
        <v>-0.11971830985915488</v>
      </c>
      <c r="AI38">
        <f>(Цены!AJ38-Цены!AJ$2)/Цены!AJ$2</f>
        <v>-4.2693409742120346E-2</v>
      </c>
      <c r="AJ38">
        <f>(Цены!AK38-Цены!AK$2)/Цены!AK$2</f>
        <v>-0.14305579697549112</v>
      </c>
      <c r="AK38">
        <f>(Цены!AL38-Цены!AL$2)/Цены!AL$2</f>
        <v>-1.6181229773462785E-2</v>
      </c>
      <c r="AL38">
        <f>(Цены!AM38-Цены!AM$2)/Цены!AM$2</f>
        <v>-9.529619086349464E-2</v>
      </c>
      <c r="AM38">
        <f>(Цены!AN38-Цены!AN$2)/Цены!AN$2</f>
        <v>-4.684317718940937E-2</v>
      </c>
      <c r="AN38">
        <f>(Цены!AO38-Цены!AO$2)/Цены!AO$2</f>
        <v>-0.18406593406593405</v>
      </c>
      <c r="AO38">
        <f>(Цены!AP38-Цены!AP$2)/Цены!AP$2</f>
        <v>2.4301336573511544E-2</v>
      </c>
      <c r="AP38">
        <f>(Цены!AQ38-Цены!AQ$2)/Цены!AQ$2</f>
        <v>-6.8111455108359129E-2</v>
      </c>
      <c r="AQ38">
        <f>(Цены!AR38-Цены!AR$2)/Цены!AR$2</f>
        <v>8.6589229144667393E-2</v>
      </c>
      <c r="AR38">
        <f>(Цены!AS38-Цены!AS$2)/Цены!AS$2</f>
        <v>-0.15150205900222793</v>
      </c>
      <c r="AS38">
        <f>(Цены!AU38-Цены!AU$2)/Цены!AU$2</f>
        <v>0.16110019646365428</v>
      </c>
      <c r="AT38">
        <f>(Цены!AV38-Цены!AV$2)/Цены!AV$2</f>
        <v>-0.1926826596560412</v>
      </c>
      <c r="AU38">
        <f>(Цены!AW38-Цены!AW$2)/Цены!AW$2</f>
        <v>-0.17403658320014212</v>
      </c>
      <c r="AV38">
        <f>(Цены!AX38-Цены!AX$2)/Цены!AX$2</f>
        <v>-1.5231788079470199E-2</v>
      </c>
    </row>
    <row r="39" spans="1:48" x14ac:dyDescent="0.2">
      <c r="A39" s="1" t="s">
        <v>102</v>
      </c>
      <c r="B39" s="2">
        <v>37</v>
      </c>
      <c r="C39">
        <f>(Цены!B39-Цены!B$2)/Цены!B$2</f>
        <v>-7.7260153795196226E-2</v>
      </c>
      <c r="D39">
        <f>(Цены!C39-Цены!C$2)/Цены!C$2</f>
        <v>-6.6895761741122606E-2</v>
      </c>
      <c r="E39">
        <f>(Цены!D39-Цены!D$2)/Цены!D$2</f>
        <v>-0.12698938992042444</v>
      </c>
      <c r="F39">
        <f>(Цены!E39-Цены!E$2)/Цены!E$2</f>
        <v>-8.4360328638497656E-2</v>
      </c>
      <c r="G39">
        <f>(Цены!F39-Цены!F$2)/Цены!F$2</f>
        <v>-6.0581252558329919E-2</v>
      </c>
      <c r="H39">
        <f>(Цены!G39-Цены!G$2)/Цены!G$2</f>
        <v>-3.3385093167701808E-2</v>
      </c>
      <c r="I39">
        <f>(Цены!H39-Цены!H$2)/Цены!H$2</f>
        <v>-6.6863170958734036E-2</v>
      </c>
      <c r="J39">
        <f>(Цены!J39-Цены!J$2)/Цены!J$2</f>
        <v>-0.13182897862232779</v>
      </c>
      <c r="K39">
        <f>(Цены!K39-Цены!K$2)/Цены!K$2</f>
        <v>-0.19711779448621547</v>
      </c>
      <c r="L39">
        <f>(Цены!L39-Цены!L$2)/Цены!L$2</f>
        <v>-1.9220982784294315E-2</v>
      </c>
      <c r="M39">
        <f>(Цены!M39-Цены!M$2)/Цены!M$2</f>
        <v>4.0347385561787505E-2</v>
      </c>
      <c r="N39">
        <f>(Цены!N39-Цены!N$2)/Цены!N$2</f>
        <v>-0.16551470588235298</v>
      </c>
      <c r="O39">
        <f>(Цены!O39-Цены!O$2)/Цены!O$2</f>
        <v>2.2167487684729907E-3</v>
      </c>
      <c r="P39">
        <f>(Цены!P39-Цены!P$2)/Цены!P$2</f>
        <v>-2.756007234518993E-2</v>
      </c>
      <c r="Q39">
        <f>(Цены!Q39-Цены!Q$2)/Цены!Q$2</f>
        <v>-0.13619871615964277</v>
      </c>
      <c r="R39">
        <f>(Цены!R39-Цены!R$2)/Цены!R$2</f>
        <v>-0.13282870178349235</v>
      </c>
      <c r="S39">
        <f>(Цены!S39-Цены!S$2)/Цены!S$2</f>
        <v>-3.5028818443804073E-2</v>
      </c>
      <c r="T39">
        <f>(Цены!T39-Цены!T$2)/Цены!T$2</f>
        <v>-6.706586826347298E-2</v>
      </c>
      <c r="U39">
        <f>(Цены!U39-Цены!U$2)/Цены!U$2</f>
        <v>-0.15997205728257072</v>
      </c>
      <c r="V39">
        <f>(Цены!V39-Цены!V$2)/Цены!V$2</f>
        <v>-0.10450819672131137</v>
      </c>
      <c r="W39">
        <f>(Цены!W39-Цены!W$2)/Цены!W$2</f>
        <v>-1.3157894736842105E-2</v>
      </c>
      <c r="X39">
        <f>(Цены!X39-Цены!X$2)/Цены!X$2</f>
        <v>6.9783670621070696E-4</v>
      </c>
      <c r="Y39">
        <f>(Цены!Y39-Цены!Y$2)/Цены!Y$2</f>
        <v>-9.2546937227384704E-2</v>
      </c>
      <c r="Z39">
        <f>(Цены!Z39-Цены!Z$2)/Цены!Z$2</f>
        <v>-0.17628652374307582</v>
      </c>
      <c r="AA39">
        <f>(Цены!AA39-Цены!AA$2)/Цены!AA$2</f>
        <v>-3.8911644236395586E-2</v>
      </c>
      <c r="AB39">
        <f>(Цены!AB39-Цены!AB$2)/Цены!AB$2</f>
        <v>-8.0540270135067538E-2</v>
      </c>
      <c r="AC39">
        <f>(Цены!AD39-Цены!AD$2)/Цены!AD$2</f>
        <v>-3.8762446657183494E-2</v>
      </c>
      <c r="AD39">
        <f>(Цены!AE39-Цены!AE$2)/Цены!AE$2</f>
        <v>-0.16649214659685863</v>
      </c>
      <c r="AE39">
        <f>(Цены!AF39-Цены!AF$2)/Цены!AF$2</f>
        <v>2.3554043444123977E-3</v>
      </c>
      <c r="AF39">
        <f>(Цены!AG39-Цены!AG$2)/Цены!AG$2</f>
        <v>-8.6248492159228043E-2</v>
      </c>
      <c r="AG39">
        <f>(Цены!AH39-Цены!AH$2)/Цены!AH$2</f>
        <v>-0.2331382978723405</v>
      </c>
      <c r="AH39">
        <f>(Цены!AI39-Цены!AI$2)/Цены!AI$2</f>
        <v>-0.14507042253521119</v>
      </c>
      <c r="AI39">
        <f>(Цены!AJ39-Цены!AJ$2)/Цены!AJ$2</f>
        <v>-4.5845272206303724E-2</v>
      </c>
      <c r="AJ39">
        <f>(Цены!AK39-Цены!AK$2)/Цены!AK$2</f>
        <v>-0.1540066052494351</v>
      </c>
      <c r="AK39">
        <f>(Цены!AL39-Цены!AL$2)/Цены!AL$2</f>
        <v>-1.0002942041776926E-2</v>
      </c>
      <c r="AL39">
        <f>(Цены!AM39-Цены!AM$2)/Цены!AM$2</f>
        <v>1.0844516741222718E-3</v>
      </c>
      <c r="AM39">
        <f>(Цены!AN39-Цены!AN$2)/Цены!AN$2</f>
        <v>-5.1595383570943655E-2</v>
      </c>
      <c r="AN39">
        <f>(Цены!AO39-Цены!AO$2)/Цены!AO$2</f>
        <v>-0.18681318681318673</v>
      </c>
      <c r="AO39">
        <f>(Цены!AP39-Цены!AP$2)/Цены!AP$2</f>
        <v>1.8226002430133656E-2</v>
      </c>
      <c r="AP39">
        <f>(Цены!AQ39-Цены!AQ$2)/Цены!AQ$2</f>
        <v>-7.275541795665634E-2</v>
      </c>
      <c r="AQ39">
        <f>(Цены!AR39-Цены!AR$2)/Цены!AR$2</f>
        <v>6.6525871172122455E-2</v>
      </c>
      <c r="AR39">
        <f>(Цены!AS39-Цены!AS$2)/Цены!AS$2</f>
        <v>-0.14418416255991354</v>
      </c>
      <c r="AS39">
        <f>(Цены!AU39-Цены!AU$2)/Цены!AU$2</f>
        <v>0.15913555992141457</v>
      </c>
      <c r="AT39">
        <f>(Цены!AV39-Цены!AV$2)/Цены!AV$2</f>
        <v>-0.19432577500273862</v>
      </c>
      <c r="AU39">
        <f>(Цены!AW39-Цены!AW$2)/Цены!AW$2</f>
        <v>-0.17172793464748723</v>
      </c>
      <c r="AV39">
        <f>(Цены!AX39-Цены!AX$2)/Цены!AX$2</f>
        <v>-1.5231788079470199E-2</v>
      </c>
    </row>
    <row r="40" spans="1:48" x14ac:dyDescent="0.2">
      <c r="A40" s="1" t="s">
        <v>103</v>
      </c>
      <c r="B40" s="2">
        <v>38</v>
      </c>
      <c r="C40">
        <f>(Цены!B40-Цены!B$2)/Цены!B$2</f>
        <v>-8.1955472799376899E-2</v>
      </c>
      <c r="D40">
        <f>(Цены!C40-Цены!C$2)/Цены!C$2</f>
        <v>-5.9851088201603606E-2</v>
      </c>
      <c r="E40">
        <f>(Цены!D40-Цены!D$2)/Цены!D$2</f>
        <v>-0.13136604774535809</v>
      </c>
      <c r="F40">
        <f>(Цены!E40-Цены!E$2)/Цены!E$2</f>
        <v>-0.10035211267605634</v>
      </c>
      <c r="G40">
        <f>(Цены!F40-Цены!F$2)/Цены!F$2</f>
        <v>-6.0376586164551778E-2</v>
      </c>
      <c r="H40">
        <f>(Цены!G40-Цены!G$2)/Цены!G$2</f>
        <v>-4.4254658385093085E-2</v>
      </c>
      <c r="I40">
        <f>(Цены!H40-Цены!H$2)/Цены!H$2</f>
        <v>-8.3152342538007962E-2</v>
      </c>
      <c r="J40">
        <f>(Цены!J40-Цены!J$2)/Цены!J$2</f>
        <v>-0.1450118764845606</v>
      </c>
      <c r="K40">
        <f>(Цены!K40-Цены!K$2)/Цены!K$2</f>
        <v>-0.20313283208020053</v>
      </c>
      <c r="L40">
        <f>(Цены!L40-Цены!L$2)/Цены!L$2</f>
        <v>-2.6492855090258435E-2</v>
      </c>
      <c r="M40">
        <f>(Цены!M40-Цены!M$2)/Цены!M$2</f>
        <v>4.9393884566672611E-2</v>
      </c>
      <c r="N40">
        <f>(Цены!N40-Цены!N$2)/Цены!N$2</f>
        <v>-0.17639705882352938</v>
      </c>
      <c r="O40">
        <f>(Цены!O40-Цены!O$2)/Цены!O$2</f>
        <v>1.9458128078817673E-2</v>
      </c>
      <c r="P40">
        <f>(Цены!P40-Цены!P$2)/Цены!P$2</f>
        <v>-4.8316251830161049E-2</v>
      </c>
      <c r="Q40">
        <f>(Цены!Q40-Цены!Q$2)/Цены!Q$2</f>
        <v>-0.10493999441808542</v>
      </c>
      <c r="R40">
        <f>(Цены!R40-Цены!R$2)/Цены!R$2</f>
        <v>-0.14506428867689752</v>
      </c>
      <c r="S40">
        <f>(Цены!S40-Цены!S$2)/Цены!S$2</f>
        <v>-3.7737752161383434E-2</v>
      </c>
      <c r="T40">
        <f>(Цены!T40-Цены!T$2)/Цены!T$2</f>
        <v>-6.7664670658682702E-2</v>
      </c>
      <c r="U40">
        <f>(Цены!U40-Цены!U$2)/Цены!U$2</f>
        <v>-0.16032134125043659</v>
      </c>
      <c r="V40">
        <f>(Цены!V40-Цены!V$2)/Цены!V$2</f>
        <v>-9.9590163934426226E-2</v>
      </c>
      <c r="W40">
        <f>(Цены!W40-Цены!W$2)/Цены!W$2</f>
        <v>-1.6447368421052631E-2</v>
      </c>
      <c r="X40">
        <f>(Цены!X40-Цены!X$2)/Цены!X$2</f>
        <v>-1.1514305652477359E-2</v>
      </c>
      <c r="Y40">
        <f>(Цены!Y40-Цены!Y$2)/Цены!Y$2</f>
        <v>-0.10620140337568745</v>
      </c>
      <c r="Z40">
        <f>(Цены!Z40-Цены!Z$2)/Цены!Z$2</f>
        <v>-0.19996617193115987</v>
      </c>
      <c r="AA40">
        <f>(Цены!AA40-Цены!AA$2)/Цены!AA$2</f>
        <v>-3.1889994148625027E-2</v>
      </c>
      <c r="AB40">
        <f>(Цены!AB40-Цены!AB$2)/Цены!AB$2</f>
        <v>-8.1540770385192599E-2</v>
      </c>
      <c r="AC40">
        <f>(Цены!AD40-Цены!AD$2)/Цены!AD$2</f>
        <v>-5.4765291607396842E-2</v>
      </c>
      <c r="AD40">
        <f>(Цены!AE40-Цены!AE$2)/Цены!AE$2</f>
        <v>-0.1643979057591623</v>
      </c>
      <c r="AE40">
        <f>(Цены!AF40-Цены!AF$2)/Цены!AF$2</f>
        <v>-2.6171159382360636E-3</v>
      </c>
      <c r="AF40">
        <f>(Цены!AG40-Цены!AG$2)/Цены!AG$2</f>
        <v>-9.1676718938480187E-2</v>
      </c>
      <c r="AG40">
        <f>(Цены!AH40-Цены!AH$2)/Цены!AH$2</f>
        <v>-0.23590425531914891</v>
      </c>
      <c r="AH40">
        <f>(Цены!AI40-Цены!AI$2)/Цены!AI$2</f>
        <v>-0.13943661971830978</v>
      </c>
      <c r="AI40">
        <f>(Цены!AJ40-Цены!AJ$2)/Цены!AJ$2</f>
        <v>-4.0687679083094556E-2</v>
      </c>
      <c r="AJ40">
        <f>(Цены!AK40-Цены!AK$2)/Цены!AK$2</f>
        <v>-0.16269772292716841</v>
      </c>
      <c r="AK40">
        <f>(Цены!AL40-Цены!AL$2)/Цены!AL$2</f>
        <v>-1.7358046484260009E-2</v>
      </c>
      <c r="AL40">
        <f>(Цены!AM40-Цены!AM$2)/Цены!AM$2</f>
        <v>-1.3148976548732547E-2</v>
      </c>
      <c r="AM40">
        <f>(Цены!AN40-Цены!AN$2)/Цены!AN$2</f>
        <v>-4.9558723693143243E-2</v>
      </c>
      <c r="AN40">
        <f>(Цены!AO40-Цены!AO$2)/Цены!AO$2</f>
        <v>-0.19780219780219779</v>
      </c>
      <c r="AO40">
        <f>(Цены!AP40-Цены!AP$2)/Цены!AP$2</f>
        <v>1.7010935601458079E-2</v>
      </c>
      <c r="AP40">
        <f>(Цены!AQ40-Цены!AQ$2)/Цены!AQ$2</f>
        <v>-8.6687306501547989E-2</v>
      </c>
      <c r="AQ40">
        <f>(Цены!AR40-Цены!AR$2)/Цены!AR$2</f>
        <v>6.5469904963041212E-2</v>
      </c>
      <c r="AR40">
        <f>(Цены!AS40-Цены!AS$2)/Цены!AS$2</f>
        <v>-0.13421994194288805</v>
      </c>
      <c r="AS40">
        <f>(Цены!AU40-Цены!AU$2)/Цены!AU$2</f>
        <v>0.163064833005894</v>
      </c>
      <c r="AT40">
        <f>(Цены!AV40-Цены!AV$2)/Цены!AV$2</f>
        <v>-0.1674882243400154</v>
      </c>
      <c r="AU40">
        <f>(Цены!AW40-Цены!AW$2)/Цены!AW$2</f>
        <v>-0.18575741431362106</v>
      </c>
      <c r="AV40">
        <f>(Цены!AX40-Цены!AX$2)/Цены!AX$2</f>
        <v>-1.5231788079470199E-2</v>
      </c>
    </row>
    <row r="41" spans="1:48" x14ac:dyDescent="0.2">
      <c r="A41" s="1" t="s">
        <v>104</v>
      </c>
      <c r="B41" s="2">
        <v>39</v>
      </c>
      <c r="C41">
        <f>(Цены!B41-Цены!B$2)/Цены!B$2</f>
        <v>-8.6999919432085682E-2</v>
      </c>
      <c r="D41">
        <f>(Цены!C41-Цены!C$2)/Цены!C$2</f>
        <v>-5.7731958762886511E-2</v>
      </c>
      <c r="E41">
        <f>(Цены!D41-Цены!D$2)/Цены!D$2</f>
        <v>-0.1375994694960212</v>
      </c>
      <c r="F41">
        <f>(Цены!E41-Цены!E$2)/Цены!E$2</f>
        <v>-0.11458333333333333</v>
      </c>
      <c r="G41">
        <f>(Цены!F41-Цены!F$2)/Цены!F$2</f>
        <v>-6.2116250511665985E-2</v>
      </c>
      <c r="H41">
        <f>(Цены!G41-Цены!G$2)/Цены!G$2</f>
        <v>-4.7619047619047561E-2</v>
      </c>
      <c r="I41">
        <f>(Цены!H41-Цены!H$2)/Цены!H$2</f>
        <v>-8.7030716723549381E-2</v>
      </c>
      <c r="J41">
        <f>(Цены!J41-Цены!J$2)/Цены!J$2</f>
        <v>-0.17102137767220901</v>
      </c>
      <c r="K41">
        <f>(Цены!K41-Цены!K$2)/Цены!K$2</f>
        <v>-0.20889724310776947</v>
      </c>
      <c r="L41">
        <f>(Цены!L41-Цены!L$2)/Цены!L$2</f>
        <v>-2.8571279291517551E-2</v>
      </c>
      <c r="M41">
        <f>(Цены!M41-Цены!M$2)/Цены!M$2</f>
        <v>4.5232495024425542E-2</v>
      </c>
      <c r="N41">
        <f>(Цены!N41-Цены!N$2)/Цены!N$2</f>
        <v>-0.15941176470588239</v>
      </c>
      <c r="O41">
        <f>(Цены!O41-Цены!O$2)/Цены!O$2</f>
        <v>1.7980295566502564E-2</v>
      </c>
      <c r="P41">
        <f>(Цены!P41-Цены!P$2)/Цены!P$2</f>
        <v>-3.5569718370510685E-2</v>
      </c>
      <c r="Q41">
        <f>(Цены!Q41-Цены!Q$2)/Цены!Q$2</f>
        <v>-0.10689366452693269</v>
      </c>
      <c r="R41">
        <f>(Цены!R41-Цены!R$2)/Цены!R$2</f>
        <v>-0.14454583160514306</v>
      </c>
      <c r="S41">
        <f>(Цены!S41-Цены!S$2)/Цены!S$2</f>
        <v>-4.322766570605191E-2</v>
      </c>
      <c r="T41">
        <f>(Цены!T41-Цены!T$2)/Цены!T$2</f>
        <v>-7.1856287425149698E-2</v>
      </c>
      <c r="U41">
        <f>(Цены!U41-Цены!U$2)/Цены!U$2</f>
        <v>-0.16765630457561997</v>
      </c>
      <c r="V41">
        <f>(Цены!V41-Цены!V$2)/Цены!V$2</f>
        <v>-8.6065573770491718E-2</v>
      </c>
      <c r="W41">
        <f>(Цены!W41-Цены!W$2)/Цены!W$2</f>
        <v>-1.0394736842105345E-2</v>
      </c>
      <c r="X41">
        <f>(Цены!X41-Цены!X$2)/Цены!X$2</f>
        <v>-1.3607815771109678E-2</v>
      </c>
      <c r="Y41">
        <f>(Цены!Y41-Цены!Y$2)/Цены!Y$2</f>
        <v>-0.10392565901763705</v>
      </c>
      <c r="Z41">
        <f>(Цены!Z41-Цены!Z$2)/Цены!Z$2</f>
        <v>-0.19489196160514183</v>
      </c>
      <c r="AA41">
        <f>(Цены!AA41-Цены!AA$2)/Цены!AA$2</f>
        <v>-1.9309537741369287E-2</v>
      </c>
      <c r="AB41">
        <f>(Цены!AB41-Цены!AB$2)/Цены!AB$2</f>
        <v>-8.604302151075538E-2</v>
      </c>
      <c r="AC41">
        <f>(Цены!AD41-Цены!AD$2)/Цены!AD$2</f>
        <v>-6.116642958748212E-2</v>
      </c>
      <c r="AD41">
        <f>(Цены!AE41-Цены!AE$2)/Цены!AE$2</f>
        <v>-0.17382198952879582</v>
      </c>
      <c r="AE41">
        <f>(Цены!AF41-Цены!AF$2)/Цены!AF$2</f>
        <v>-3.4022507197069124E-3</v>
      </c>
      <c r="AF41">
        <f>(Цены!AG41-Цены!AG$2)/Цены!AG$2</f>
        <v>-9.227985524728595E-2</v>
      </c>
      <c r="AG41">
        <f>(Цены!AH41-Цены!AH$2)/Цены!AH$2</f>
        <v>-0.23888297872340425</v>
      </c>
      <c r="AH41">
        <f>(Цены!AI41-Цены!AI$2)/Цены!AI$2</f>
        <v>-0.14507042253521119</v>
      </c>
      <c r="AI41">
        <f>(Цены!AJ41-Цены!AJ$2)/Цены!AJ$2</f>
        <v>-5.7879656160458454E-2</v>
      </c>
      <c r="AJ41">
        <f>(Цены!AK41-Цены!AK$2)/Цены!AK$2</f>
        <v>-0.16356683469494174</v>
      </c>
      <c r="AK41">
        <f>(Цены!AL41-Цены!AL$2)/Цены!AL$2</f>
        <v>-1.7358046484260009E-2</v>
      </c>
      <c r="AL41">
        <f>(Цены!AM41-Цены!AM$2)/Цены!AM$2</f>
        <v>-7.0489358817947675E-3</v>
      </c>
      <c r="AM41">
        <f>(Цены!AN41-Цены!AN$2)/Цены!AN$2</f>
        <v>-4.3448744059742021E-2</v>
      </c>
      <c r="AN41">
        <f>(Цены!AO41-Цены!AO$2)/Цены!AO$2</f>
        <v>-0.21978021978021978</v>
      </c>
      <c r="AO41">
        <f>(Цены!AP41-Цены!AP$2)/Цены!AP$2</f>
        <v>2.4301336573511544E-2</v>
      </c>
      <c r="AP41">
        <f>(Цены!AQ41-Цены!AQ$2)/Цены!AQ$2</f>
        <v>-8.6687306501547989E-2</v>
      </c>
      <c r="AQ41">
        <f>(Цены!AR41-Цены!AR$2)/Цены!AR$2</f>
        <v>7.6029567053854302E-2</v>
      </c>
      <c r="AR41">
        <f>(Цены!AS41-Цены!AS$2)/Цены!AS$2</f>
        <v>-0.11097009383649489</v>
      </c>
      <c r="AS41">
        <f>(Цены!AU41-Цены!AU$2)/Цены!AU$2</f>
        <v>0.16502946954813358</v>
      </c>
      <c r="AT41">
        <f>(Цены!AV41-Цены!AV$2)/Цены!AV$2</f>
        <v>-0.18994413407821231</v>
      </c>
      <c r="AU41">
        <f>(Цены!AW41-Цены!AW$2)/Цены!AW$2</f>
        <v>-0.18575741431362106</v>
      </c>
      <c r="AV41">
        <f>(Цены!AX41-Цены!AX$2)/Цены!AX$2</f>
        <v>-1.5231788079470199E-2</v>
      </c>
    </row>
    <row r="42" spans="1:48" x14ac:dyDescent="0.2">
      <c r="A42" s="1" t="s">
        <v>105</v>
      </c>
      <c r="B42" s="2">
        <v>40</v>
      </c>
      <c r="C42">
        <f>(Цены!B42-Цены!B$2)/Цены!B$2</f>
        <v>-9.8910542759182415E-2</v>
      </c>
      <c r="D42">
        <f>(Цены!C42-Цены!C$2)/Цены!C$2</f>
        <v>-6.8213058419243966E-2</v>
      </c>
      <c r="E42">
        <f>(Цены!D42-Цены!D$2)/Цены!D$2</f>
        <v>-0.14588859416445621</v>
      </c>
      <c r="F42">
        <f>(Цены!E42-Цены!E$2)/Цены!E$2</f>
        <v>-0.11883802816901408</v>
      </c>
      <c r="G42">
        <f>(Цены!F42-Цены!F$2)/Цены!F$2</f>
        <v>-9.0155546459271388E-2</v>
      </c>
      <c r="H42">
        <f>(Цены!G42-Цены!G$2)/Цены!G$2</f>
        <v>-5.8359213250517482E-2</v>
      </c>
      <c r="I42">
        <f>(Цены!H42-Цены!H$2)/Цены!H$2</f>
        <v>-0.10021718895439023</v>
      </c>
      <c r="J42">
        <f>(Цены!J42-Цены!J$2)/Цены!J$2</f>
        <v>-0.17494061757719709</v>
      </c>
      <c r="K42">
        <f>(Цены!K42-Цены!K$2)/Цены!K$2</f>
        <v>-0.22355889724310773</v>
      </c>
      <c r="L42">
        <f>(Цены!L42-Цены!L$2)/Цены!L$2</f>
        <v>-2.8466783353797129E-2</v>
      </c>
      <c r="M42">
        <f>(Цены!M42-Цены!M$2)/Цены!M$2</f>
        <v>2.4063687352994308E-2</v>
      </c>
      <c r="N42">
        <f>(Цены!N42-Цены!N$2)/Цены!N$2</f>
        <v>-0.17352941176470585</v>
      </c>
      <c r="O42">
        <f>(Цены!O42-Цены!O$2)/Цены!O$2</f>
        <v>9.8522167487684834E-3</v>
      </c>
      <c r="P42">
        <f>(Цены!P42-Цены!P$2)/Цены!P$2</f>
        <v>-3.832572560502974E-2</v>
      </c>
      <c r="Q42">
        <f>(Цены!Q42-Цены!Q$2)/Цены!Q$2</f>
        <v>-0.11908084472974229</v>
      </c>
      <c r="R42">
        <f>(Цены!R42-Цены!R$2)/Цены!R$2</f>
        <v>-0.14838241393612611</v>
      </c>
      <c r="S42">
        <f>(Цены!S42-Цены!S$2)/Цены!S$2</f>
        <v>-5.6195965417867443E-2</v>
      </c>
      <c r="T42">
        <f>(Цены!T42-Цены!T$2)/Цены!T$2</f>
        <v>-8.263473053892223E-2</v>
      </c>
      <c r="U42">
        <f>(Цены!U42-Цены!U$2)/Цены!U$2</f>
        <v>-0.1868669228082431</v>
      </c>
      <c r="V42">
        <f>(Цены!V42-Цены!V$2)/Цены!V$2</f>
        <v>-9.7540983606557344E-2</v>
      </c>
      <c r="W42">
        <f>(Цены!W42-Цены!W$2)/Цены!W$2</f>
        <v>-1.71052631578947E-2</v>
      </c>
      <c r="X42">
        <f>(Цены!X42-Цены!X$2)/Цены!X$2</f>
        <v>-1.6748080949057959E-2</v>
      </c>
      <c r="Y42">
        <f>(Цены!Y42-Цены!Y$2)/Цены!Y$2</f>
        <v>-0.13758771098046654</v>
      </c>
      <c r="Z42">
        <f>(Цены!Z42-Цены!Z$2)/Цены!Z$2</f>
        <v>-0.24309695970231304</v>
      </c>
      <c r="AA42">
        <f>(Цены!AA42-Цены!AA$2)/Цены!AA$2</f>
        <v>-3.4523112931538945E-2</v>
      </c>
      <c r="AB42">
        <f>(Цены!AB42-Цены!AB$2)/Цены!AB$2</f>
        <v>-8.5542771385692842E-2</v>
      </c>
      <c r="AC42">
        <f>(Цены!AD42-Цены!AD$2)/Цены!AD$2</f>
        <v>-6.116642958748212E-2</v>
      </c>
      <c r="AD42">
        <f>(Цены!AE42-Цены!AE$2)/Цены!AE$2</f>
        <v>-0.18219895287958116</v>
      </c>
      <c r="AE42">
        <f>(Цены!AF42-Цены!AF$2)/Цены!AF$2</f>
        <v>-1.2038733315885952E-2</v>
      </c>
      <c r="AF42">
        <f>(Цены!AG42-Цены!AG$2)/Цены!AG$2</f>
        <v>-0.12424607961399289</v>
      </c>
      <c r="AG42">
        <f>(Цены!AH42-Цены!AH$2)/Цены!AH$2</f>
        <v>-0.25340425531914884</v>
      </c>
      <c r="AH42">
        <f>(Цены!AI42-Цены!AI$2)/Цены!AI$2</f>
        <v>-0.16197183098591542</v>
      </c>
      <c r="AI42">
        <f>(Цены!AJ42-Цены!AJ$2)/Цены!AJ$2</f>
        <v>-5.730659025787966E-2</v>
      </c>
      <c r="AJ42">
        <f>(Цены!AK42-Цены!AK$2)/Цены!AK$2</f>
        <v>-0.1832087606466192</v>
      </c>
      <c r="AK42">
        <f>(Цены!AL42-Цены!AL$2)/Цены!AL$2</f>
        <v>-1.706384230656062E-2</v>
      </c>
      <c r="AL42">
        <f>(Цены!AM42-Цены!AM$2)/Цены!AM$2</f>
        <v>3.5244679408973838E-3</v>
      </c>
      <c r="AM42">
        <f>(Цены!AN42-Цены!AN$2)/Цены!AN$2</f>
        <v>-6.1099796334012219E-2</v>
      </c>
      <c r="AN42">
        <f>(Цены!AO42-Цены!AO$2)/Цены!AO$2</f>
        <v>-0.24999999999999994</v>
      </c>
      <c r="AO42">
        <f>(Цены!AP42-Цены!AP$2)/Цены!AP$2</f>
        <v>1.4580801944106925E-2</v>
      </c>
      <c r="AP42">
        <f>(Цены!AQ42-Цены!AQ$2)/Цены!AQ$2</f>
        <v>-8.3591331269349839E-2</v>
      </c>
      <c r="AQ42">
        <f>(Цены!AR42-Цены!AR$2)/Цены!AR$2</f>
        <v>8.2365364308342098E-2</v>
      </c>
      <c r="AR42">
        <f>(Цены!AS42-Цены!AS$2)/Цены!AS$2</f>
        <v>-0.14950381421724163</v>
      </c>
      <c r="AS42">
        <f>(Цены!AU42-Цены!AU$2)/Цены!AU$2</f>
        <v>0.131630648330059</v>
      </c>
      <c r="AT42">
        <f>(Цены!AV42-Цены!AV$2)/Цены!AV$2</f>
        <v>-0.24515280972724293</v>
      </c>
      <c r="AU42">
        <f>(Цены!AW42-Цены!AW$2)/Цены!AW$2</f>
        <v>-0.21594743384833961</v>
      </c>
      <c r="AV42">
        <f>(Цены!AX42-Цены!AX$2)/Цены!AX$2</f>
        <v>-1.5231788079470199E-2</v>
      </c>
    </row>
    <row r="43" spans="1:48" x14ac:dyDescent="0.2">
      <c r="A43" s="1" t="s">
        <v>106</v>
      </c>
      <c r="B43" s="2">
        <v>41</v>
      </c>
      <c r="C43">
        <f>(Цены!B43-Цены!B$2)/Цены!B$2</f>
        <v>-9.0236063988827886E-2</v>
      </c>
      <c r="D43">
        <f>(Цены!C43-Цены!C$2)/Цены!C$2</f>
        <v>-6.2657502863688416E-2</v>
      </c>
      <c r="E43">
        <f>(Цены!D43-Цены!D$2)/Цены!D$2</f>
        <v>-0.14323607427055718</v>
      </c>
      <c r="F43">
        <f>(Цены!E43-Цены!E$2)/Цены!E$2</f>
        <v>-0.10357981220657277</v>
      </c>
      <c r="G43">
        <f>(Цены!F43-Цены!F$2)/Цены!F$2</f>
        <v>-7.7875562832582887E-2</v>
      </c>
      <c r="H43">
        <f>(Цены!G43-Цены!G$2)/Цены!G$2</f>
        <v>-4.1666666666666581E-2</v>
      </c>
      <c r="I43">
        <f>(Цены!H43-Цены!H$2)/Цены!H$2</f>
        <v>-8.4703692212224541E-2</v>
      </c>
      <c r="J43">
        <f>(Цены!J43-Цены!J$2)/Цены!J$2</f>
        <v>-0.16413301662707844</v>
      </c>
      <c r="K43">
        <f>(Цены!K43-Цены!K$2)/Цены!K$2</f>
        <v>-0.21152882205513779</v>
      </c>
      <c r="L43">
        <f>(Цены!L43-Цены!L$2)/Цены!L$2</f>
        <v>-2.5967240523525029E-3</v>
      </c>
      <c r="M43">
        <f>(Цены!M43-Цены!M$2)/Цены!M$2</f>
        <v>2.9491586755925371E-2</v>
      </c>
      <c r="N43">
        <f>(Цены!N43-Цены!N$2)/Цены!N$2</f>
        <v>-0.15720588235294114</v>
      </c>
      <c r="O43">
        <f>(Цены!O43-Цены!O$2)/Цены!O$2</f>
        <v>1.1083743842364734E-2</v>
      </c>
      <c r="P43">
        <f>(Цены!P43-Цены!P$2)/Цены!P$2</f>
        <v>-3.3158212040306556E-2</v>
      </c>
      <c r="Q43">
        <f>(Цены!Q43-Цены!Q$2)/Цены!Q$2</f>
        <v>-0.12103451483858955</v>
      </c>
      <c r="R43">
        <f>(Цены!R43-Цены!R$2)/Цены!R$2</f>
        <v>-0.13936126088759848</v>
      </c>
      <c r="S43">
        <f>(Цены!S43-Цены!S$2)/Цены!S$2</f>
        <v>-5.592219020172904E-2</v>
      </c>
      <c r="T43">
        <f>(Цены!T43-Цены!T$2)/Цены!T$2</f>
        <v>-8.2874251497006002E-2</v>
      </c>
      <c r="U43">
        <f>(Цены!U43-Цены!U$2)/Цены!U$2</f>
        <v>-0.18023052741879148</v>
      </c>
      <c r="V43">
        <f>(Цены!V43-Цены!V$2)/Цены!V$2</f>
        <v>-6.5573770491803199E-2</v>
      </c>
      <c r="W43">
        <f>(Цены!W43-Цены!W$2)/Цены!W$2</f>
        <v>-1.3157894736841357E-3</v>
      </c>
      <c r="X43">
        <f>(Цены!X43-Цены!X$2)/Цены!X$2</f>
        <v>-2.7913468248429864E-2</v>
      </c>
      <c r="Y43">
        <f>(Цены!Y43-Цены!Y$2)/Цены!Y$2</f>
        <v>-0.12924331500094821</v>
      </c>
      <c r="Z43">
        <f>(Цены!Z43-Цены!Z$2)/Цены!Z$2</f>
        <v>-0.27058226563491067</v>
      </c>
      <c r="AA43">
        <f>(Цены!AA43-Цены!AA$2)/Цены!AA$2</f>
        <v>-3.0719719133996487E-2</v>
      </c>
      <c r="AB43">
        <f>(Цены!AB43-Цены!AB$2)/Цены!AB$2</f>
        <v>-6.3531765882941474E-2</v>
      </c>
      <c r="AC43">
        <f>(Цены!AD43-Цены!AD$2)/Цены!AD$2</f>
        <v>-5.2275960170696946E-2</v>
      </c>
      <c r="AD43">
        <f>(Цены!AE43-Цены!AE$2)/Цены!AE$2</f>
        <v>-0.18952879581151832</v>
      </c>
      <c r="AE43">
        <f>(Цены!AF43-Цены!AF$2)/Цены!AF$2</f>
        <v>-6.8045014394138249E-3</v>
      </c>
      <c r="AF43">
        <f>(Цены!AG43-Цены!AG$2)/Цены!AG$2</f>
        <v>-9.5295536791314903E-2</v>
      </c>
      <c r="AG43">
        <f>(Цены!AH43-Цены!AH$2)/Цены!AH$2</f>
        <v>-0.20999999999999994</v>
      </c>
      <c r="AH43">
        <f>(Цены!AI43-Цены!AI$2)/Цены!AI$2</f>
        <v>-0.17605633802816903</v>
      </c>
      <c r="AI43">
        <f>(Цены!AJ43-Цены!AJ$2)/Цены!AJ$2</f>
        <v>-4.5845272206303724E-2</v>
      </c>
      <c r="AJ43">
        <f>(Цены!AK43-Цены!AK$2)/Цены!AK$2</f>
        <v>-0.18233964887884588</v>
      </c>
      <c r="AK43">
        <f>(Цены!AL43-Цены!AL$2)/Цены!AL$2</f>
        <v>-2.8537805236834333E-2</v>
      </c>
      <c r="AL43">
        <f>(Цены!AM43-Цены!AM$2)/Цены!AM$2</f>
        <v>2.7246848312322082E-2</v>
      </c>
      <c r="AM43">
        <f>(Цены!AN43-Цены!AN$2)/Цены!AN$2</f>
        <v>-5.4310930074677528E-2</v>
      </c>
      <c r="AN43">
        <f>(Цены!AO43-Цены!AO$2)/Цены!AO$2</f>
        <v>-0.24175824175824168</v>
      </c>
      <c r="AO43">
        <f>(Цены!AP43-Цены!AP$2)/Цены!AP$2</f>
        <v>2.4301336573511544E-2</v>
      </c>
      <c r="AP43">
        <f>(Цены!AQ43-Цены!AQ$2)/Цены!AQ$2</f>
        <v>-8.2043343653250778E-2</v>
      </c>
      <c r="AQ43">
        <f>(Цены!AR43-Цены!AR$2)/Цены!AR$2</f>
        <v>0.11721224920802528</v>
      </c>
      <c r="AR43">
        <f>(Цены!AS43-Цены!AS$2)/Цены!AS$2</f>
        <v>-0.14950381421724163</v>
      </c>
      <c r="AS43">
        <f>(Цены!AU43-Цены!AU$2)/Цены!AU$2</f>
        <v>0.13948919449901773</v>
      </c>
      <c r="AT43">
        <f>(Цены!AV43-Цены!AV$2)/Цены!AV$2</f>
        <v>-0.22620221272866695</v>
      </c>
      <c r="AU43">
        <f>(Цены!AW43-Цены!AW$2)/Цены!AW$2</f>
        <v>-0.16924169774462802</v>
      </c>
      <c r="AV43">
        <f>(Цены!AX43-Цены!AX$2)/Цены!AX$2</f>
        <v>-2.052980132450331E-2</v>
      </c>
    </row>
    <row r="44" spans="1:48" x14ac:dyDescent="0.2">
      <c r="A44" s="1" t="s">
        <v>107</v>
      </c>
      <c r="B44" s="2">
        <v>42</v>
      </c>
      <c r="C44">
        <f>(Цены!B44-Цены!B$2)/Цены!B$2</f>
        <v>-9.4188367783576615E-2</v>
      </c>
      <c r="D44">
        <f>(Цены!C44-Цены!C$2)/Цены!C$2</f>
        <v>-6.5177548682703298E-2</v>
      </c>
      <c r="E44">
        <f>(Цены!D44-Цены!D$2)/Цены!D$2</f>
        <v>-0.1458222811671088</v>
      </c>
      <c r="F44">
        <f>(Цены!E44-Цены!E$2)/Цены!E$2</f>
        <v>-0.10181924882629108</v>
      </c>
      <c r="G44">
        <f>(Цены!F44-Цены!F$2)/Цены!F$2</f>
        <v>-8.0536225951698737E-2</v>
      </c>
      <c r="H44">
        <f>(Цены!G44-Цены!G$2)/Цены!G$2</f>
        <v>-5.6418219461697609E-2</v>
      </c>
      <c r="I44">
        <f>(Цены!H44-Цены!H$2)/Цены!H$2</f>
        <v>-8.3772882407694566E-2</v>
      </c>
      <c r="J44">
        <f>(Цены!J44-Цены!J$2)/Цены!J$2</f>
        <v>-0.15914489311163896</v>
      </c>
      <c r="K44">
        <f>(Цены!K44-Цены!K$2)/Цены!K$2</f>
        <v>-0.19248120300751884</v>
      </c>
      <c r="L44">
        <f>(Цены!L44-Цены!L$2)/Цены!L$2</f>
        <v>-3.0961101387183665E-2</v>
      </c>
      <c r="M44">
        <f>(Цены!M44-Цены!M$2)/Цены!M$2</f>
        <v>3.1481816537000135E-2</v>
      </c>
      <c r="N44">
        <f>(Цены!N44-Цены!N$2)/Цены!N$2</f>
        <v>-0.16610294117647062</v>
      </c>
      <c r="O44">
        <f>(Цены!O44-Цены!O$2)/Цены!O$2</f>
        <v>1.1453201970443347E-2</v>
      </c>
      <c r="P44">
        <f>(Цены!P44-Цены!P$2)/Цены!P$2</f>
        <v>-2.5062440788907042E-2</v>
      </c>
      <c r="Q44">
        <f>(Цены!Q44-Цены!Q$2)/Цены!Q$2</f>
        <v>-0.14410642850497718</v>
      </c>
      <c r="R44">
        <f>(Цены!R44-Цены!R$2)/Цены!R$2</f>
        <v>-0.13884280381584402</v>
      </c>
      <c r="S44">
        <f>(Цены!S44-Цены!S$2)/Цены!S$2</f>
        <v>-4.6282420749279629E-2</v>
      </c>
      <c r="T44">
        <f>(Цены!T44-Цены!T$2)/Цены!T$2</f>
        <v>-9.0419161676646667E-2</v>
      </c>
      <c r="U44">
        <f>(Цены!U44-Цены!U$2)/Цены!U$2</f>
        <v>-0.15333566189311912</v>
      </c>
      <c r="V44">
        <f>(Цены!V44-Цены!V$2)/Цены!V$2</f>
        <v>-6.9672131147540964E-2</v>
      </c>
      <c r="W44">
        <f>(Цены!W44-Цены!W$2)/Цены!W$2</f>
        <v>-1.6447368421052631E-2</v>
      </c>
      <c r="X44">
        <f>(Цены!X44-Цены!X$2)/Цены!X$2</f>
        <v>-2.756454989532461E-2</v>
      </c>
      <c r="Y44">
        <f>(Цены!Y44-Цены!Y$2)/Цены!Y$2</f>
        <v>-0.10127062393324485</v>
      </c>
      <c r="Z44">
        <f>(Цены!Z44-Цены!Z$2)/Цены!Z$2</f>
        <v>-0.25874244154086851</v>
      </c>
      <c r="AA44">
        <f>(Цены!AA44-Цены!AA$2)/Цены!AA$2</f>
        <v>-2.7208894090111208E-2</v>
      </c>
      <c r="AB44">
        <f>(Цены!AB44-Цены!AB$2)/Цены!AB$2</f>
        <v>-5.6528264132066033E-2</v>
      </c>
      <c r="AC44">
        <f>(Цены!AD44-Цены!AD$2)/Цены!AD$2</f>
        <v>-4.4452347083926036E-2</v>
      </c>
      <c r="AD44">
        <f>(Цены!AE44-Цены!AE$2)/Цены!AE$2</f>
        <v>-0.187434554973822</v>
      </c>
      <c r="AE44">
        <f>(Цены!AF44-Цены!AF$2)/Цены!AF$2</f>
        <v>-1.4655849254122015E-2</v>
      </c>
      <c r="AF44">
        <f>(Цены!AG44-Цены!AG$2)/Цены!AG$2</f>
        <v>-9.7708082026538093E-2</v>
      </c>
      <c r="AG44">
        <f>(Цены!AH44-Цены!AH$2)/Цены!AH$2</f>
        <v>-0.14292553191489363</v>
      </c>
      <c r="AH44">
        <f>(Цены!AI44-Цены!AI$2)/Цены!AI$2</f>
        <v>-0.15492957746478869</v>
      </c>
      <c r="AI44">
        <f>(Цены!AJ44-Цены!AJ$2)/Цены!AJ$2</f>
        <v>-5.4727793696275069E-2</v>
      </c>
      <c r="AJ44">
        <f>(Цены!AK44-Цены!AK$2)/Цены!AK$2</f>
        <v>-0.17312706414044854</v>
      </c>
      <c r="AK44">
        <f>(Цены!AL44-Цены!AL$2)/Цены!AL$2</f>
        <v>-2.7655192703736328E-2</v>
      </c>
      <c r="AL44">
        <f>(Цены!AM44-Цены!AM$2)/Цены!AM$2</f>
        <v>3.1177985631015317E-3</v>
      </c>
      <c r="AM44">
        <f>(Цены!AN44-Цены!AN$2)/Цены!AN$2</f>
        <v>-6.6530889341479979E-2</v>
      </c>
      <c r="AN44">
        <f>(Цены!AO44-Цены!AO$2)/Цены!AO$2</f>
        <v>-0.25686813186813184</v>
      </c>
      <c r="AO44">
        <f>(Цены!AP44-Цены!AP$2)/Цены!AP$2</f>
        <v>4.8602673147023087E-2</v>
      </c>
      <c r="AP44">
        <f>(Цены!AQ44-Цены!AQ$2)/Цены!AQ$2</f>
        <v>-6.3467492260061917E-2</v>
      </c>
      <c r="AQ44">
        <f>(Цены!AR44-Цены!AR$2)/Цены!AR$2</f>
        <v>0.14466737064413943</v>
      </c>
      <c r="AR44">
        <f>(Цены!AS44-Цены!AS$2)/Цены!AS$2</f>
        <v>-0.15482346587456963</v>
      </c>
      <c r="AS44">
        <f>(Цены!AU44-Цены!AU$2)/Цены!AU$2</f>
        <v>0.12573673870333985</v>
      </c>
      <c r="AT44">
        <f>(Цены!AV44-Цены!AV$2)/Цены!AV$2</f>
        <v>-0.21053784642348572</v>
      </c>
      <c r="AU44">
        <f>(Цены!AW44-Цены!AW$2)/Цены!AW$2</f>
        <v>-0.16409163558870543</v>
      </c>
      <c r="AV44">
        <f>(Цены!AX44-Цены!AX$2)/Цены!AX$2</f>
        <v>-2.052980132450331E-2</v>
      </c>
    </row>
    <row r="45" spans="1:48" x14ac:dyDescent="0.2">
      <c r="A45" s="1" t="s">
        <v>108</v>
      </c>
      <c r="B45" s="2">
        <v>43</v>
      </c>
      <c r="C45">
        <f>(Цены!B45-Цены!B$2)/Цены!B$2</f>
        <v>-9.5007474912046599E-2</v>
      </c>
      <c r="D45">
        <f>(Цены!C45-Цены!C$2)/Цены!C$2</f>
        <v>-6.3573883161511996E-2</v>
      </c>
      <c r="E45">
        <f>(Цены!D45-Цены!D$2)/Цены!D$2</f>
        <v>-0.14794429708222812</v>
      </c>
      <c r="F45">
        <f>(Цены!E45-Цены!E$2)/Цены!E$2</f>
        <v>-0.125</v>
      </c>
      <c r="G45">
        <f>(Цены!F45-Цены!F$2)/Цены!F$2</f>
        <v>-8.0126893164142454E-2</v>
      </c>
      <c r="H45">
        <f>(Цены!G45-Цены!G$2)/Цены!G$2</f>
        <v>-7.5957556935817724E-2</v>
      </c>
      <c r="I45">
        <f>(Цены!H45-Цены!H$2)/Цены!H$2</f>
        <v>-8.873720136518759E-2</v>
      </c>
      <c r="J45">
        <f>(Цены!J45-Цены!J$2)/Цены!J$2</f>
        <v>-0.14513064133016632</v>
      </c>
      <c r="K45">
        <f>(Цены!K45-Цены!K$2)/Цены!K$2</f>
        <v>-0.17619047619047623</v>
      </c>
      <c r="L45">
        <f>(Цены!L45-Цены!L$2)/Цены!L$2</f>
        <v>-4.6751482536116183E-3</v>
      </c>
      <c r="M45">
        <f>(Цены!M45-Цены!M$2)/Цены!M$2</f>
        <v>1.4112538447620688E-2</v>
      </c>
      <c r="N45">
        <f>(Цены!N45-Цены!N$2)/Цены!N$2</f>
        <v>-0.16102941176470592</v>
      </c>
      <c r="O45">
        <f>(Цены!O45-Цены!O$2)/Цены!O$2</f>
        <v>1.9458128078817673E-2</v>
      </c>
      <c r="P45">
        <f>(Цены!P45-Цены!P$2)/Цены!P$2</f>
        <v>-2.5062440788907042E-2</v>
      </c>
      <c r="Q45">
        <f>(Цены!Q45-Цены!Q$2)/Цены!Q$2</f>
        <v>-0.12968648246348496</v>
      </c>
      <c r="R45">
        <f>(Цены!R45-Цены!R$2)/Цены!R$2</f>
        <v>-0.15481128162588134</v>
      </c>
      <c r="S45">
        <f>(Цены!S45-Цены!S$2)/Цены!S$2</f>
        <v>-3.7463976945245031E-2</v>
      </c>
      <c r="T45">
        <f>(Цены!T45-Цены!T$2)/Цены!T$2</f>
        <v>-8.1197604790419181E-2</v>
      </c>
      <c r="U45">
        <f>(Цены!U45-Цены!U$2)/Цены!U$2</f>
        <v>-0.15857492141110724</v>
      </c>
      <c r="V45">
        <f>(Цены!V45-Цены!V$2)/Цены!V$2</f>
        <v>-7.1721311475409846E-2</v>
      </c>
      <c r="W45">
        <f>(Цены!W45-Цены!W$2)/Цены!W$2</f>
        <v>-2.894736842105267E-2</v>
      </c>
      <c r="X45">
        <f>(Цены!X45-Цены!X$2)/Цены!X$2</f>
        <v>7.6762037683181733E-3</v>
      </c>
      <c r="Y45">
        <f>(Цены!Y45-Цены!Y$2)/Цены!Y$2</f>
        <v>-0.1029774322017827</v>
      </c>
      <c r="Z45">
        <f>(Цены!Z45-Цены!Z$2)/Цены!Z$2</f>
        <v>-0.21476595204871243</v>
      </c>
      <c r="AA45">
        <f>(Цены!AA45-Цены!AA$2)/Цены!AA$2</f>
        <v>-1.2287887653598561E-2</v>
      </c>
      <c r="AB45">
        <f>(Цены!AB45-Цены!AB$2)/Цены!AB$2</f>
        <v>-5.7028514257128564E-2</v>
      </c>
      <c r="AC45">
        <f>(Цены!AD45-Цены!AD$2)/Цены!AD$2</f>
        <v>-2.7027027027026893E-2</v>
      </c>
      <c r="AD45">
        <f>(Цены!AE45-Цены!AE$2)/Цены!AE$2</f>
        <v>-0.19581151832460733</v>
      </c>
      <c r="AE45">
        <f>(Цены!AF45-Цены!AF$2)/Цены!AF$2</f>
        <v>-3.03585448835384E-2</v>
      </c>
      <c r="AF45">
        <f>(Цены!AG45-Цены!AG$2)/Цены!AG$2</f>
        <v>-9.5898673100120652E-2</v>
      </c>
      <c r="AG45">
        <f>(Цены!AH45-Цены!AH$2)/Цены!AH$2</f>
        <v>-0.16212765957446804</v>
      </c>
      <c r="AH45">
        <f>(Цены!AI45-Цены!AI$2)/Цены!AI$2</f>
        <v>-0.14507042253521119</v>
      </c>
      <c r="AI45">
        <f>(Цены!AJ45-Цены!AJ$2)/Цены!AJ$2</f>
        <v>-6.4183381088825209E-2</v>
      </c>
      <c r="AJ45">
        <f>(Цены!AK45-Цены!AK$2)/Цены!AK$2</f>
        <v>-0.1581783417347471</v>
      </c>
      <c r="AK45">
        <f>(Цены!AL45-Цены!AL$2)/Цены!AL$2</f>
        <v>-3.7363930567814035E-2</v>
      </c>
      <c r="AL45">
        <f>(Цены!AM45-Цены!AM$2)/Цены!AM$2</f>
        <v>-1.5317879896977091E-2</v>
      </c>
      <c r="AM45">
        <f>(Цены!AN45-Цены!AN$2)/Цены!AN$2</f>
        <v>-6.2457569585879155E-2</v>
      </c>
      <c r="AN45">
        <f>(Цены!AO45-Цены!AO$2)/Цены!AO$2</f>
        <v>-0.28159340659340659</v>
      </c>
      <c r="AO45">
        <f>(Цены!AP45-Цены!AP$2)/Цены!AP$2</f>
        <v>3.4021871202916158E-2</v>
      </c>
      <c r="AP45">
        <f>(Цены!AQ45-Цены!AQ$2)/Цены!AQ$2</f>
        <v>-7.275541795665634E-2</v>
      </c>
      <c r="AQ45">
        <f>(Цены!AR45-Цены!AR$2)/Цены!AR$2</f>
        <v>0.13305174234424491</v>
      </c>
      <c r="AR45">
        <f>(Цены!AS45-Цены!AS$2)/Цены!AS$2</f>
        <v>-0.17475190710862079</v>
      </c>
      <c r="AS45">
        <f>(Цены!AU45-Цены!AU$2)/Цены!AU$2</f>
        <v>0.14243614931237722</v>
      </c>
      <c r="AT45">
        <f>(Цены!AV45-Цены!AV$2)/Цены!AV$2</f>
        <v>-0.21218096177018297</v>
      </c>
      <c r="AU45">
        <f>(Цены!AW45-Цены!AW$2)/Цены!AW$2</f>
        <v>-0.18060735215769858</v>
      </c>
      <c r="AV45">
        <f>(Цены!AX45-Цены!AX$2)/Цены!AX$2</f>
        <v>-2.052980132450331E-2</v>
      </c>
    </row>
    <row r="46" spans="1:48" x14ac:dyDescent="0.2">
      <c r="A46" s="1" t="s">
        <v>109</v>
      </c>
      <c r="B46" s="2">
        <v>44</v>
      </c>
      <c r="C46">
        <f>(Цены!B46-Цены!B$2)/Цены!B$2</f>
        <v>-0.10663611053917829</v>
      </c>
      <c r="D46">
        <f>(Цены!C46-Цены!C$2)/Цены!C$2</f>
        <v>-8.476517754868261E-2</v>
      </c>
      <c r="E46">
        <f>(Цены!D46-Цены!D$2)/Цены!D$2</f>
        <v>-0.15185676392572947</v>
      </c>
      <c r="F46">
        <f>(Цены!E46-Цены!E$2)/Цены!E$2</f>
        <v>-0.12529342723004694</v>
      </c>
      <c r="G46">
        <f>(Цены!F46-Цены!F$2)/Цены!F$2</f>
        <v>-8.6266884977486691E-2</v>
      </c>
      <c r="H46">
        <f>(Цены!G46-Цены!G$2)/Цены!G$2</f>
        <v>-8.7862318840579684E-2</v>
      </c>
      <c r="I46">
        <f>(Цены!H46-Цены!H$2)/Цены!H$2</f>
        <v>-8.6255041886441133E-2</v>
      </c>
      <c r="J46">
        <f>(Цены!J46-Цены!J$2)/Цены!J$2</f>
        <v>-0.174228028503563</v>
      </c>
      <c r="K46">
        <f>(Цены!K46-Цены!K$2)/Цены!K$2</f>
        <v>-0.18922305764411027</v>
      </c>
      <c r="L46">
        <f>(Цены!L46-Цены!L$2)/Цены!L$2</f>
        <v>-3.7818124820397592E-2</v>
      </c>
      <c r="M46">
        <f>(Цены!M46-Цены!M$2)/Цены!M$2</f>
        <v>-1.3569748507327664E-2</v>
      </c>
      <c r="N46">
        <f>(Цены!N46-Цены!N$2)/Цены!N$2</f>
        <v>-0.18007352941176466</v>
      </c>
      <c r="O46">
        <f>(Цены!O46-Цены!O$2)/Цены!O$2</f>
        <v>-1.1699507389162422E-2</v>
      </c>
      <c r="P46">
        <f>(Цены!P46-Цены!P$2)/Цены!P$2</f>
        <v>-2.5837567823615536E-2</v>
      </c>
      <c r="Q46">
        <f>(Цены!Q46-Цены!Q$2)/Цены!Q$2</f>
        <v>-0.15331658758954311</v>
      </c>
      <c r="R46">
        <f>(Цены!R46-Цены!R$2)/Цены!R$2</f>
        <v>-0.16020323517212776</v>
      </c>
      <c r="S46">
        <f>(Цены!S46-Цены!S$2)/Цены!S$2</f>
        <v>-4.5389048991354465E-2</v>
      </c>
      <c r="T46">
        <f>(Цены!T46-Цены!T$2)/Цены!T$2</f>
        <v>-7.8443113772455053E-2</v>
      </c>
      <c r="U46">
        <f>(Цены!U46-Цены!U$2)/Цены!U$2</f>
        <v>-0.17359413202933985</v>
      </c>
      <c r="V46">
        <f>(Цены!V46-Цены!V$2)/Цены!V$2</f>
        <v>-8.8934426229508132E-2</v>
      </c>
      <c r="W46">
        <f>(Цены!W46-Цены!W$2)/Цены!W$2</f>
        <v>-3.5921052631578999E-2</v>
      </c>
      <c r="X46">
        <f>(Цены!X46-Цены!X$2)/Цены!X$2</f>
        <v>3.4891835310537335E-2</v>
      </c>
      <c r="Y46">
        <f>(Цены!Y46-Цены!Y$2)/Цены!Y$2</f>
        <v>-0.11539920348947472</v>
      </c>
      <c r="Z46">
        <f>(Цены!Z46-Цены!Z$2)/Цены!Z$2</f>
        <v>-0.24267410884181148</v>
      </c>
      <c r="AA46">
        <f>(Цены!AA46-Цены!AA$2)/Цены!AA$2</f>
        <v>-1.6968987712112381E-2</v>
      </c>
      <c r="AB46">
        <f>(Цены!AB46-Цены!AB$2)/Цены!AB$2</f>
        <v>-7.2536268134067036E-2</v>
      </c>
      <c r="AC46">
        <f>(Цены!AD46-Цены!AD$2)/Цены!AD$2</f>
        <v>-4.9075391180654307E-2</v>
      </c>
      <c r="AD46">
        <f>(Цены!AE46-Цены!AE$2)/Цены!AE$2</f>
        <v>-0.20104712041884817</v>
      </c>
      <c r="AE46">
        <f>(Цены!AF46-Цены!AF$2)/Цены!AF$2</f>
        <v>-1.7534676786181747E-2</v>
      </c>
      <c r="AF46">
        <f>(Цены!AG46-Цены!AG$2)/Цены!AG$2</f>
        <v>-0.11338962605548861</v>
      </c>
      <c r="AG46">
        <f>(Цены!AH46-Цены!AH$2)/Цены!AH$2</f>
        <v>-0.19351063829787232</v>
      </c>
      <c r="AH46">
        <f>(Цены!AI46-Цены!AI$2)/Цены!AI$2</f>
        <v>-0.14788732394366194</v>
      </c>
      <c r="AI46">
        <f>(Цены!AJ46-Цены!AJ$2)/Цены!AJ$2</f>
        <v>-5.1862464183381092E-2</v>
      </c>
      <c r="AJ46">
        <f>(Цены!AK46-Цены!AK$2)/Цены!AK$2</f>
        <v>-0.16495741352337909</v>
      </c>
      <c r="AK46">
        <f>(Цены!AL46-Цены!AL$2)/Цены!AL$2</f>
        <v>-4.0305972344807268E-2</v>
      </c>
      <c r="AL46">
        <f>(Цены!AM46-Цены!AM$2)/Цены!AM$2</f>
        <v>-2.2909041615832994E-2</v>
      </c>
      <c r="AM46">
        <f>(Цены!AN46-Цены!AN$2)/Цены!AN$2</f>
        <v>-5.2953156822810592E-2</v>
      </c>
      <c r="AN46">
        <f>(Цены!AO46-Цены!AO$2)/Цены!AO$2</f>
        <v>-0.26373626373626369</v>
      </c>
      <c r="AO46">
        <f>(Цены!AP46-Цены!AP$2)/Цены!AP$2</f>
        <v>3.0376670716889428E-2</v>
      </c>
      <c r="AP46">
        <f>(Цены!AQ46-Цены!AQ$2)/Цены!AQ$2</f>
        <v>-0.10371517027863777</v>
      </c>
      <c r="AQ46">
        <f>(Цены!AR46-Цены!AR$2)/Цены!AR$2</f>
        <v>0.10348468848996829</v>
      </c>
      <c r="AR46">
        <f>(Цены!AS46-Цены!AS$2)/Цены!AS$2</f>
        <v>-0.19137244312428253</v>
      </c>
      <c r="AS46">
        <f>(Цены!AU46-Цены!AU$2)/Цены!AU$2</f>
        <v>0.13654223968565821</v>
      </c>
      <c r="AT46">
        <f>(Цены!AV46-Цены!AV$2)/Цены!AV$2</f>
        <v>-0.23781356117866148</v>
      </c>
      <c r="AU46">
        <f>(Цены!AW46-Цены!AW$2)/Цены!AW$2</f>
        <v>-0.19907654057893806</v>
      </c>
      <c r="AV46">
        <f>(Цены!AX46-Цены!AX$2)/Цены!AX$2</f>
        <v>-2.2516556291390728E-2</v>
      </c>
    </row>
    <row r="47" spans="1:48" x14ac:dyDescent="0.2">
      <c r="A47" s="1" t="s">
        <v>110</v>
      </c>
      <c r="B47" s="2">
        <v>45</v>
      </c>
      <c r="C47">
        <f>(Цены!B47-Цены!B$2)/Цены!B$2</f>
        <v>-0.10094712059226368</v>
      </c>
      <c r="D47">
        <f>(Цены!C47-Цены!C$2)/Цены!C$2</f>
        <v>-7.3310423825887649E-2</v>
      </c>
      <c r="E47">
        <f>(Цены!D47-Цены!D$2)/Цены!D$2</f>
        <v>-0.15643236074270567</v>
      </c>
      <c r="F47">
        <f>(Цены!E47-Цены!E$2)/Цены!E$2</f>
        <v>-0.1119424882629108</v>
      </c>
      <c r="G47">
        <f>(Цены!F47-Цены!F$2)/Цены!F$2</f>
        <v>-8.1661891117478513E-2</v>
      </c>
      <c r="H47">
        <f>(Цены!G47-Цены!G$2)/Цены!G$2</f>
        <v>-9.2261904761904712E-2</v>
      </c>
      <c r="I47">
        <f>(Цены!H47-Цены!H$2)/Цены!H$2</f>
        <v>-9.463233012721059E-2</v>
      </c>
      <c r="J47">
        <f>(Цены!J47-Цены!J$2)/Цены!J$2</f>
        <v>-0.166270783847981</v>
      </c>
      <c r="K47">
        <f>(Цены!K47-Цены!K$2)/Цены!K$2</f>
        <v>-0.17694235588972437</v>
      </c>
      <c r="L47">
        <f>(Цены!L47-Цены!L$2)/Цены!L$2</f>
        <v>-3.2415684840251743E-2</v>
      </c>
      <c r="M47">
        <f>(Цены!M47-Цены!M$2)/Цены!M$2</f>
        <v>-1.0132078885471362E-2</v>
      </c>
      <c r="N47">
        <f>(Цены!N47-Цены!N$2)/Цены!N$2</f>
        <v>-0.15735294117647064</v>
      </c>
      <c r="O47">
        <f>(Цены!O47-Цены!O$2)/Цены!O$2</f>
        <v>9.7290640394089457E-3</v>
      </c>
      <c r="P47">
        <f>(Цены!P47-Цены!P$2)/Цены!P$2</f>
        <v>-3.0057703901472697E-2</v>
      </c>
      <c r="Q47">
        <f>(Цены!Q47-Цены!Q$2)/Цены!Q$2</f>
        <v>-0.14503674760442822</v>
      </c>
      <c r="R47">
        <f>(Цены!R47-Цены!R$2)/Цены!R$2</f>
        <v>-0.13002903359601822</v>
      </c>
      <c r="S47">
        <f>(Цены!S47-Цены!S$2)/Цены!S$2</f>
        <v>-3.6556195965417829E-2</v>
      </c>
      <c r="T47">
        <f>(Цены!T47-Цены!T$2)/Цены!T$2</f>
        <v>-7.7964071856287481E-2</v>
      </c>
      <c r="U47">
        <f>(Цены!U47-Цены!U$2)/Цены!U$2</f>
        <v>-0.16975200838281523</v>
      </c>
      <c r="V47">
        <f>(Цены!V47-Цены!V$2)/Цены!V$2</f>
        <v>-5.7377049180327815E-2</v>
      </c>
      <c r="W47">
        <f>(Цены!W47-Цены!W$2)/Цены!W$2</f>
        <v>-2.394736842105254E-2</v>
      </c>
      <c r="X47">
        <f>(Цены!X47-Цены!X$2)/Цены!X$2</f>
        <v>3.8381018841589874E-3</v>
      </c>
      <c r="Y47">
        <f>(Цены!Y47-Цены!Y$2)/Цены!Y$2</f>
        <v>-9.8710411530438052E-2</v>
      </c>
      <c r="Z47">
        <f>(Цены!Z47-Цены!Z$2)/Цены!Z$2</f>
        <v>-0.22258869296799016</v>
      </c>
      <c r="AA47">
        <f>(Цены!AA47-Цены!AA$2)/Цены!AA$2</f>
        <v>-1.5213575190169656E-2</v>
      </c>
      <c r="AB47">
        <f>(Цены!AB47-Цены!AB$2)/Цены!AB$2</f>
        <v>-6.953476738369184E-2</v>
      </c>
      <c r="AC47">
        <f>(Цены!AD47-Цены!AD$2)/Цены!AD$2</f>
        <v>-5.0497866287339939E-2</v>
      </c>
      <c r="AD47">
        <f>(Цены!AE47-Цены!AE$2)/Цены!AE$2</f>
        <v>-0.19790575916230366</v>
      </c>
      <c r="AE47">
        <f>(Цены!AF47-Цены!AF$2)/Цены!AF$2</f>
        <v>-2.303062025647739E-2</v>
      </c>
      <c r="AF47">
        <f>(Цены!AG47-Цены!AG$2)/Цены!AG$2</f>
        <v>-0.10554885404101326</v>
      </c>
      <c r="AG47">
        <f>(Цены!AH47-Цены!AH$2)/Цены!AH$2</f>
        <v>-0.16957446808510637</v>
      </c>
      <c r="AH47">
        <f>(Цены!AI47-Цены!AI$2)/Цены!AI$2</f>
        <v>-0.11830985915492956</v>
      </c>
      <c r="AI47">
        <f>(Цены!AJ47-Цены!AJ$2)/Цены!AJ$2</f>
        <v>-5.300859598853868E-2</v>
      </c>
      <c r="AJ47">
        <f>(Цены!AK47-Цены!AK$2)/Цены!AK$2</f>
        <v>-0.15800451938119239</v>
      </c>
      <c r="AK47">
        <f>(Цены!AL47-Цены!AL$2)/Цены!AL$2</f>
        <v>-4.5601647543395123E-2</v>
      </c>
      <c r="AL47">
        <f>(Цены!AM47-Цены!AM$2)/Цены!AM$2</f>
        <v>-1.0573403822692151E-2</v>
      </c>
      <c r="AM47">
        <f>(Цены!AN47-Цены!AN$2)/Цены!AN$2</f>
        <v>-2.9192124915139173E-2</v>
      </c>
      <c r="AN47">
        <f>(Цены!AO47-Цены!AO$2)/Цены!AO$2</f>
        <v>-0.24587912087912087</v>
      </c>
      <c r="AO47">
        <f>(Цены!AP47-Цены!AP$2)/Цены!AP$2</f>
        <v>2.551640340218712E-2</v>
      </c>
      <c r="AP47">
        <f>(Цены!AQ47-Цены!AQ$2)/Цены!AQ$2</f>
        <v>-9.9071207430340563E-2</v>
      </c>
      <c r="AQ47">
        <f>(Цены!AR47-Цены!AR$2)/Цены!AR$2</f>
        <v>0.12143611404435058</v>
      </c>
      <c r="AR47">
        <f>(Цены!AS47-Цены!AS$2)/Цены!AS$2</f>
        <v>-0.20265982582866399</v>
      </c>
      <c r="AS47">
        <f>(Цены!AU47-Цены!AU$2)/Цены!AU$2</f>
        <v>0.14538310412573671</v>
      </c>
      <c r="AT47">
        <f>(Цены!AV47-Цены!AV$2)/Цены!AV$2</f>
        <v>-0.23178880490743795</v>
      </c>
      <c r="AU47">
        <f>(Цены!AW47-Цены!AW$2)/Цены!AW$2</f>
        <v>-0.19410406677321979</v>
      </c>
      <c r="AV47">
        <f>(Цены!AX47-Цены!AX$2)/Цены!AX$2</f>
        <v>-2.3178807947019868E-2</v>
      </c>
    </row>
    <row r="48" spans="1:48" x14ac:dyDescent="0.2">
      <c r="A48" s="1" t="s">
        <v>111</v>
      </c>
      <c r="B48" s="2">
        <v>46</v>
      </c>
      <c r="C48">
        <f>(Цены!B48-Цены!B$2)/Цены!B$2</f>
        <v>-9.3302120726543467E-2</v>
      </c>
      <c r="D48">
        <f>(Цены!C48-Цены!C$2)/Цены!C$2</f>
        <v>-6.3573883161511996E-2</v>
      </c>
      <c r="E48">
        <f>(Цены!D48-Цены!D$2)/Цены!D$2</f>
        <v>-0.1458222811671088</v>
      </c>
      <c r="F48">
        <f>(Цены!E48-Цены!E$2)/Цены!E$2</f>
        <v>-0.10504694835680752</v>
      </c>
      <c r="G48">
        <f>(Цены!F48-Цены!F$2)/Цены!F$2</f>
        <v>-7.9001227998362664E-2</v>
      </c>
      <c r="H48">
        <f>(Цены!G48-Цены!G$2)/Цены!G$2</f>
        <v>-6.4440993788819817E-2</v>
      </c>
      <c r="I48">
        <f>(Цены!H48-Цены!H$2)/Цены!H$2</f>
        <v>-8.3617747440272949E-2</v>
      </c>
      <c r="J48">
        <f>(Цены!J48-Цены!J$2)/Цены!J$2</f>
        <v>-0.16306413301662703</v>
      </c>
      <c r="K48">
        <f>(Цены!K48-Цены!K$2)/Цены!K$2</f>
        <v>-0.16867167919799503</v>
      </c>
      <c r="L48">
        <f>(Цены!L48-Цены!L$2)/Цены!L$2</f>
        <v>-3.7818124820397592E-2</v>
      </c>
      <c r="M48">
        <f>(Цены!M48-Цены!M$2)/Цены!M$2</f>
        <v>9.9511489053736198E-3</v>
      </c>
      <c r="N48">
        <f>(Цены!N48-Цены!N$2)/Цены!N$2</f>
        <v>-0.15926470588235292</v>
      </c>
      <c r="O48">
        <f>(Цены!O48-Цены!O$2)/Цены!O$2</f>
        <v>1.35467980295568E-2</v>
      </c>
      <c r="P48">
        <f>(Цены!P48-Цены!P$2)/Цены!P$2</f>
        <v>-3.0229954353630222E-2</v>
      </c>
      <c r="Q48">
        <f>(Цены!Q48-Цены!Q$2)/Цены!Q$2</f>
        <v>-0.14410642850497718</v>
      </c>
      <c r="R48">
        <f>(Цены!R48-Цены!R$2)/Цены!R$2</f>
        <v>-0.14247200331812523</v>
      </c>
      <c r="S48">
        <f>(Цены!S48-Цены!S$2)/Цены!S$2</f>
        <v>-3.3141210374639719E-2</v>
      </c>
      <c r="T48">
        <f>(Цены!T48-Цены!T$2)/Цены!T$2</f>
        <v>-8.0000000000000085E-2</v>
      </c>
      <c r="U48">
        <f>(Цены!U48-Цены!U$2)/Цены!U$2</f>
        <v>-0.17254628012574222</v>
      </c>
      <c r="V48">
        <f>(Цены!V48-Цены!V$2)/Цены!V$2</f>
        <v>-6.147540983606558E-2</v>
      </c>
      <c r="W48">
        <f>(Цены!W48-Цены!W$2)/Цены!W$2</f>
        <v>-3.6052631578947301E-2</v>
      </c>
      <c r="X48">
        <f>(Цены!X48-Цены!X$2)/Цены!X$2</f>
        <v>-6.9783670621074659E-3</v>
      </c>
      <c r="Y48">
        <f>(Цены!Y48-Цены!Y$2)/Цены!Y$2</f>
        <v>-0.10288260952019716</v>
      </c>
      <c r="Z48">
        <f>(Цены!Z48-Цены!Z$2)/Цены!Z$2</f>
        <v>-0.20165757537316592</v>
      </c>
      <c r="AA48">
        <f>(Цены!AA48-Цены!AA$2)/Цены!AA$2</f>
        <v>-1.2873025160912915E-2</v>
      </c>
      <c r="AB48">
        <f>(Цены!AB48-Цены!AB$2)/Цены!AB$2</f>
        <v>-6.9034517258629316E-2</v>
      </c>
      <c r="AC48">
        <f>(Цены!AD48-Цены!AD$2)/Цены!AD$2</f>
        <v>-4.1251778093883237E-2</v>
      </c>
      <c r="AD48">
        <f>(Цены!AE48-Цены!AE$2)/Цены!AE$2</f>
        <v>-0.19790575916230366</v>
      </c>
      <c r="AE48">
        <f>(Цены!AF48-Цены!AF$2)/Цены!AF$2</f>
        <v>-2.5647736194713455E-2</v>
      </c>
      <c r="AF48">
        <f>(Цены!AG48-Цены!AG$2)/Цены!AG$2</f>
        <v>-0.10675512665862494</v>
      </c>
      <c r="AG48">
        <f>(Цены!AH48-Цены!AH$2)/Цены!AH$2</f>
        <v>-0.16351063829787238</v>
      </c>
      <c r="AH48">
        <f>(Цены!AI48-Цены!AI$2)/Цены!AI$2</f>
        <v>-0.11549295774647879</v>
      </c>
      <c r="AI48">
        <f>(Цены!AJ48-Цены!AJ$2)/Цены!AJ$2</f>
        <v>-5.8452722063037248E-2</v>
      </c>
      <c r="AJ48">
        <f>(Цены!AK48-Цены!AK$2)/Цены!AK$2</f>
        <v>-0.16617416999826184</v>
      </c>
      <c r="AK48">
        <f>(Цены!AL48-Цены!AL$2)/Цены!AL$2</f>
        <v>-5.3250956163577425E-2</v>
      </c>
      <c r="AL48">
        <f>(Цены!AM48-Цены!AM$2)/Цены!AM$2</f>
        <v>-1.5046766978446523E-2</v>
      </c>
      <c r="AM48">
        <f>(Цены!AN48-Цены!AN$2)/Цены!AN$2</f>
        <v>-2.2403258655804479E-2</v>
      </c>
      <c r="AN48">
        <f>(Цены!AO48-Цены!AO$2)/Цены!AO$2</f>
        <v>-0.21978021978021978</v>
      </c>
      <c r="AO48">
        <f>(Цены!AP48-Цены!AP$2)/Цены!AP$2</f>
        <v>2.0656136087484813E-2</v>
      </c>
      <c r="AP48">
        <f>(Цены!AQ48-Цены!AQ$2)/Цены!AQ$2</f>
        <v>-0.10681114551083591</v>
      </c>
      <c r="AQ48">
        <f>(Цены!AR48-Цены!AR$2)/Цены!AR$2</f>
        <v>0.12143611404435058</v>
      </c>
      <c r="AR48">
        <f>(Цены!AS48-Цены!AS$2)/Цены!AS$2</f>
        <v>-0.20332140687234185</v>
      </c>
      <c r="AS48">
        <f>(Цены!AU48-Цены!AU$2)/Цены!AU$2</f>
        <v>0.15225933202357564</v>
      </c>
      <c r="AT48">
        <f>(Цены!AV48-Цены!AV$2)/Цены!AV$2</f>
        <v>-0.20626574652207263</v>
      </c>
      <c r="AU48">
        <f>(Цены!AW48-Цены!AW$2)/Цены!AW$2</f>
        <v>-0.17758835020422664</v>
      </c>
      <c r="AV48">
        <f>(Цены!AX48-Цены!AX$2)/Цены!AX$2</f>
        <v>-1.9867549668874173E-2</v>
      </c>
    </row>
    <row r="49" spans="1:48" x14ac:dyDescent="0.2">
      <c r="A49" s="1" t="s">
        <v>112</v>
      </c>
      <c r="B49" s="2">
        <v>47</v>
      </c>
      <c r="C49">
        <f>(Цены!B49-Цены!B$2)/Цены!B$2</f>
        <v>-7.9592147313955128E-2</v>
      </c>
      <c r="D49">
        <f>(Цены!C49-Цены!C$2)/Цены!C$2</f>
        <v>-3.7227949599083619E-2</v>
      </c>
      <c r="E49">
        <f>(Цены!D49-Цены!D$2)/Цены!D$2</f>
        <v>-0.13335543766578256</v>
      </c>
      <c r="F49">
        <f>(Цены!E49-Цены!E$2)/Цены!E$2</f>
        <v>-0.10299295774647887</v>
      </c>
      <c r="G49">
        <f>(Цены!F49-Цены!F$2)/Цены!F$2</f>
        <v>-5.9967253376995495E-2</v>
      </c>
      <c r="H49">
        <f>(Цены!G49-Цены!G$2)/Цены!G$2</f>
        <v>-5.1112836438923399E-2</v>
      </c>
      <c r="I49">
        <f>(Цены!H49-Цены!H$2)/Цены!H$2</f>
        <v>-7.8498293515358294E-2</v>
      </c>
      <c r="J49">
        <f>(Цены!J49-Цены!J$2)/Цены!J$2</f>
        <v>-0.12149643705463177</v>
      </c>
      <c r="K49">
        <f>(Цены!K49-Цены!K$2)/Цены!K$2</f>
        <v>-0.15238095238095242</v>
      </c>
      <c r="L49">
        <f>(Цены!L49-Цены!L$2)/Цены!L$2</f>
        <v>-1.6103868962094158E-2</v>
      </c>
      <c r="M49">
        <f>(Цены!M49-Цены!M$2)/Цены!M$2</f>
        <v>9.4083589650803892E-3</v>
      </c>
      <c r="N49">
        <f>(Цены!N49-Цены!N$2)/Цены!N$2</f>
        <v>-0.14595588235294113</v>
      </c>
      <c r="O49">
        <f>(Цены!O49-Цены!O$2)/Цены!O$2</f>
        <v>2.5369458128078979E-2</v>
      </c>
      <c r="P49">
        <f>(Цены!P49-Цены!P$2)/Цены!P$2</f>
        <v>-3.2296959779519421E-2</v>
      </c>
      <c r="Q49">
        <f>(Цены!Q49-Цены!Q$2)/Цены!Q$2</f>
        <v>-0.1428039817657456</v>
      </c>
      <c r="R49">
        <f>(Цены!R49-Цены!R$2)/Цены!R$2</f>
        <v>-0.10825383658233097</v>
      </c>
      <c r="S49">
        <f>(Цены!S49-Цены!S$2)/Цены!S$2</f>
        <v>-3.6023054755043256E-2</v>
      </c>
      <c r="T49">
        <f>(Цены!T49-Цены!T$2)/Цены!T$2</f>
        <v>-6.3473053892215539E-2</v>
      </c>
      <c r="U49">
        <f>(Цены!U49-Цены!U$2)/Цены!U$2</f>
        <v>-0.16241704505763185</v>
      </c>
      <c r="V49">
        <f>(Цены!V49-Цены!V$2)/Цены!V$2</f>
        <v>-6.7622950819672081E-2</v>
      </c>
      <c r="W49">
        <f>(Цены!W49-Цены!W$2)/Цены!W$2</f>
        <v>-2.1052631578947295E-2</v>
      </c>
      <c r="X49">
        <f>(Цены!X49-Цены!X$2)/Цены!X$2</f>
        <v>-1.709699930216341E-2</v>
      </c>
      <c r="Y49">
        <f>(Цены!Y49-Цены!Y$2)/Цены!Y$2</f>
        <v>-8.0314811302863651E-2</v>
      </c>
      <c r="Z49">
        <f>(Цены!Z49-Цены!Z$2)/Цены!Z$2</f>
        <v>-0.20102329908241362</v>
      </c>
      <c r="AA49">
        <f>(Цены!AA49-Цены!AA$2)/Цены!AA$2</f>
        <v>2.3698069046225761E-2</v>
      </c>
      <c r="AB49">
        <f>(Цены!AB49-Цены!AB$2)/Цены!AB$2</f>
        <v>-5.8529264632316155E-2</v>
      </c>
      <c r="AC49">
        <f>(Цены!AD49-Цены!AD$2)/Цены!AD$2</f>
        <v>-3.3072546230440959E-2</v>
      </c>
      <c r="AD49">
        <f>(Цены!AE49-Цены!AE$2)/Цены!AE$2</f>
        <v>-0.18952879581151832</v>
      </c>
      <c r="AE49">
        <f>(Цены!AF49-Цены!AF$2)/Цены!AF$2</f>
        <v>-2.2507197068830209E-2</v>
      </c>
      <c r="AF49">
        <f>(Цены!AG49-Цены!AG$2)/Цены!AG$2</f>
        <v>-9.5295536791314903E-2</v>
      </c>
      <c r="AG49">
        <f>(Цены!AH49-Цены!AH$2)/Цены!AH$2</f>
        <v>-0.13297872340425532</v>
      </c>
      <c r="AH49">
        <f>(Цены!AI49-Цены!AI$2)/Цены!AI$2</f>
        <v>-0.11830985915492956</v>
      </c>
      <c r="AI49">
        <f>(Цены!AJ49-Цены!AJ$2)/Цены!AJ$2</f>
        <v>-5.9312320916905442E-2</v>
      </c>
      <c r="AJ49">
        <f>(Цены!AK49-Цены!AK$2)/Цены!AK$2</f>
        <v>-0.16704328176603517</v>
      </c>
      <c r="AK49">
        <f>(Цены!AL49-Цены!AL$2)/Цены!AL$2</f>
        <v>-5.7958223006766667E-2</v>
      </c>
      <c r="AL49">
        <f>(Цены!AM49-Цены!AM$2)/Цены!AM$2</f>
        <v>-9.4889521485698794E-4</v>
      </c>
      <c r="AM49">
        <f>(Цены!AN49-Цены!AN$2)/Цены!AN$2</f>
        <v>-1.9687712152070606E-2</v>
      </c>
      <c r="AN49">
        <f>(Цены!AO49-Цены!AO$2)/Цены!AO$2</f>
        <v>-0.18131868131868126</v>
      </c>
      <c r="AO49">
        <f>(Цены!AP49-Цены!AP$2)/Цены!AP$2</f>
        <v>1.8226002430133656E-2</v>
      </c>
      <c r="AP49">
        <f>(Цены!AQ49-Цены!AQ$2)/Цены!AQ$2</f>
        <v>-8.8235294117647065E-2</v>
      </c>
      <c r="AQ49">
        <f>(Цены!AR49-Цены!AR$2)/Цены!AR$2</f>
        <v>0.11510031678986263</v>
      </c>
      <c r="AR49">
        <f>(Цены!AS49-Цены!AS$2)/Цены!AS$2</f>
        <v>-0.17608857084992904</v>
      </c>
      <c r="AS49">
        <f>(Цены!AU49-Цены!AU$2)/Цены!AU$2</f>
        <v>0.163064833005894</v>
      </c>
      <c r="AT49">
        <f>(Цены!AV49-Цены!AV$2)/Цены!AV$2</f>
        <v>-0.18939642896264658</v>
      </c>
      <c r="AU49">
        <f>(Цены!AW49-Цены!AW$2)/Цены!AW$2</f>
        <v>-0.17439175990055061</v>
      </c>
      <c r="AV49">
        <f>(Цены!AX49-Цены!AX$2)/Цены!AX$2</f>
        <v>-2.3178807947019868E-2</v>
      </c>
    </row>
    <row r="50" spans="1:48" x14ac:dyDescent="0.2">
      <c r="A50" s="1" t="s">
        <v>113</v>
      </c>
      <c r="B50" s="2">
        <v>48</v>
      </c>
      <c r="C50">
        <f>(Цены!B50-Цены!B$2)/Цены!B$2</f>
        <v>-8.0321734537674369E-2</v>
      </c>
      <c r="D50">
        <f>(Цены!C50-Цены!C$2)/Цены!C$2</f>
        <v>-4.0721649484536E-2</v>
      </c>
      <c r="E50">
        <f>(Цены!D50-Цены!D$2)/Цены!D$2</f>
        <v>-0.13461538461538469</v>
      </c>
      <c r="F50">
        <f>(Цены!E50-Цены!E$2)/Цены!E$2</f>
        <v>-0.10284624413145541</v>
      </c>
      <c r="G50">
        <f>(Цены!F50-Цены!F$2)/Цены!F$2</f>
        <v>-6.5390912812116245E-2</v>
      </c>
      <c r="H50">
        <f>(Цены!G50-Цены!G$2)/Цены!G$2</f>
        <v>-4.6972049689440937E-2</v>
      </c>
      <c r="I50">
        <f>(Цены!H50-Цены!H$2)/Цены!H$2</f>
        <v>-6.9190195470058863E-2</v>
      </c>
      <c r="J50">
        <f>(Цены!J50-Цены!J$2)/Цены!J$2</f>
        <v>-0.12244655581947746</v>
      </c>
      <c r="K50">
        <f>(Цены!K50-Цены!K$2)/Цены!K$2</f>
        <v>-0.15300751879699251</v>
      </c>
      <c r="L50">
        <f>(Цены!L50-Цены!L$2)/Цены!L$2</f>
        <v>-7.7922620758117721E-3</v>
      </c>
      <c r="M50">
        <f>(Цены!M50-Цены!M$2)/Цены!M$2</f>
        <v>2.9672516736023117E-2</v>
      </c>
      <c r="N50">
        <f>(Цены!N50-Цены!N$2)/Цены!N$2</f>
        <v>-0.15448529411764711</v>
      </c>
      <c r="O50">
        <f>(Цены!O50-Цены!O$2)/Цены!O$2</f>
        <v>3.0418719211822869E-2</v>
      </c>
      <c r="P50">
        <f>(Цены!P50-Цены!P$2)/Цены!P$2</f>
        <v>-4.564636982172076E-2</v>
      </c>
      <c r="Q50">
        <f>(Цены!Q50-Цены!Q$2)/Цены!Q$2</f>
        <v>-0.14829286445250719</v>
      </c>
      <c r="R50">
        <f>(Цены!R50-Цены!R$2)/Цены!R$2</f>
        <v>-0.12588137702198257</v>
      </c>
      <c r="S50">
        <f>(Цены!S50-Цены!S$2)/Цены!S$2</f>
        <v>-4.6829971181556233E-2</v>
      </c>
      <c r="T50">
        <f>(Цены!T50-Цены!T$2)/Цены!T$2</f>
        <v>-6.8502994011976029E-2</v>
      </c>
      <c r="U50">
        <f>(Цены!U50-Цены!U$2)/Цены!U$2</f>
        <v>-0.15822563744324136</v>
      </c>
      <c r="V50">
        <f>(Цены!V50-Цены!V$2)/Цены!V$2</f>
        <v>-6.4754098360655668E-2</v>
      </c>
      <c r="W50">
        <f>(Цены!W50-Цены!W$2)/Цены!W$2</f>
        <v>-2.894736842105267E-2</v>
      </c>
      <c r="X50">
        <f>(Цены!X50-Цены!X$2)/Цены!X$2</f>
        <v>-1.2561060711793519E-2</v>
      </c>
      <c r="Y50">
        <f>(Цены!Y50-Цены!Y$2)/Цены!Y$2</f>
        <v>-7.832353498956951E-2</v>
      </c>
      <c r="Z50">
        <f>(Цены!Z50-Цены!Z$2)/Цены!Z$2</f>
        <v>-0.21603450463021689</v>
      </c>
      <c r="AA50">
        <f>(Цены!AA50-Цены!AA$2)/Цены!AA$2</f>
        <v>3.8619075482738408E-2</v>
      </c>
      <c r="AB50">
        <f>(Цены!AB50-Цены!AB$2)/Цены!AB$2</f>
        <v>-6.2031015507753876E-2</v>
      </c>
      <c r="AC50">
        <f>(Цены!AD50-Цены!AD$2)/Цены!AD$2</f>
        <v>-3.6273115220483598E-2</v>
      </c>
      <c r="AD50">
        <f>(Цены!AE50-Цены!AE$2)/Цены!AE$2</f>
        <v>-0.1643979057591623</v>
      </c>
      <c r="AE50">
        <f>(Цены!AF50-Цены!AF$2)/Цены!AF$2</f>
        <v>-2.1198639099712174E-2</v>
      </c>
      <c r="AF50">
        <f>(Цены!AG50-Цены!AG$2)/Цены!AG$2</f>
        <v>-8.3232810615199104E-2</v>
      </c>
      <c r="AG50">
        <f>(Цены!AH50-Цены!AH$2)/Цены!AH$2</f>
        <v>-0.10180851063829779</v>
      </c>
      <c r="AH50">
        <f>(Цены!AI50-Цены!AI$2)/Цены!AI$2</f>
        <v>-0.11690140845070424</v>
      </c>
      <c r="AI50">
        <f>(Цены!AJ50-Цены!AJ$2)/Цены!AJ$2</f>
        <v>-5.1575931232091692E-2</v>
      </c>
      <c r="AJ50">
        <f>(Цены!AK50-Цены!AK$2)/Цены!AK$2</f>
        <v>-0.16530505823048852</v>
      </c>
      <c r="AK50">
        <f>(Цены!AL50-Цены!AL$2)/Цены!AL$2</f>
        <v>-5.3839364518976036E-2</v>
      </c>
      <c r="AL50">
        <f>(Цены!AM50-Цены!AM$2)/Цены!AM$2</f>
        <v>-2.3044598075098277E-3</v>
      </c>
      <c r="AM50">
        <f>(Цены!AN50-Цены!AN$2)/Цены!AN$2</f>
        <v>-2.3082145281737951E-2</v>
      </c>
      <c r="AN50">
        <f>(Цены!AO50-Цены!AO$2)/Цены!AO$2</f>
        <v>-0.17857142857142858</v>
      </c>
      <c r="AO50">
        <f>(Цены!AP50-Цены!AP$2)/Цены!AP$2</f>
        <v>1.9441069258809233E-2</v>
      </c>
      <c r="AP50">
        <f>(Цены!AQ50-Цены!AQ$2)/Цены!AQ$2</f>
        <v>-9.1331269349845201E-2</v>
      </c>
      <c r="AQ50">
        <f>(Цены!AR50-Цены!AR$2)/Цены!AR$2</f>
        <v>0.10348468848996829</v>
      </c>
      <c r="AR50">
        <f>(Цены!AS50-Цены!AS$2)/Цены!AS$2</f>
        <v>-0.16810909336393709</v>
      </c>
      <c r="AS50">
        <f>(Цены!AU50-Цены!AU$2)/Цены!AU$2</f>
        <v>0.16601178781925349</v>
      </c>
      <c r="AT50">
        <f>(Цены!AV50-Цены!AV$2)/Цены!AV$2</f>
        <v>-0.16332566546171551</v>
      </c>
      <c r="AU50">
        <f>(Цены!AW50-Цены!AW$2)/Цены!AW$2</f>
        <v>-0.18362635411117037</v>
      </c>
      <c r="AV50">
        <f>(Цены!AX50-Цены!AX$2)/Цены!AX$2</f>
        <v>-2.3178807947019868E-2</v>
      </c>
    </row>
    <row r="51" spans="1:48" x14ac:dyDescent="0.2">
      <c r="A51" s="1" t="s">
        <v>114</v>
      </c>
      <c r="B51" s="2">
        <v>49</v>
      </c>
      <c r="C51">
        <f>(Цены!B51-Цены!B$2)/Цены!B$2</f>
        <v>-9.5746014126240911E-2</v>
      </c>
      <c r="D51">
        <f>(Цены!C51-Цены!C$2)/Цены!C$2</f>
        <v>-7.5085910652920876E-2</v>
      </c>
      <c r="E51">
        <f>(Цены!D51-Цены!D$2)/Цены!D$2</f>
        <v>-0.14641909814323614</v>
      </c>
      <c r="F51">
        <f>(Цены!E51-Цены!E$2)/Цены!E$2</f>
        <v>-0.12235915492957747</v>
      </c>
      <c r="G51">
        <f>(Цены!F51-Цены!F$2)/Цены!F$2</f>
        <v>-7.6442898076135898E-2</v>
      </c>
      <c r="H51">
        <f>(Цены!G51-Цены!G$2)/Цены!G$2</f>
        <v>-4.6713250517598226E-2</v>
      </c>
      <c r="I51">
        <f>(Цены!H51-Цены!H$2)/Цены!H$2</f>
        <v>-7.9739373254731516E-2</v>
      </c>
      <c r="J51">
        <f>(Цены!J51-Цены!J$2)/Цены!J$2</f>
        <v>-0.15035629453681712</v>
      </c>
      <c r="K51">
        <f>(Цены!K51-Цены!K$2)/Цены!K$2</f>
        <v>-0.15802005012531331</v>
      </c>
      <c r="L51">
        <f>(Цены!L51-Цены!L$2)/Цены!L$2</f>
        <v>-2.0259672405235164E-2</v>
      </c>
      <c r="M51">
        <f>(Цены!M51-Цены!M$2)/Цены!M$2</f>
        <v>1.773113804957473E-2</v>
      </c>
      <c r="N51">
        <f>(Цены!N51-Цены!N$2)/Цены!N$2</f>
        <v>-0.17830882352941177</v>
      </c>
      <c r="O51">
        <f>(Цены!O51-Цены!O$2)/Цены!O$2</f>
        <v>1.1576354679803103E-2</v>
      </c>
      <c r="P51">
        <f>(Цены!P51-Цены!P$2)/Цены!P$2</f>
        <v>-4.5301868917405952E-2</v>
      </c>
      <c r="Q51">
        <f>(Цены!Q51-Цены!Q$2)/Цены!Q$2</f>
        <v>-0.17601637361615036</v>
      </c>
      <c r="R51">
        <f>(Цены!R51-Цены!R$2)/Цены!R$2</f>
        <v>-0.12899211945250932</v>
      </c>
      <c r="S51">
        <f>(Цены!S51-Цены!S$2)/Цены!S$2</f>
        <v>-5.4927953890490051E-2</v>
      </c>
      <c r="T51">
        <f>(Цены!T51-Цены!T$2)/Цены!T$2</f>
        <v>-7.5209580838323367E-2</v>
      </c>
      <c r="U51">
        <f>(Цены!U51-Цены!U$2)/Цены!U$2</f>
        <v>-0.15298637792525324</v>
      </c>
      <c r="V51">
        <f>(Цены!V51-Цены!V$2)/Цены!V$2</f>
        <v>-8.4016393442622836E-2</v>
      </c>
      <c r="W51">
        <f>(Цены!W51-Цены!W$2)/Цены!W$2</f>
        <v>-6.1710526315789445E-2</v>
      </c>
      <c r="X51">
        <f>(Цены!X51-Цены!X$2)/Цены!X$2</f>
        <v>-3.0704815073272891E-2</v>
      </c>
      <c r="Y51">
        <f>(Цены!Y51-Цены!Y$2)/Цены!Y$2</f>
        <v>-0.10714963019154181</v>
      </c>
      <c r="Z51">
        <f>(Цены!Z51-Цены!Z$2)/Цены!Z$2</f>
        <v>-0.24753689373757878</v>
      </c>
      <c r="AA51">
        <f>(Цены!AA51-Цены!AA$2)/Цены!AA$2</f>
        <v>5.8513750731421883E-3</v>
      </c>
      <c r="AB51">
        <f>(Цены!AB51-Цены!AB$2)/Цены!AB$2</f>
        <v>-7.0535267633816914E-2</v>
      </c>
      <c r="AC51">
        <f>(Цены!AD51-Цены!AD$2)/Цены!AD$2</f>
        <v>-5.8321479374110849E-2</v>
      </c>
      <c r="AD51">
        <f>(Цены!AE51-Цены!AE$2)/Цены!AE$2</f>
        <v>-0.18952879581151832</v>
      </c>
      <c r="AE51">
        <f>(Цены!AF51-Цены!AF$2)/Цены!AF$2</f>
        <v>-1.8581523161476113E-2</v>
      </c>
      <c r="AF51">
        <f>(Цены!AG51-Цены!AG$2)/Цены!AG$2</f>
        <v>-8.6248492159228043E-2</v>
      </c>
      <c r="AG51">
        <f>(Цены!AH51-Цены!AH$2)/Цены!AH$2</f>
        <v>-0.11484042553191491</v>
      </c>
      <c r="AH51">
        <f>(Цены!AI51-Цены!AI$2)/Цены!AI$2</f>
        <v>-0.11619718309859145</v>
      </c>
      <c r="AI51">
        <f>(Цены!AJ51-Цены!AJ$2)/Цены!AJ$2</f>
        <v>-4.4699140401146129E-2</v>
      </c>
      <c r="AJ51">
        <f>(Цены!AK51-Цены!AK$2)/Цены!AK$2</f>
        <v>-0.21258473839735786</v>
      </c>
      <c r="AK51">
        <f>(Цены!AL51-Цены!AL$2)/Цены!AL$2</f>
        <v>-5.2662547808178813E-2</v>
      </c>
      <c r="AL51">
        <f>(Цены!AM51-Цены!AM$2)/Цены!AM$2</f>
        <v>-2.6704622475260946E-2</v>
      </c>
      <c r="AM51">
        <f>(Цены!AN51-Цены!AN$2)/Цены!AN$2</f>
        <v>-3.326544467073999E-2</v>
      </c>
      <c r="AN51">
        <f>(Цены!AO51-Цены!AO$2)/Цены!AO$2</f>
        <v>-0.18818681318681313</v>
      </c>
      <c r="AO51">
        <f>(Цены!AP51-Цены!AP$2)/Цены!AP$2</f>
        <v>4.25273390036452E-2</v>
      </c>
      <c r="AP51">
        <f>(Цены!AQ51-Цены!AQ$2)/Цены!AQ$2</f>
        <v>-8.9783281733746126E-2</v>
      </c>
      <c r="AQ51">
        <f>(Цены!AR51-Цены!AR$2)/Цены!AR$2</f>
        <v>9.5036958817317843E-2</v>
      </c>
      <c r="AR51">
        <f>(Цены!AS51-Цены!AS$2)/Цены!AS$2</f>
        <v>-0.18273138459461263</v>
      </c>
      <c r="AS51">
        <f>(Цены!AU51-Цены!AU$2)/Цены!AU$2</f>
        <v>0.15913555992141457</v>
      </c>
      <c r="AT51">
        <f>(Цены!AV51-Цены!AV$2)/Цены!AV$2</f>
        <v>-0.17077445503341004</v>
      </c>
      <c r="AU51">
        <f>(Цены!AW51-Цены!AW$2)/Цены!AW$2</f>
        <v>-0.21896643580181141</v>
      </c>
      <c r="AV51">
        <f>(Цены!AX51-Цены!AX$2)/Цены!AX$2</f>
        <v>-2.3178807947019868E-2</v>
      </c>
    </row>
    <row r="52" spans="1:48" x14ac:dyDescent="0.2">
      <c r="A52" s="1" t="s">
        <v>115</v>
      </c>
      <c r="B52" s="2">
        <v>50</v>
      </c>
      <c r="C52">
        <f>(Цены!B52-Цены!B$2)/Цены!B$2</f>
        <v>-0.11767839079019214</v>
      </c>
      <c r="D52">
        <f>(Цены!C52-Цены!C$2)/Цены!C$2</f>
        <v>-0.11111111111111115</v>
      </c>
      <c r="E52">
        <f>(Цены!D52-Цены!D$2)/Цены!D$2</f>
        <v>-0.16339522546419108</v>
      </c>
      <c r="F52">
        <f>(Цены!E52-Цены!E$2)/Цены!E$2</f>
        <v>-0.13262910798122066</v>
      </c>
      <c r="G52">
        <f>(Цены!F52-Цены!F$2)/Цены!F$2</f>
        <v>-8.3503888661481784E-2</v>
      </c>
      <c r="H52">
        <f>(Цены!G52-Цены!G$2)/Цены!G$2</f>
        <v>-7.7769151138716242E-2</v>
      </c>
      <c r="I52">
        <f>(Цены!H52-Цены!H$2)/Цены!H$2</f>
        <v>-0.11573068569655592</v>
      </c>
      <c r="J52">
        <f>(Цены!J52-Цены!J$2)/Цены!J$2</f>
        <v>-0.18456057007125887</v>
      </c>
      <c r="K52">
        <f>(Цены!K52-Цены!K$2)/Цены!K$2</f>
        <v>-0.17994987468671683</v>
      </c>
      <c r="L52">
        <f>(Цены!L52-Цены!L$2)/Цены!L$2</f>
        <v>-2.7532589670576511E-2</v>
      </c>
      <c r="M52">
        <f>(Цены!M52-Цены!M$2)/Цены!M$2</f>
        <v>-1.0313008865569106E-2</v>
      </c>
      <c r="N52">
        <f>(Цены!N52-Цены!N$2)/Цены!N$2</f>
        <v>-0.20919117647058827</v>
      </c>
      <c r="O52">
        <f>(Цены!O52-Цены!O$2)/Цены!O$2</f>
        <v>-3.8177339901477786E-2</v>
      </c>
      <c r="P52">
        <f>(Цены!P52-Цены!P$2)/Цены!P$2</f>
        <v>-7.6737576436138114E-2</v>
      </c>
      <c r="Q52">
        <f>(Цены!Q52-Цены!Q$2)/Цены!Q$2</f>
        <v>-0.20113498930133028</v>
      </c>
      <c r="R52">
        <f>(Цены!R52-Цены!R$2)/Цены!R$2</f>
        <v>-0.15491497304023225</v>
      </c>
      <c r="S52">
        <f>(Цены!S52-Цены!S$2)/Цены!S$2</f>
        <v>-6.7276657060518816E-2</v>
      </c>
      <c r="T52">
        <f>(Цены!T52-Цены!T$2)/Цены!T$2</f>
        <v>-8.5868263473053916E-2</v>
      </c>
      <c r="U52">
        <f>(Цены!U52-Цены!U$2)/Цены!U$2</f>
        <v>-0.17219699615787634</v>
      </c>
      <c r="V52">
        <f>(Цены!V52-Цены!V$2)/Цены!V$2</f>
        <v>-0.11967213114754091</v>
      </c>
      <c r="W52">
        <f>(Цены!W52-Цены!W$2)/Цены!W$2</f>
        <v>-7.0789473684210472E-2</v>
      </c>
      <c r="X52">
        <f>(Цены!X52-Цены!X$2)/Цены!X$2</f>
        <v>-2.6517794836008451E-2</v>
      </c>
      <c r="Y52">
        <f>(Цены!Y52-Цены!Y$2)/Цены!Y$2</f>
        <v>-0.16556040204816991</v>
      </c>
      <c r="Z52">
        <f>(Цены!Z52-Цены!Z$2)/Цены!Z$2</f>
        <v>-0.27650217768193158</v>
      </c>
      <c r="AA52">
        <f>(Цены!AA52-Цены!AA$2)/Цены!AA$2</f>
        <v>-4.3007606787595049E-2</v>
      </c>
      <c r="AB52">
        <f>(Цены!AB52-Цены!AB$2)/Цены!AB$2</f>
        <v>-7.5537768884442219E-2</v>
      </c>
      <c r="AC52">
        <f>(Цены!AD52-Цены!AD$2)/Цены!AD$2</f>
        <v>-6.7567567567567557E-2</v>
      </c>
      <c r="AD52">
        <f>(Цены!AE52-Цены!AE$2)/Цены!AE$2</f>
        <v>-0.19476439790575917</v>
      </c>
      <c r="AE52">
        <f>(Цены!AF52-Цены!AF$2)/Цены!AF$2</f>
        <v>-1.7534676786181747E-2</v>
      </c>
      <c r="AF52">
        <f>(Цены!AG52-Цены!AG$2)/Цены!AG$2</f>
        <v>-0.1194209891435465</v>
      </c>
      <c r="AG52">
        <f>(Цены!AH52-Цены!AH$2)/Цены!AH$2</f>
        <v>-0.15962765957446803</v>
      </c>
      <c r="AH52">
        <f>(Цены!AI52-Цены!AI$2)/Цены!AI$2</f>
        <v>-0.1211267605633802</v>
      </c>
      <c r="AI52">
        <f>(Цены!AJ52-Цены!AJ$2)/Цены!AJ$2</f>
        <v>-6.3037249283667621E-2</v>
      </c>
      <c r="AJ52">
        <f>(Цены!AK52-Цены!AK$2)/Цены!AK$2</f>
        <v>-0.23587693377368332</v>
      </c>
      <c r="AK52">
        <f>(Цены!AL52-Цены!AL$2)/Цены!AL$2</f>
        <v>-6.0311856428361288E-2</v>
      </c>
      <c r="AL52">
        <f>(Цены!AM52-Цены!AM$2)/Цены!AM$2</f>
        <v>-4.6766978446522979E-2</v>
      </c>
      <c r="AM52">
        <f>(Цены!AN52-Цены!AN$2)/Цены!AN$2</f>
        <v>-4.9558723693143243E-2</v>
      </c>
      <c r="AN52">
        <f>(Цены!AO52-Цены!AO$2)/Цены!AO$2</f>
        <v>-0.21565934065934061</v>
      </c>
      <c r="AO52">
        <f>(Цены!AP52-Цены!AP$2)/Цены!AP$2</f>
        <v>5.9538274605103282E-2</v>
      </c>
      <c r="AP52">
        <f>(Цены!AQ52-Цены!AQ$2)/Цены!AQ$2</f>
        <v>-0.1130030959752322</v>
      </c>
      <c r="AQ52">
        <f>(Цены!AR52-Цены!AR$2)/Цены!AR$2</f>
        <v>9.8204857444561741E-2</v>
      </c>
      <c r="AR52">
        <f>(Цены!AS52-Цены!AS$2)/Цены!AS$2</f>
        <v>-0.17209208127995673</v>
      </c>
      <c r="AS52">
        <f>(Цены!AU52-Цены!AU$2)/Цены!AU$2</f>
        <v>0.14243614931237722</v>
      </c>
      <c r="AT52">
        <f>(Цены!AV52-Цены!AV$2)/Цены!AV$2</f>
        <v>-0.22773578705225112</v>
      </c>
      <c r="AU52">
        <f>(Цены!AW52-Цены!AW$2)/Цены!AW$2</f>
        <v>-0.25910140294796663</v>
      </c>
      <c r="AV52">
        <f>(Цены!AX52-Цены!AX$2)/Цены!AX$2</f>
        <v>-2.7152317880794703E-2</v>
      </c>
    </row>
    <row r="53" spans="1:48" x14ac:dyDescent="0.2">
      <c r="A53" s="1" t="s">
        <v>116</v>
      </c>
      <c r="B53" s="2">
        <v>51</v>
      </c>
      <c r="C53">
        <f>(Цены!B53-Цены!B$2)/Цены!B$2</f>
        <v>-0.11467052199056453</v>
      </c>
      <c r="D53">
        <f>(Цены!C53-Цены!C$2)/Цены!C$2</f>
        <v>-0.1065292096219931</v>
      </c>
      <c r="E53">
        <f>(Цены!D53-Цены!D$2)/Цены!D$2</f>
        <v>-0.16445623342175072</v>
      </c>
      <c r="F53">
        <f>(Цены!E53-Цены!E$2)/Цены!E$2</f>
        <v>-0.12910798122065728</v>
      </c>
      <c r="G53">
        <f>(Цены!F53-Цены!F$2)/Цены!F$2</f>
        <v>-8.2685223086369219E-2</v>
      </c>
      <c r="H53">
        <f>(Цены!G53-Цены!G$2)/Цены!G$2</f>
        <v>-8.1133540372670718E-2</v>
      </c>
      <c r="I53">
        <f>(Цены!H53-Цены!H$2)/Цены!H$2</f>
        <v>-0.12395283896990375</v>
      </c>
      <c r="J53">
        <f>(Цены!J53-Цены!J$2)/Цены!J$2</f>
        <v>-0.18729216152019007</v>
      </c>
      <c r="K53">
        <f>(Цены!K53-Цены!K$2)/Цены!K$2</f>
        <v>-0.17167919799498746</v>
      </c>
      <c r="L53">
        <f>(Цены!L53-Цены!L$2)/Цены!L$2</f>
        <v>-3.7402230988270363E-2</v>
      </c>
      <c r="M53">
        <f>(Цены!M53-Цены!M$2)/Цены!M$2</f>
        <v>-2.7139497014655326E-3</v>
      </c>
      <c r="N53">
        <f>(Цены!N53-Цены!N$2)/Цены!N$2</f>
        <v>-0.20919117647058827</v>
      </c>
      <c r="O53">
        <f>(Цены!O53-Цены!O$2)/Цены!O$2</f>
        <v>7.8817733990147864E-3</v>
      </c>
      <c r="P53">
        <f>(Цены!P53-Цены!P$2)/Цены!P$2</f>
        <v>-6.984755834984066E-2</v>
      </c>
      <c r="Q53">
        <f>(Цены!Q53-Цены!Q$2)/Цены!Q$2</f>
        <v>-0.16187552330449337</v>
      </c>
      <c r="R53">
        <f>(Цены!R53-Цены!R$2)/Цены!R$2</f>
        <v>-0.158025715470759</v>
      </c>
      <c r="S53">
        <f>(Цены!S53-Цены!S$2)/Цены!S$2</f>
        <v>-6.4841498559077865E-2</v>
      </c>
      <c r="T53">
        <f>(Цены!T53-Цены!T$2)/Цены!T$2</f>
        <v>-9.1017964071856222E-2</v>
      </c>
      <c r="U53">
        <f>(Цены!U53-Цены!U$2)/Цены!U$2</f>
        <v>-0.16206776108976598</v>
      </c>
      <c r="V53">
        <f>(Цены!V53-Цены!V$2)/Цены!V$2</f>
        <v>-0.11270491803278689</v>
      </c>
      <c r="W53">
        <f>(Цены!W53-Цены!W$2)/Цены!W$2</f>
        <v>-3.1710526315789432E-2</v>
      </c>
      <c r="X53">
        <f>(Цены!X53-Цены!X$2)/Цены!X$2</f>
        <v>-9.071877180739785E-3</v>
      </c>
      <c r="Y53">
        <f>(Цены!Y53-Цены!Y$2)/Цены!Y$2</f>
        <v>-0.16745685567987861</v>
      </c>
      <c r="Z53">
        <f>(Цены!Z53-Цены!Z$2)/Цены!Z$2</f>
        <v>-0.2633938010063851</v>
      </c>
      <c r="AA53">
        <f>(Цены!AA53-Цены!AA$2)/Цены!AA$2</f>
        <v>-2.6623756582797024E-2</v>
      </c>
      <c r="AB53">
        <f>(Цены!AB53-Цены!AB$2)/Цены!AB$2</f>
        <v>-9.1045522761380684E-2</v>
      </c>
      <c r="AC53">
        <f>(Цены!AD53-Цены!AD$2)/Цены!AD$2</f>
        <v>-6.0455192034139384E-2</v>
      </c>
      <c r="AD53">
        <f>(Цены!AE53-Цены!AE$2)/Цены!AE$2</f>
        <v>-0.18848167539267016</v>
      </c>
      <c r="AE53">
        <f>(Цены!AF53-Цены!AF$2)/Цены!AF$2</f>
        <v>-2.3292331850301055E-2</v>
      </c>
      <c r="AF53">
        <f>(Цены!AG53-Цены!AG$2)/Цены!AG$2</f>
        <v>-0.10796139927623645</v>
      </c>
      <c r="AG53">
        <f>(Цены!AH53-Цены!AH$2)/Цены!AH$2</f>
        <v>-0.15074468085106385</v>
      </c>
      <c r="AH53">
        <f>(Цены!AI53-Цены!AI$2)/Цены!AI$2</f>
        <v>-0.10845070422535205</v>
      </c>
      <c r="AI53">
        <f>(Цены!AJ53-Цены!AJ$2)/Цены!AJ$2</f>
        <v>-5.8166189111747854E-2</v>
      </c>
      <c r="AJ53">
        <f>(Цены!AK53-Цены!AK$2)/Цены!AK$2</f>
        <v>-0.23031461845993398</v>
      </c>
      <c r="AK53">
        <f>(Цены!AL53-Цены!AL$2)/Цены!AL$2</f>
        <v>-5.6781406295969269E-2</v>
      </c>
      <c r="AL53">
        <f>(Цены!AM53-Цены!AM$2)/Цены!AM$2</f>
        <v>-3.8904703809136507E-2</v>
      </c>
      <c r="AM53">
        <f>(Цены!AN53-Цены!AN$2)/Цены!AN$2</f>
        <v>-5.5668703326544465E-2</v>
      </c>
      <c r="AN53">
        <f>(Цены!AO53-Цены!AO$2)/Цены!AO$2</f>
        <v>-0.21978021978021978</v>
      </c>
      <c r="AO53">
        <f>(Цены!AP53-Цены!AP$2)/Цены!AP$2</f>
        <v>6.8043742405832316E-2</v>
      </c>
      <c r="AP53">
        <f>(Цены!AQ53-Цены!AQ$2)/Цены!AQ$2</f>
        <v>-9.1331269349845201E-2</v>
      </c>
      <c r="AQ53">
        <f>(Цены!AR53-Цены!AR$2)/Цены!AR$2</f>
        <v>0.10348468848996829</v>
      </c>
      <c r="AR53">
        <f>(Цены!AS53-Цены!AS$2)/Цены!AS$2</f>
        <v>-0.17608857084992904</v>
      </c>
      <c r="AS53">
        <f>(Цены!AU53-Цены!AU$2)/Цены!AU$2</f>
        <v>0.12966601178781928</v>
      </c>
      <c r="AT53">
        <f>(Цены!AV53-Цены!AV$2)/Цены!AV$2</f>
        <v>-0.19542118523387011</v>
      </c>
      <c r="AU53">
        <f>(Цены!AW53-Цены!AW$2)/Цены!AW$2</f>
        <v>-0.25732551944592436</v>
      </c>
      <c r="AV53">
        <f>(Цены!AX53-Цены!AX$2)/Цены!AX$2</f>
        <v>-2.781456953642384E-2</v>
      </c>
    </row>
    <row r="54" spans="1:48" x14ac:dyDescent="0.2">
      <c r="A54" s="1" t="s">
        <v>117</v>
      </c>
      <c r="B54" s="2">
        <v>52</v>
      </c>
      <c r="C54">
        <f>(Цены!B54-Цены!B$2)/Цены!B$2</f>
        <v>-0.1281298396698505</v>
      </c>
      <c r="D54">
        <f>(Цены!C54-Цены!C$2)/Цены!C$2</f>
        <v>-0.13928980526918669</v>
      </c>
      <c r="E54">
        <f>(Цены!D54-Цены!D$2)/Цены!D$2</f>
        <v>-0.17075596816976135</v>
      </c>
      <c r="F54">
        <f>(Цены!E54-Цены!E$2)/Цены!E$2</f>
        <v>-0.13453638497652581</v>
      </c>
      <c r="G54">
        <f>(Цены!F54-Цены!F$2)/Цены!F$2</f>
        <v>-8.6778550961932044E-2</v>
      </c>
      <c r="H54">
        <f>(Цены!G54-Цены!G$2)/Цены!G$2</f>
        <v>-9.0709109730848753E-2</v>
      </c>
      <c r="I54">
        <f>(Цены!H54-Цены!H$2)/Цены!H$2</f>
        <v>-0.15234253800806694</v>
      </c>
      <c r="J54">
        <f>(Цены!J54-Цены!J$2)/Цены!J$2</f>
        <v>-0.20439429928741096</v>
      </c>
      <c r="K54">
        <f>(Цены!K54-Цены!K$2)/Цены!K$2</f>
        <v>-0.18521303258145358</v>
      </c>
      <c r="L54">
        <f>(Цены!L54-Цены!L$2)/Цены!L$2</f>
        <v>-5.4544789571305367E-2</v>
      </c>
      <c r="M54">
        <f>(Цены!M54-Цены!M$2)/Цены!M$2</f>
        <v>-4.8851094626380411E-3</v>
      </c>
      <c r="N54">
        <f>(Цены!N54-Цены!N$2)/Цены!N$2</f>
        <v>-0.22867647058823526</v>
      </c>
      <c r="O54">
        <f>(Цены!O54-Цены!O$2)/Цены!O$2</f>
        <v>1.2315270935962517E-3</v>
      </c>
      <c r="P54">
        <f>(Цены!P54-Цены!P$2)/Цены!P$2</f>
        <v>-8.6641977435190781E-2</v>
      </c>
      <c r="Q54">
        <f>(Цены!Q54-Цены!Q$2)/Цены!Q$2</f>
        <v>-0.16550376779235271</v>
      </c>
      <c r="R54">
        <f>(Цены!R54-Цены!R$2)/Цены!R$2</f>
        <v>-0.17150559933637494</v>
      </c>
      <c r="S54">
        <f>(Цены!S54-Цены!S$2)/Цены!S$2</f>
        <v>-7.6368876080691622E-2</v>
      </c>
      <c r="T54">
        <f>(Цены!T54-Цены!T$2)/Цены!T$2</f>
        <v>-9.1257485029940175E-2</v>
      </c>
      <c r="U54">
        <f>(Цены!U54-Цены!U$2)/Цены!U$2</f>
        <v>-0.18407265106531609</v>
      </c>
      <c r="V54">
        <f>(Цены!V54-Цены!V$2)/Цены!V$2</f>
        <v>-0.11926229508196723</v>
      </c>
      <c r="W54">
        <f>(Цены!W54-Цены!W$2)/Цены!W$2</f>
        <v>-5.9473684210526262E-2</v>
      </c>
      <c r="X54">
        <f>(Цены!X54-Цены!X$2)/Цены!X$2</f>
        <v>-9.071877180739785E-3</v>
      </c>
      <c r="Y54">
        <f>(Цены!Y54-Цены!Y$2)/Цены!Y$2</f>
        <v>-0.19021429926038297</v>
      </c>
      <c r="Z54">
        <f>(Цены!Z54-Цены!Z$2)/Цены!Z$2</f>
        <v>-0.26571948073914331</v>
      </c>
      <c r="AA54">
        <f>(Цены!AA54-Цены!AA$2)/Цены!AA$2</f>
        <v>-3.9204212990052764E-2</v>
      </c>
      <c r="AB54">
        <f>(Цены!AB54-Цены!AB$2)/Цены!AB$2</f>
        <v>-9.7548774387193601E-2</v>
      </c>
      <c r="AC54">
        <f>(Цены!AD54-Цены!AD$2)/Цены!AD$2</f>
        <v>-8.2859174964438009E-2</v>
      </c>
      <c r="AD54">
        <f>(Цены!AE54-Цены!AE$2)/Цены!AE$2</f>
        <v>-0.2</v>
      </c>
      <c r="AE54">
        <f>(Цены!AF54-Цены!AF$2)/Цены!AF$2</f>
        <v>-2.224548547500654E-2</v>
      </c>
      <c r="AF54">
        <f>(Цены!AG54-Цены!AG$2)/Цены!AG$2</f>
        <v>-0.1109770808202654</v>
      </c>
      <c r="AG54">
        <f>(Цены!AH54-Цены!AH$2)/Цены!AH$2</f>
        <v>-0.17159574468085101</v>
      </c>
      <c r="AH54">
        <f>(Цены!AI54-Цены!AI$2)/Цены!AI$2</f>
        <v>-0.11267605633802814</v>
      </c>
      <c r="AI54">
        <f>(Цены!AJ54-Цены!AJ$2)/Цены!AJ$2</f>
        <v>-5.9025787965616049E-2</v>
      </c>
      <c r="AJ54">
        <f>(Цены!AK54-Цены!AK$2)/Цены!AK$2</f>
        <v>-0.2383104467234487</v>
      </c>
      <c r="AK54">
        <f>(Цены!AL54-Цены!AL$2)/Цены!AL$2</f>
        <v>-5.8546631362165279E-2</v>
      </c>
      <c r="AL54">
        <f>(Цены!AM54-Цены!AM$2)/Цены!AM$2</f>
        <v>-0.11251186119018572</v>
      </c>
      <c r="AM54">
        <f>(Цены!AN54-Цены!AN$2)/Цены!AN$2</f>
        <v>-5.2953156822810592E-2</v>
      </c>
      <c r="AN54">
        <f>(Цены!AO54-Цены!AO$2)/Цены!AO$2</f>
        <v>-0.20192307692307687</v>
      </c>
      <c r="AO54">
        <f>(Цены!AP54-Цены!AP$2)/Цены!AP$2</f>
        <v>7.4119076549210211E-2</v>
      </c>
      <c r="AP54">
        <f>(Цены!AQ54-Цены!AQ$2)/Цены!AQ$2</f>
        <v>-0.10835913312693499</v>
      </c>
      <c r="AQ54">
        <f>(Цены!AR54-Цены!AR$2)/Цены!AR$2</f>
        <v>9.5036958817317843E-2</v>
      </c>
      <c r="AR54">
        <f>(Цены!AS54-Цены!AS$2)/Цены!AS$2</f>
        <v>-0.19801525686896659</v>
      </c>
      <c r="AS54">
        <f>(Цены!AU54-Цены!AU$2)/Цены!AU$2</f>
        <v>0.10216110019646371</v>
      </c>
      <c r="AT54">
        <f>(Цены!AV54-Цены!AV$2)/Цены!AV$2</f>
        <v>-0.20418446708292254</v>
      </c>
      <c r="AU54">
        <f>(Цены!AW54-Цены!AW$2)/Цены!AW$2</f>
        <v>-0.29142248268513588</v>
      </c>
      <c r="AV54">
        <f>(Цены!AX54-Цены!AX$2)/Цены!AX$2</f>
        <v>-3.3112582781456956E-2</v>
      </c>
    </row>
    <row r="55" spans="1:48" x14ac:dyDescent="0.2">
      <c r="A55" s="1" t="s">
        <v>118</v>
      </c>
      <c r="B55" s="2">
        <v>53</v>
      </c>
      <c r="C55">
        <f>(Цены!B55-Цены!B$2)/Цены!B$2</f>
        <v>-0.12955320615538857</v>
      </c>
      <c r="D55">
        <f>(Цены!C55-Цены!C$2)/Цены!C$2</f>
        <v>-0.12943871706758303</v>
      </c>
      <c r="E55">
        <f>(Цены!D55-Цены!D$2)/Цены!D$2</f>
        <v>-0.17413793103448277</v>
      </c>
      <c r="F55">
        <f>(Цены!E55-Цены!E$2)/Цены!E$2</f>
        <v>-0.14612676056338028</v>
      </c>
      <c r="G55">
        <f>(Цены!F55-Цены!F$2)/Цены!F$2</f>
        <v>-0.10202619729840361</v>
      </c>
      <c r="H55">
        <f>(Цены!G55-Цены!G$2)/Цены!G$2</f>
        <v>-9.433229813664594E-2</v>
      </c>
      <c r="I55">
        <f>(Цены!H55-Цены!H$2)/Цены!H$2</f>
        <v>-0.15094632330127208</v>
      </c>
      <c r="J55">
        <f>(Цены!J55-Цены!J$2)/Цены!J$2</f>
        <v>-0.2161520190023753</v>
      </c>
      <c r="K55">
        <f>(Цены!K55-Цены!K$2)/Цены!K$2</f>
        <v>-0.19323308270676698</v>
      </c>
      <c r="L55">
        <f>(Цены!L55-Цены!L$2)/Цены!L$2</f>
        <v>-4.8311606886282291E-2</v>
      </c>
      <c r="M55">
        <f>(Цены!M55-Цены!M$2)/Цены!M$2</f>
        <v>-6.6944092636150631E-3</v>
      </c>
      <c r="N55">
        <f>(Цены!N55-Цены!N$2)/Цены!N$2</f>
        <v>-0.22132352941176467</v>
      </c>
      <c r="O55">
        <f>(Цены!O55-Цены!O$2)/Цены!O$2</f>
        <v>-3.6945812807880991E-3</v>
      </c>
      <c r="P55">
        <f>(Цены!P55-Цены!P$2)/Цены!P$2</f>
        <v>-9.1378864869520279E-2</v>
      </c>
      <c r="Q55">
        <f>(Цены!Q55-Цены!Q$2)/Цены!Q$2</f>
        <v>-0.17341148013768723</v>
      </c>
      <c r="R55">
        <f>(Цены!R55-Цены!R$2)/Цены!R$2</f>
        <v>-0.17472003318125259</v>
      </c>
      <c r="S55">
        <f>(Цены!S55-Цены!S$2)/Цены!S$2</f>
        <v>-7.7809798270893391E-2</v>
      </c>
      <c r="T55">
        <f>(Цены!T55-Цены!T$2)/Цены!T$2</f>
        <v>-0.11101796407185624</v>
      </c>
      <c r="U55">
        <f>(Цены!U55-Цены!U$2)/Цены!U$2</f>
        <v>-0.18826405867970661</v>
      </c>
      <c r="V55">
        <f>(Цены!V55-Цены!V$2)/Цены!V$2</f>
        <v>-0.12909836065573765</v>
      </c>
      <c r="W55">
        <f>(Цены!W55-Цены!W$2)/Цены!W$2</f>
        <v>-4.4342105263157953E-2</v>
      </c>
      <c r="X55">
        <f>(Цены!X55-Цены!X$2)/Цены!X$2</f>
        <v>-2.5122121423587038E-2</v>
      </c>
      <c r="Y55">
        <f>(Цены!Y55-Цены!Y$2)/Цены!Y$2</f>
        <v>-0.17731841456476385</v>
      </c>
      <c r="Z55">
        <f>(Цены!Z55-Цены!Z$2)/Цены!Z$2</f>
        <v>-0.26043384498287458</v>
      </c>
      <c r="AA55">
        <f>(Цены!AA55-Цены!AA$2)/Цены!AA$2</f>
        <v>-2.6916325336454033E-2</v>
      </c>
      <c r="AB55">
        <f>(Цены!AB55-Цены!AB$2)/Цены!AB$2</f>
        <v>-0.10155077538769385</v>
      </c>
      <c r="AC55">
        <f>(Цены!AD55-Цены!AD$2)/Цены!AD$2</f>
        <v>-9.2105263157894704E-2</v>
      </c>
      <c r="AD55">
        <f>(Цены!AE55-Цены!AE$2)/Цены!AE$2</f>
        <v>-0.20628272251308902</v>
      </c>
      <c r="AE55">
        <f>(Цены!AF55-Цены!AF$2)/Цены!AF$2</f>
        <v>-2.4339178225595424E-2</v>
      </c>
      <c r="AF55">
        <f>(Цены!AG55-Цены!AG$2)/Цены!AG$2</f>
        <v>-0.1121833534378771</v>
      </c>
      <c r="AG55">
        <f>(Цены!AH55-Цены!AH$2)/Цены!AH$2</f>
        <v>-0.14930851063829784</v>
      </c>
      <c r="AH55">
        <f>(Цены!AI55-Цены!AI$2)/Цены!AI$2</f>
        <v>-0.12464788732394363</v>
      </c>
      <c r="AI55">
        <f>(Цены!AJ55-Цены!AJ$2)/Цены!AJ$2</f>
        <v>-6.4469914040114609E-2</v>
      </c>
      <c r="AJ55">
        <f>(Цены!AK55-Цены!AK$2)/Цены!AK$2</f>
        <v>-0.26090735268555543</v>
      </c>
      <c r="AK55">
        <f>(Цены!AL55-Цены!AL$2)/Цены!AL$2</f>
        <v>-5.2074139452780201E-2</v>
      </c>
      <c r="AL55">
        <f>(Цены!AM55-Цены!AM$2)/Цены!AM$2</f>
        <v>-0.10017622339704486</v>
      </c>
      <c r="AM55">
        <f>(Цены!AN55-Цены!AN$2)/Цены!AN$2</f>
        <v>-7.0604209097080789E-2</v>
      </c>
      <c r="AN55">
        <f>(Цены!AO55-Цены!AO$2)/Цены!AO$2</f>
        <v>-0.22527472527472525</v>
      </c>
      <c r="AO55">
        <f>(Цены!AP55-Цены!AP$2)/Цены!AP$2</f>
        <v>0.12029161603888214</v>
      </c>
      <c r="AP55">
        <f>(Цены!AQ55-Цены!AQ$2)/Цены!AQ$2</f>
        <v>-8.6687306501547989E-2</v>
      </c>
      <c r="AQ55">
        <f>(Цены!AR55-Цены!AR$2)/Цены!AR$2</f>
        <v>8.9757127771911291E-2</v>
      </c>
      <c r="AR55">
        <f>(Цены!AS55-Цены!AS$2)/Цены!AS$2</f>
        <v>-0.21462229123067578</v>
      </c>
      <c r="AS55">
        <f>(Цены!AU55-Цены!AU$2)/Цены!AU$2</f>
        <v>0.10412573673870343</v>
      </c>
      <c r="AT55">
        <f>(Цены!AV55-Цены!AV$2)/Цены!AV$2</f>
        <v>-0.210756928469712</v>
      </c>
      <c r="AU55">
        <f>(Цены!AW55-Цены!AW$2)/Цены!AW$2</f>
        <v>-0.27739300301900205</v>
      </c>
      <c r="AV55">
        <f>(Цены!AX55-Цены!AX$2)/Цены!AX$2</f>
        <v>-3.9735099337748346E-2</v>
      </c>
    </row>
    <row r="56" spans="1:48" x14ac:dyDescent="0.2">
      <c r="A56" s="1" t="s">
        <v>119</v>
      </c>
      <c r="B56" s="2">
        <v>54</v>
      </c>
      <c r="C56">
        <f>(Цены!B56-Цены!B$2)/Цены!B$2</f>
        <v>-0.14226950862524279</v>
      </c>
      <c r="D56">
        <f>(Цены!C56-Цены!C$2)/Цены!C$2</f>
        <v>-0.14524627720504002</v>
      </c>
      <c r="E56">
        <f>(Цены!D56-Цены!D$2)/Цены!D$2</f>
        <v>-0.18534482758620699</v>
      </c>
      <c r="F56">
        <f>(Цены!E56-Цены!E$2)/Цены!E$2</f>
        <v>-0.15947769953051644</v>
      </c>
      <c r="G56">
        <f>(Цены!F56-Цены!F$2)/Цены!F$2</f>
        <v>-0.10867785509619321</v>
      </c>
      <c r="H56">
        <f>(Цены!G56-Цены!G$2)/Цены!G$2</f>
        <v>-0.11361283643892334</v>
      </c>
      <c r="I56">
        <f>(Цены!H56-Цены!H$2)/Цены!H$2</f>
        <v>-0.1689419795221842</v>
      </c>
      <c r="J56">
        <f>(Цены!J56-Цены!J$2)/Цены!J$2</f>
        <v>-0.22802850356294538</v>
      </c>
      <c r="K56">
        <f>(Цены!K56-Цены!K$2)/Цены!K$2</f>
        <v>-0.20864661654135339</v>
      </c>
      <c r="L56">
        <f>(Цены!L56-Цены!L$2)/Цены!L$2</f>
        <v>-6.6492855090258332E-2</v>
      </c>
      <c r="M56">
        <f>(Цены!M56-Цены!M$2)/Цены!M$2</f>
        <v>-2.0083227790844982E-2</v>
      </c>
      <c r="N56">
        <f>(Цены!N56-Цены!N$2)/Цены!N$2</f>
        <v>-0.23272058823529415</v>
      </c>
      <c r="O56">
        <f>(Цены!O56-Цены!O$2)/Цены!O$2</f>
        <v>-2.6847290640393977E-2</v>
      </c>
      <c r="P56">
        <f>(Цены!P56-Цены!P$2)/Цены!P$2</f>
        <v>-0.10248901903367501</v>
      </c>
      <c r="Q56">
        <f>(Цены!Q56-Цены!Q$2)/Цены!Q$2</f>
        <v>-0.18411014978137494</v>
      </c>
      <c r="R56">
        <f>(Цены!R56-Цены!R$2)/Цены!R$2</f>
        <v>-0.18975528826213189</v>
      </c>
      <c r="S56">
        <f>(Цены!S56-Цены!S$2)/Цены!S$2</f>
        <v>-7.6541786743515805E-2</v>
      </c>
      <c r="T56">
        <f>(Цены!T56-Цены!T$2)/Цены!T$2</f>
        <v>-0.12574850299401197</v>
      </c>
      <c r="U56">
        <f>(Цены!U56-Цены!U$2)/Цены!U$2</f>
        <v>-0.19979042961928048</v>
      </c>
      <c r="V56">
        <f>(Цены!V56-Цены!V$2)/Цены!V$2</f>
        <v>-0.14918032786885235</v>
      </c>
      <c r="W56">
        <f>(Цены!W56-Цены!W$2)/Цены!W$2</f>
        <v>-6.0526315789473609E-2</v>
      </c>
      <c r="X56">
        <f>(Цены!X56-Цены!X$2)/Цены!X$2</f>
        <v>-2.6517794836008451E-2</v>
      </c>
      <c r="Y56">
        <f>(Цены!Y56-Цены!Y$2)/Цены!Y$2</f>
        <v>-0.19637777356343633</v>
      </c>
      <c r="Z56">
        <f>(Цены!Z56-Цены!Z$2)/Цены!Z$2</f>
        <v>-0.25430250750560274</v>
      </c>
      <c r="AA56">
        <f>(Цены!AA56-Цены!AA$2)/Цены!AA$2</f>
        <v>-5.3540081919251054E-2</v>
      </c>
      <c r="AB56">
        <f>(Цены!AB56-Цены!AB$2)/Цены!AB$2</f>
        <v>-0.10055027513756878</v>
      </c>
      <c r="AC56">
        <f>(Цены!AD56-Цены!AD$2)/Цены!AD$2</f>
        <v>-0.10739687055476531</v>
      </c>
      <c r="AD56">
        <f>(Цены!AE56-Цены!AE$2)/Цены!AE$2</f>
        <v>-0.20732984293193718</v>
      </c>
      <c r="AE56">
        <f>(Цены!AF56-Цены!AF$2)/Цены!AF$2</f>
        <v>-6.8045014394138249E-3</v>
      </c>
      <c r="AF56">
        <f>(Цены!AG56-Цены!AG$2)/Цены!AG$2</f>
        <v>-0.1194209891435465</v>
      </c>
      <c r="AG56">
        <f>(Цены!AH56-Цены!AH$2)/Цены!AH$2</f>
        <v>-0.17372340425531912</v>
      </c>
      <c r="AH56">
        <f>(Цены!AI56-Цены!AI$2)/Цены!AI$2</f>
        <v>-8.0281690140844991E-2</v>
      </c>
      <c r="AI56">
        <f>(Цены!AJ56-Цены!AJ$2)/Цены!AJ$2</f>
        <v>-5.3581661891117481E-2</v>
      </c>
      <c r="AJ56">
        <f>(Цены!AK56-Цены!AK$2)/Цены!AK$2</f>
        <v>-0.23518164435946459</v>
      </c>
      <c r="AK56">
        <f>(Цены!AL56-Цены!AL$2)/Цены!AL$2</f>
        <v>-5.8252427184465889E-2</v>
      </c>
      <c r="AL56">
        <f>(Цены!AM56-Цены!AM$2)/Цены!AM$2</f>
        <v>-0.12566083773891826</v>
      </c>
      <c r="AM56">
        <f>(Цены!AN56-Цены!AN$2)/Цены!AN$2</f>
        <v>-1.9687712152070606E-2</v>
      </c>
      <c r="AN56">
        <f>(Цены!AO56-Цены!AO$2)/Цены!AO$2</f>
        <v>-0.22664835164835165</v>
      </c>
      <c r="AO56">
        <f>(Цены!AP56-Цены!AP$2)/Цены!AP$2</f>
        <v>0.1227217496962333</v>
      </c>
      <c r="AP56">
        <f>(Цены!AQ56-Цены!AQ$2)/Цены!AQ$2</f>
        <v>-9.1331269349845201E-2</v>
      </c>
      <c r="AQ56">
        <f>(Цены!AR56-Цены!AR$2)/Цены!AR$2</f>
        <v>8.7645195353748651E-2</v>
      </c>
      <c r="AR56">
        <f>(Цены!AS56-Цены!AS$2)/Цены!AS$2</f>
        <v>-0.21794369810301756</v>
      </c>
      <c r="AS56">
        <f>(Цены!AU56-Цены!AU$2)/Цены!AU$2</f>
        <v>9.5284872298624784E-2</v>
      </c>
      <c r="AT56">
        <f>(Цены!AV56-Цены!AV$2)/Цены!AV$2</f>
        <v>-0.23387008434658788</v>
      </c>
      <c r="AU56">
        <f>(Цены!AW56-Цены!AW$2)/Цены!AW$2</f>
        <v>-0.30740543420351629</v>
      </c>
      <c r="AV56">
        <f>(Цены!AX56-Цены!AX$2)/Цены!AX$2</f>
        <v>-4.2384105960264901E-2</v>
      </c>
    </row>
    <row r="57" spans="1:48" x14ac:dyDescent="0.2">
      <c r="A57" s="1" t="s">
        <v>120</v>
      </c>
      <c r="B57" s="2">
        <v>55</v>
      </c>
      <c r="C57">
        <f>(Цены!B57-Цены!B$2)/Цены!B$2</f>
        <v>-0.13043945321242173</v>
      </c>
      <c r="D57">
        <f>(Цены!C57-Цены!C$2)/Цены!C$2</f>
        <v>-0.11804123711340198</v>
      </c>
      <c r="E57">
        <f>(Цены!D57-Цены!D$2)/Цены!D$2</f>
        <v>-0.17970822281167112</v>
      </c>
      <c r="F57">
        <f>(Цены!E57-Цены!E$2)/Цены!E$2</f>
        <v>-0.15492957746478872</v>
      </c>
      <c r="G57">
        <f>(Цены!F57-Цены!F$2)/Цены!F$2</f>
        <v>-9.5272206303724932E-2</v>
      </c>
      <c r="H57">
        <f>(Цены!G57-Цены!G$2)/Цены!G$2</f>
        <v>-0.12137681159420284</v>
      </c>
      <c r="I57">
        <f>(Цены!H57-Цены!H$2)/Цены!H$2</f>
        <v>-0.15575550729134335</v>
      </c>
      <c r="J57">
        <f>(Цены!J57-Цены!J$2)/Цены!J$2</f>
        <v>-0.21852731591448932</v>
      </c>
      <c r="K57">
        <f>(Цены!K57-Цены!K$2)/Цены!K$2</f>
        <v>-0.18984962406015038</v>
      </c>
      <c r="L57">
        <f>(Цены!L57-Цены!L$2)/Цены!L$2</f>
        <v>-5.090833093863479E-2</v>
      </c>
      <c r="M57">
        <f>(Цены!M57-Цены!M$2)/Цены!M$2</f>
        <v>-1.4836258368011661E-2</v>
      </c>
      <c r="N57">
        <f>(Цены!N57-Цены!N$2)/Цены!N$2</f>
        <v>-0.20830882352941174</v>
      </c>
      <c r="O57">
        <f>(Цены!O57-Цены!O$2)/Цены!O$2</f>
        <v>-1.8472906403940823E-2</v>
      </c>
      <c r="P57">
        <f>(Цены!P57-Цены!P$2)/Цены!P$2</f>
        <v>-9.2240117130307414E-2</v>
      </c>
      <c r="Q57">
        <f>(Цены!Q57-Цены!Q$2)/Цены!Q$2</f>
        <v>-0.16457344869290166</v>
      </c>
      <c r="R57">
        <f>(Цены!R57-Цены!R$2)/Цены!R$2</f>
        <v>-0.17689755288262135</v>
      </c>
      <c r="S57">
        <f>(Цены!S57-Цены!S$2)/Цены!S$2</f>
        <v>-7.4927953890490062E-2</v>
      </c>
      <c r="T57">
        <f>(Цены!T57-Цены!T$2)/Цены!T$2</f>
        <v>-0.10191616766467072</v>
      </c>
      <c r="U57">
        <f>(Цены!U57-Цены!U$2)/Цены!U$2</f>
        <v>-0.19035976248690184</v>
      </c>
      <c r="V57">
        <f>(Цены!V57-Цены!V$2)/Цены!V$2</f>
        <v>-0.12459016393442621</v>
      </c>
      <c r="W57">
        <f>(Цены!W57-Цены!W$2)/Цены!W$2</f>
        <v>-4.3421052631578909E-2</v>
      </c>
      <c r="X57">
        <f>(Цены!X57-Цены!X$2)/Цены!X$2</f>
        <v>-2.4773203070481586E-2</v>
      </c>
      <c r="Y57">
        <f>(Цены!Y57-Цены!Y$2)/Цены!Y$2</f>
        <v>-0.1816802579176939</v>
      </c>
      <c r="Z57">
        <f>(Цены!Z57-Цены!Z$2)/Цены!Z$2</f>
        <v>-0.23611992050403821</v>
      </c>
      <c r="AA57">
        <f>(Цены!AA57-Цены!AA$2)/Цены!AA$2</f>
        <v>-4.1544763019309504E-2</v>
      </c>
      <c r="AB57">
        <f>(Цены!AB57-Цены!AB$2)/Цены!AB$2</f>
        <v>-0.10105052526263132</v>
      </c>
      <c r="AC57">
        <f>(Цены!AD57-Цены!AD$2)/Цены!AD$2</f>
        <v>-9.0682788051209065E-2</v>
      </c>
      <c r="AD57">
        <f>(Цены!AE57-Цены!AE$2)/Цены!AE$2</f>
        <v>-0.20104712041884817</v>
      </c>
      <c r="AE57">
        <f>(Цены!AF57-Цены!AF$2)/Цены!AF$2</f>
        <v>-7.8513478147081914E-3</v>
      </c>
      <c r="AF57">
        <f>(Цены!AG57-Цены!AG$2)/Цены!AG$2</f>
        <v>-0.11519903498190603</v>
      </c>
      <c r="AG57">
        <f>(Цены!AH57-Цены!AH$2)/Цены!AH$2</f>
        <v>-0.1610106382978724</v>
      </c>
      <c r="AH57">
        <f>(Цены!AI57-Цены!AI$2)/Цены!AI$2</f>
        <v>-8.0985915492957652E-2</v>
      </c>
      <c r="AI57">
        <f>(Цены!AJ57-Цены!AJ$2)/Цены!AJ$2</f>
        <v>-5.6446991404011458E-2</v>
      </c>
      <c r="AJ57">
        <f>(Цены!AK57-Цены!AK$2)/Цены!AK$2</f>
        <v>-0.22753346080305931</v>
      </c>
      <c r="AK57">
        <f>(Цены!AL57-Цены!AL$2)/Цены!AL$2</f>
        <v>-6.1488673139158512E-2</v>
      </c>
      <c r="AL57">
        <f>(Цены!AM57-Цены!AM$2)/Цены!AM$2</f>
        <v>-0.10532736884912566</v>
      </c>
      <c r="AM57">
        <f>(Цены!AN57-Цены!AN$2)/Цены!AN$2</f>
        <v>-1.5614392396469789E-2</v>
      </c>
      <c r="AN57">
        <f>(Цены!AO57-Цены!AO$2)/Цены!AO$2</f>
        <v>-0.23076923076923073</v>
      </c>
      <c r="AO57">
        <f>(Цены!AP57-Цены!AP$2)/Цены!AP$2</f>
        <v>0.11907654921020656</v>
      </c>
      <c r="AP57">
        <f>(Цены!AQ57-Цены!AQ$2)/Цены!AQ$2</f>
        <v>-9.1331269349845201E-2</v>
      </c>
      <c r="AQ57">
        <f>(Цены!AR57-Цены!AR$2)/Цены!AR$2</f>
        <v>8.7645195353748651E-2</v>
      </c>
      <c r="AR57">
        <f>(Цены!AS57-Цены!AS$2)/Цены!AS$2</f>
        <v>-0.21594545331803128</v>
      </c>
      <c r="AS57">
        <f>(Цены!AU57-Цены!AU$2)/Цены!AU$2</f>
        <v>0.12278978388998035</v>
      </c>
      <c r="AT57">
        <f>(Цены!AV57-Цены!AV$2)/Цены!AV$2</f>
        <v>-0.20692299266075145</v>
      </c>
      <c r="AU57">
        <f>(Цены!AW57-Цены!AW$2)/Цены!AW$2</f>
        <v>-0.28254306517492456</v>
      </c>
      <c r="AV57">
        <f>(Цены!AX57-Цены!AX$2)/Цены!AX$2</f>
        <v>-4.2384105960264901E-2</v>
      </c>
    </row>
    <row r="58" spans="1:48" x14ac:dyDescent="0.2">
      <c r="A58" s="1" t="s">
        <v>121</v>
      </c>
      <c r="B58" s="2">
        <v>56</v>
      </c>
      <c r="C58">
        <f>(Цены!B58-Цены!B$2)/Цены!B$2</f>
        <v>-0.14047911053022635</v>
      </c>
      <c r="D58">
        <f>(Цены!C58-Цены!C$2)/Цены!C$2</f>
        <v>-0.12142038946162652</v>
      </c>
      <c r="E58">
        <f>(Цены!D58-Цены!D$2)/Цены!D$2</f>
        <v>-0.18952254641909821</v>
      </c>
      <c r="F58">
        <f>(Цены!E58-Цены!E$2)/Цены!E$2</f>
        <v>-0.17004107981220656</v>
      </c>
      <c r="G58">
        <f>(Цены!F58-Цены!F$2)/Цены!F$2</f>
        <v>-0.12443716741711011</v>
      </c>
      <c r="H58">
        <f>(Цены!G58-Цены!G$2)/Цены!G$2</f>
        <v>-0.11438923395445132</v>
      </c>
      <c r="I58">
        <f>(Цены!H58-Цены!H$2)/Цены!H$2</f>
        <v>-0.16335712069500458</v>
      </c>
      <c r="J58">
        <f>(Цены!J58-Цены!J$2)/Цены!J$2</f>
        <v>-0.23218527315914489</v>
      </c>
      <c r="K58">
        <f>(Цены!K58-Цены!K$2)/Цены!K$2</f>
        <v>-0.20200501253132838</v>
      </c>
      <c r="L58">
        <f>(Цены!L58-Цены!L$2)/Цены!L$2</f>
        <v>-5.319470205595752E-2</v>
      </c>
      <c r="M58">
        <f>(Цены!M58-Цены!M$2)/Цены!M$2</f>
        <v>-2.6234847114166817E-2</v>
      </c>
      <c r="N58">
        <f>(Цены!N58-Цены!N$2)/Цены!N$2</f>
        <v>-0.22426470588235295</v>
      </c>
      <c r="O58">
        <f>(Цены!O58-Цены!O$2)/Цены!O$2</f>
        <v>-3.9408866995073823E-2</v>
      </c>
      <c r="P58">
        <f>(Цены!P58-Цены!P$2)/Цены!P$2</f>
        <v>-0.124795452588063</v>
      </c>
      <c r="Q58">
        <f>(Цены!Q58-Цены!Q$2)/Цены!Q$2</f>
        <v>-0.18131919248302164</v>
      </c>
      <c r="R58">
        <f>(Цены!R58-Цены!R$2)/Цены!R$2</f>
        <v>-0.19379925342181664</v>
      </c>
      <c r="S58">
        <f>(Цены!S58-Цены!S$2)/Цены!S$2</f>
        <v>-7.7809798270893391E-2</v>
      </c>
      <c r="T58">
        <f>(Цены!T58-Цены!T$2)/Цены!T$2</f>
        <v>-0.11017964071856291</v>
      </c>
      <c r="U58">
        <f>(Цены!U58-Цены!U$2)/Цены!U$2</f>
        <v>-0.20398183723367097</v>
      </c>
      <c r="V58">
        <f>(Цены!V58-Цены!V$2)/Цены!V$2</f>
        <v>-0.13278688524590157</v>
      </c>
      <c r="W58">
        <f>(Цены!W58-Цены!W$2)/Цены!W$2</f>
        <v>-8.5263157894736888E-2</v>
      </c>
      <c r="X58">
        <f>(Цены!X58-Цены!X$2)/Цены!X$2</f>
        <v>-2.6517794836008451E-2</v>
      </c>
      <c r="Y58">
        <f>(Цены!Y58-Цены!Y$2)/Цены!Y$2</f>
        <v>-0.17779252797269107</v>
      </c>
      <c r="Z58">
        <f>(Цены!Z58-Цены!Z$2)/Цены!Z$2</f>
        <v>-0.26360522643663581</v>
      </c>
      <c r="AA58">
        <f>(Цены!AA58-Цены!AA$2)/Цены!AA$2</f>
        <v>-4.5933294324166145E-2</v>
      </c>
      <c r="AB58">
        <f>(Цены!AB58-Цены!AB$2)/Цены!AB$2</f>
        <v>-0.12706353176588295</v>
      </c>
      <c r="AC58">
        <f>(Цены!AD58-Цены!AD$2)/Цены!AD$2</f>
        <v>-8.321479374110953E-2</v>
      </c>
      <c r="AD58">
        <f>(Цены!AE58-Цены!AE$2)/Цены!AE$2</f>
        <v>-0.20209424083769634</v>
      </c>
      <c r="AE58">
        <f>(Цены!AF58-Цены!AF$2)/Цены!AF$2</f>
        <v>-9.1599057838262221E-3</v>
      </c>
      <c r="AF58">
        <f>(Цены!AG58-Цены!AG$2)/Цены!AG$2</f>
        <v>-0.13510253317249701</v>
      </c>
      <c r="AG58">
        <f>(Цены!AH58-Цены!AH$2)/Цены!AH$2</f>
        <v>-0.18515957446808512</v>
      </c>
      <c r="AH58">
        <f>(Цены!AI58-Цены!AI$2)/Цены!AI$2</f>
        <v>-2.1126760563380208E-2</v>
      </c>
      <c r="AI58">
        <f>(Цены!AJ58-Цены!AJ$2)/Цены!AJ$2</f>
        <v>-6.4183381088825209E-2</v>
      </c>
      <c r="AJ58">
        <f>(Цены!AK58-Цены!AK$2)/Цены!AK$2</f>
        <v>-0.26403615504953937</v>
      </c>
      <c r="AK58">
        <f>(Цены!AL58-Цены!AL$2)/Цены!AL$2</f>
        <v>-7.2668431891732832E-2</v>
      </c>
      <c r="AL58">
        <f>(Цены!AM58-Цены!AM$2)/Цены!AM$2</f>
        <v>-0.10912294970855362</v>
      </c>
      <c r="AM58">
        <f>(Цены!AN58-Цены!AN$2)/Цены!AN$2</f>
        <v>2.5118805159538356E-2</v>
      </c>
      <c r="AN58">
        <f>(Цены!AO58-Цены!AO$2)/Цены!AO$2</f>
        <v>-0.23901098901098899</v>
      </c>
      <c r="AO58">
        <f>(Цены!AP58-Цены!AP$2)/Цены!AP$2</f>
        <v>0.21506682867557717</v>
      </c>
      <c r="AP58">
        <f>(Цены!AQ58-Цены!AQ$2)/Цены!AQ$2</f>
        <v>-9.7523219814241488E-2</v>
      </c>
      <c r="AQ58">
        <f>(Цены!AR58-Цены!AR$2)/Цены!AR$2</f>
        <v>8.0253431890179458E-2</v>
      </c>
      <c r="AR58">
        <f>(Цены!AS58-Цены!AS$2)/Цены!AS$2</f>
        <v>-0.19801525686896659</v>
      </c>
      <c r="AS58">
        <f>(Цены!AU58-Цены!AU$2)/Цены!AU$2</f>
        <v>0.11984282907662086</v>
      </c>
      <c r="AT58">
        <f>(Цены!AV58-Цены!AV$2)/Цены!AV$2</f>
        <v>-0.2324460510461169</v>
      </c>
      <c r="AU58">
        <f>(Цены!AW58-Цены!AW$2)/Цены!AW$2</f>
        <v>-0.29852601669330492</v>
      </c>
      <c r="AV58">
        <f>(Цены!AX58-Цены!AX$2)/Цены!AX$2</f>
        <v>-2.4503311258278145E-2</v>
      </c>
    </row>
    <row r="59" spans="1:48" x14ac:dyDescent="0.2">
      <c r="A59" s="1" t="s">
        <v>122</v>
      </c>
      <c r="B59" s="2">
        <v>57</v>
      </c>
      <c r="C59">
        <f>(Цены!B59-Цены!B$2)/Цены!B$2</f>
        <v>-0.14217551272525442</v>
      </c>
      <c r="D59">
        <f>(Цены!C59-Цены!C$2)/Цены!C$2</f>
        <v>-0.12027491408934708</v>
      </c>
      <c r="E59">
        <f>(Цены!D59-Цены!D$2)/Цены!D$2</f>
        <v>-0.19396551724137939</v>
      </c>
      <c r="F59">
        <f>(Цены!E59-Цены!E$2)/Цены!E$2</f>
        <v>-0.16109154929577466</v>
      </c>
      <c r="G59">
        <f>(Цены!F59-Цены!F$2)/Цены!F$2</f>
        <v>-0.12474416700777732</v>
      </c>
      <c r="H59">
        <f>(Цены!G59-Цены!G$2)/Цены!G$2</f>
        <v>-0.12163561076604555</v>
      </c>
      <c r="I59">
        <f>(Цены!H59-Цены!H$2)/Цены!H$2</f>
        <v>-0.17654359292584543</v>
      </c>
      <c r="J59">
        <f>(Цены!J59-Цены!J$2)/Цены!J$2</f>
        <v>-0.2241092636579573</v>
      </c>
      <c r="K59">
        <f>(Цены!K59-Цены!K$2)/Цены!K$2</f>
        <v>-0.21040100250626564</v>
      </c>
      <c r="L59">
        <f>(Цены!L59-Цены!L$2)/Цены!L$2</f>
        <v>-6.493482065884687E-2</v>
      </c>
      <c r="M59">
        <f>(Цены!M59-Цены!M$2)/Цены!M$2</f>
        <v>-2.9853446716120859E-2</v>
      </c>
      <c r="N59">
        <f>(Цены!N59-Цены!N$2)/Цены!N$2</f>
        <v>-0.21691176470588236</v>
      </c>
      <c r="O59">
        <f>(Цены!O59-Цены!O$2)/Цены!O$2</f>
        <v>-3.5467980295566429E-2</v>
      </c>
      <c r="P59">
        <f>(Цены!P59-Цены!P$2)/Цены!P$2</f>
        <v>-0.13271897338730512</v>
      </c>
      <c r="Q59">
        <f>(Цены!Q59-Цены!Q$2)/Цены!Q$2</f>
        <v>-0.17834217136477815</v>
      </c>
      <c r="R59">
        <f>(Цены!R59-Цены!R$2)/Цены!R$2</f>
        <v>-0.20634591455827458</v>
      </c>
      <c r="S59">
        <f>(Цены!S59-Цены!S$2)/Цены!S$2</f>
        <v>-7.7809798270893391E-2</v>
      </c>
      <c r="T59">
        <f>(Цены!T59-Цены!T$2)/Цены!T$2</f>
        <v>-0.1226347305389221</v>
      </c>
      <c r="U59">
        <f>(Цены!U59-Цены!U$2)/Цены!U$2</f>
        <v>-0.2050296891372686</v>
      </c>
      <c r="V59">
        <f>(Цены!V59-Цены!V$2)/Цены!V$2</f>
        <v>-0.1385245901639344</v>
      </c>
      <c r="W59">
        <f>(Цены!W59-Цены!W$2)/Цены!W$2</f>
        <v>-9.9342105263157857E-2</v>
      </c>
      <c r="X59">
        <f>(Цены!X59-Цены!X$2)/Цены!X$2</f>
        <v>-1.3607815771109678E-2</v>
      </c>
      <c r="Y59">
        <f>(Цены!Y59-Цены!Y$2)/Цены!Y$2</f>
        <v>-0.17940451355964351</v>
      </c>
      <c r="Z59">
        <f>(Цены!Z59-Цены!Z$2)/Цены!Z$2</f>
        <v>-0.2557824855173581</v>
      </c>
      <c r="AA59">
        <f>(Цены!AA59-Цены!AA$2)/Цены!AA$2</f>
        <v>-5.1784669397308331E-2</v>
      </c>
      <c r="AB59">
        <f>(Цены!AB59-Цены!AB$2)/Цены!AB$2</f>
        <v>-0.1645822911455728</v>
      </c>
      <c r="AC59">
        <f>(Цены!AD59-Цены!AD$2)/Цены!AD$2</f>
        <v>-6.2233285917496384E-2</v>
      </c>
      <c r="AD59">
        <f>(Цены!AE59-Цены!AE$2)/Цены!AE$2</f>
        <v>-0.21047120418848167</v>
      </c>
      <c r="AE59">
        <f>(Цены!AF59-Цены!AF$2)/Цены!AF$2</f>
        <v>-9.1599057838262221E-3</v>
      </c>
      <c r="AF59">
        <f>(Цены!AG59-Цены!AG$2)/Цены!AG$2</f>
        <v>-0.13329312424607975</v>
      </c>
      <c r="AG59">
        <f>(Цены!AH59-Цены!AH$2)/Цены!AH$2</f>
        <v>-0.21159574468085107</v>
      </c>
      <c r="AH59">
        <f>(Цены!AI59-Цены!AI$2)/Цены!AI$2</f>
        <v>-1.4788732394366132E-2</v>
      </c>
      <c r="AI59">
        <f>(Цены!AJ59-Цены!AJ$2)/Цены!AJ$2</f>
        <v>-6.8767908309455589E-2</v>
      </c>
      <c r="AJ59">
        <f>(Цены!AK59-Цены!AK$2)/Цены!AK$2</f>
        <v>-0.26994611507039806</v>
      </c>
      <c r="AK59">
        <f>(Цены!AL59-Цены!AL$2)/Цены!AL$2</f>
        <v>-8.2965578111209151E-2</v>
      </c>
      <c r="AL59">
        <f>(Цены!AM59-Цены!AM$2)/Цены!AM$2</f>
        <v>-7.862274637386471E-2</v>
      </c>
      <c r="AM59">
        <f>(Цены!AN59-Цены!AN$2)/Цены!AN$2</f>
        <v>5.9063136456211814E-2</v>
      </c>
      <c r="AN59">
        <f>(Цены!AO59-Цены!AO$2)/Цены!AO$2</f>
        <v>-0.24450549450549447</v>
      </c>
      <c r="AO59">
        <f>(Цены!AP59-Цены!AP$2)/Цены!AP$2</f>
        <v>0.34872417982989062</v>
      </c>
      <c r="AP59">
        <f>(Цены!AQ59-Цены!AQ$2)/Цены!AQ$2</f>
        <v>-8.5139318885448914E-2</v>
      </c>
      <c r="AQ59">
        <f>(Цены!AR59-Цены!AR$2)/Цены!AR$2</f>
        <v>6.5469904963041212E-2</v>
      </c>
      <c r="AR59">
        <f>(Цены!AS59-Цены!AS$2)/Цены!AS$2</f>
        <v>-0.20531965165732805</v>
      </c>
      <c r="AS59">
        <f>(Цены!AU59-Цены!AU$2)/Цены!AU$2</f>
        <v>0.11984282907662086</v>
      </c>
      <c r="AT59">
        <f>(Цены!AV59-Цены!AV$2)/Цены!AV$2</f>
        <v>-0.25577828896921906</v>
      </c>
      <c r="AU59">
        <f>(Цены!AW59-Цены!AW$2)/Цены!AW$2</f>
        <v>-0.30918131770555857</v>
      </c>
      <c r="AV59">
        <f>(Цены!AX59-Цены!AX$2)/Цены!AX$2</f>
        <v>-1.9205298013245033E-2</v>
      </c>
    </row>
    <row r="60" spans="1:48" x14ac:dyDescent="0.2">
      <c r="A60" s="1" t="s">
        <v>123</v>
      </c>
      <c r="B60" s="2">
        <v>58</v>
      </c>
      <c r="C60">
        <f>(Цены!B60-Цены!B$2)/Цены!B$2</f>
        <v>-0.13516162818802752</v>
      </c>
      <c r="D60">
        <f>(Цены!C60-Цены!C$2)/Цены!C$2</f>
        <v>-9.3871706758304627E-2</v>
      </c>
      <c r="E60">
        <f>(Цены!D60-Цены!D$2)/Цены!D$2</f>
        <v>-0.19104774535809027</v>
      </c>
      <c r="F60">
        <f>(Цены!E60-Цены!E$2)/Цены!E$2</f>
        <v>-0.16138497652582159</v>
      </c>
      <c r="G60">
        <f>(Цены!F60-Цены!F$2)/Цены!F$2</f>
        <v>-0.11788784281620958</v>
      </c>
      <c r="H60">
        <f>(Цены!G60-Цены!G$2)/Цены!G$2</f>
        <v>-0.113483436853002</v>
      </c>
      <c r="I60">
        <f>(Цены!H60-Цены!H$2)/Цены!H$2</f>
        <v>-0.17809494260006203</v>
      </c>
      <c r="J60">
        <f>(Цены!J60-Цены!J$2)/Цены!J$2</f>
        <v>-0.22933491686460811</v>
      </c>
      <c r="K60">
        <f>(Цены!K60-Цены!K$2)/Цены!K$2</f>
        <v>-0.20651629072681699</v>
      </c>
      <c r="L60">
        <f>(Цены!L60-Цены!L$2)/Цены!L$2</f>
        <v>-5.3506099950364518E-2</v>
      </c>
      <c r="M60">
        <f>(Цены!M60-Цены!M$2)/Цены!M$2</f>
        <v>-3.7814365840419917E-2</v>
      </c>
      <c r="N60">
        <f>(Цены!N60-Цены!N$2)/Цены!N$2</f>
        <v>-0.19705882352941173</v>
      </c>
      <c r="O60">
        <f>(Цены!O60-Цены!O$2)/Цены!O$2</f>
        <v>-4.4827586206896433E-2</v>
      </c>
      <c r="P60">
        <f>(Цены!P60-Цены!P$2)/Цены!P$2</f>
        <v>-0.12565670484885025</v>
      </c>
      <c r="Q60">
        <f>(Цены!Q60-Цены!Q$2)/Цены!Q$2</f>
        <v>-0.16969020373988275</v>
      </c>
      <c r="R60">
        <f>(Цены!R60-Цены!R$2)/Цены!R$2</f>
        <v>-0.20178349232683537</v>
      </c>
      <c r="S60">
        <f>(Цены!S60-Цены!S$2)/Цены!S$2</f>
        <v>-7.2046109510086512E-2</v>
      </c>
      <c r="T60">
        <f>(Цены!T60-Цены!T$2)/Цены!T$2</f>
        <v>-0.12802395209580836</v>
      </c>
      <c r="U60">
        <f>(Цены!U60-Цены!U$2)/Цены!U$2</f>
        <v>-0.21026894865525672</v>
      </c>
      <c r="V60">
        <f>(Цены!V60-Цены!V$2)/Цены!V$2</f>
        <v>-0.13196721311475407</v>
      </c>
      <c r="W60">
        <f>(Цены!W60-Цены!W$2)/Цены!W$2</f>
        <v>-0.1039473684210527</v>
      </c>
      <c r="X60">
        <f>(Цены!X60-Цены!X$2)/Цены!X$2</f>
        <v>-1.04675505931612E-2</v>
      </c>
      <c r="Y60">
        <f>(Цены!Y60-Цены!Y$2)/Цены!Y$2</f>
        <v>-0.17504267020671344</v>
      </c>
      <c r="Z60">
        <f>(Цены!Z60-Цены!Z$2)/Цены!Z$2</f>
        <v>-0.2648737790181403</v>
      </c>
      <c r="AA60">
        <f>(Цены!AA60-Цены!AA$2)/Цены!AA$2</f>
        <v>-4.3300175541252227E-2</v>
      </c>
      <c r="AB60">
        <f>(Цены!AB60-Цены!AB$2)/Цены!AB$2</f>
        <v>-0.13606803401700851</v>
      </c>
      <c r="AC60">
        <f>(Цены!AD60-Цены!AD$2)/Цены!AD$2</f>
        <v>-7.6813655761024099E-2</v>
      </c>
      <c r="AD60">
        <f>(Цены!AE60-Цены!AE$2)/Цены!AE$2</f>
        <v>-0.2356020942408377</v>
      </c>
      <c r="AE60">
        <f>(Цены!AF60-Цены!AF$2)/Цены!AF$2</f>
        <v>-9.421617377649889E-3</v>
      </c>
      <c r="AF60">
        <f>(Цены!AG60-Цены!AG$2)/Цены!AG$2</f>
        <v>-0.1375150784077202</v>
      </c>
      <c r="AG60">
        <f>(Цены!AH60-Цены!AH$2)/Цены!AH$2</f>
        <v>-0.20877659574468085</v>
      </c>
      <c r="AH60">
        <f>(Цены!AI60-Цены!AI$2)/Цены!AI$2</f>
        <v>-2.1126760563380208E-2</v>
      </c>
      <c r="AI60">
        <f>(Цены!AJ60-Цены!AJ$2)/Цены!AJ$2</f>
        <v>-6.3323782234957021E-2</v>
      </c>
      <c r="AJ60">
        <f>(Цены!AK60-Цены!AK$2)/Цены!AK$2</f>
        <v>-0.25777855032157143</v>
      </c>
      <c r="AK60">
        <f>(Цены!AL60-Цены!AL$2)/Цены!AL$2</f>
        <v>-0.1126802000588407</v>
      </c>
      <c r="AL60">
        <f>(Цены!AM60-Цены!AM$2)/Цены!AM$2</f>
        <v>-0.12593195065744883</v>
      </c>
      <c r="AM60">
        <f>(Цены!AN60-Цены!AN$2)/Цены!AN$2</f>
        <v>5.5668703326544465E-2</v>
      </c>
      <c r="AN60">
        <f>(Цены!AO60-Цены!AO$2)/Цены!AO$2</f>
        <v>-0.26510989010989006</v>
      </c>
      <c r="AO60">
        <f>(Цены!AP60-Цены!AP$2)/Цены!AP$2</f>
        <v>0.51883353584447145</v>
      </c>
      <c r="AP60">
        <f>(Цены!AQ60-Цены!AQ$2)/Цены!AQ$2</f>
        <v>-7.8947368421052627E-2</v>
      </c>
      <c r="AQ60">
        <f>(Цены!AR60-Цены!AR$2)/Цены!AR$2</f>
        <v>5.4910242872228114E-2</v>
      </c>
      <c r="AR60">
        <f>(Цены!AS60-Цены!AS$2)/Цены!AS$2</f>
        <v>-0.20066158104367779</v>
      </c>
      <c r="AS60">
        <f>(Цены!AU60-Цены!AU$2)/Цены!AU$2</f>
        <v>0.13555992141453829</v>
      </c>
      <c r="AT60">
        <f>(Цены!AV60-Цены!AV$2)/Цены!AV$2</f>
        <v>-0.26059809398619788</v>
      </c>
      <c r="AU60">
        <f>(Цены!AW60-Цены!AW$2)/Цены!AW$2</f>
        <v>-0.32179009057005864</v>
      </c>
      <c r="AV60">
        <f>(Цены!AX60-Цены!AX$2)/Цены!AX$2</f>
        <v>-1.1258278145695364E-2</v>
      </c>
    </row>
    <row r="61" spans="1:48" x14ac:dyDescent="0.2">
      <c r="A61" s="1" t="s">
        <v>124</v>
      </c>
      <c r="B61" s="2">
        <v>59</v>
      </c>
      <c r="C61">
        <f>(Цены!B61-Цены!B$2)/Цены!B$2</f>
        <v>-0.1295442541649135</v>
      </c>
      <c r="D61">
        <f>(Цены!C61-Цены!C$2)/Цены!C$2</f>
        <v>-8.5967926689576118E-2</v>
      </c>
      <c r="E61">
        <f>(Цены!D61-Цены!D$2)/Цены!D$2</f>
        <v>-0.18435013262599476</v>
      </c>
      <c r="F61">
        <f>(Цены!E61-Цены!E$2)/Цены!E$2</f>
        <v>-0.16373239436619719</v>
      </c>
      <c r="G61">
        <f>(Цены!F61-Цены!F$2)/Цены!F$2</f>
        <v>-0.12627916496111338</v>
      </c>
      <c r="H61">
        <f>(Цены!G61-Цены!G$2)/Цены!G$2</f>
        <v>-0.11529503105590051</v>
      </c>
      <c r="I61">
        <f>(Цены!H61-Цены!H$2)/Цены!H$2</f>
        <v>-0.17235494880546065</v>
      </c>
      <c r="J61">
        <f>(Цены!J61-Цены!J$2)/Цены!J$2</f>
        <v>-0.22363420427553438</v>
      </c>
      <c r="K61">
        <f>(Цены!K61-Цены!K$2)/Цены!K$2</f>
        <v>-0.20451127819548878</v>
      </c>
      <c r="L61">
        <f>(Цены!L61-Цены!L$2)/Цены!L$2</f>
        <v>-5.7661903393505527E-2</v>
      </c>
      <c r="M61">
        <f>(Цены!M61-Цены!M$2)/Цены!M$2</f>
        <v>-3.5462276099149669E-2</v>
      </c>
      <c r="N61">
        <f>(Цены!N61-Цены!N$2)/Цены!N$2</f>
        <v>-0.18088235294117644</v>
      </c>
      <c r="O61">
        <f>(Цены!O61-Цены!O$2)/Цены!O$2</f>
        <v>-2.2290640394088568E-2</v>
      </c>
      <c r="P61">
        <f>(Цены!P61-Цены!P$2)/Цены!P$2</f>
        <v>-0.12712083369218849</v>
      </c>
      <c r="Q61">
        <f>(Цены!Q61-Цены!Q$2)/Цены!Q$2</f>
        <v>-0.1329425993115638</v>
      </c>
      <c r="R61">
        <f>(Цены!R61-Цены!R$2)/Цены!R$2</f>
        <v>-0.19742845292409786</v>
      </c>
      <c r="S61">
        <f>(Цены!S61-Цены!S$2)/Цены!S$2</f>
        <v>-6.3400576368876096E-2</v>
      </c>
      <c r="T61">
        <f>(Цены!T61-Цены!T$2)/Цены!T$2</f>
        <v>-0.12311377245508984</v>
      </c>
      <c r="U61">
        <f>(Цены!U61-Цены!U$2)/Цены!U$2</f>
        <v>-0.19455117010129236</v>
      </c>
      <c r="V61">
        <f>(Цены!V61-Цены!V$2)/Цены!V$2</f>
        <v>-0.14118852459016396</v>
      </c>
      <c r="W61">
        <f>(Цены!W61-Цены!W$2)/Цены!W$2</f>
        <v>-0.10118421052631577</v>
      </c>
      <c r="X61">
        <f>(Цены!X61-Цены!X$2)/Цены!X$2</f>
        <v>-2.791346824843026E-3</v>
      </c>
      <c r="Y61">
        <f>(Цены!Y61-Цены!Y$2)/Цены!Y$2</f>
        <v>-0.17267210316707751</v>
      </c>
      <c r="Z61">
        <f>(Цены!Z61-Цены!Z$2)/Цены!Z$2</f>
        <v>-0.26423950272738811</v>
      </c>
      <c r="AA61">
        <f>(Цены!AA61-Цены!AA$2)/Цены!AA$2</f>
        <v>-2.0772381509654835E-2</v>
      </c>
      <c r="AB61">
        <f>(Цены!AB61-Цены!AB$2)/Цены!AB$2</f>
        <v>-0.14207103551775888</v>
      </c>
      <c r="AC61">
        <f>(Цены!AD61-Цены!AD$2)/Цены!AD$2</f>
        <v>-8.5704125177809273E-2</v>
      </c>
      <c r="AD61">
        <f>(Цены!AE61-Цены!AE$2)/Цены!AE$2</f>
        <v>-0.26806282722513092</v>
      </c>
      <c r="AE61">
        <f>(Цены!AF61-Цены!AF$2)/Цены!AF$2</f>
        <v>-1.0730175346767921E-2</v>
      </c>
      <c r="AF61">
        <f>(Цены!AG61-Цены!AG$2)/Цены!AG$2</f>
        <v>-0.12484921592279864</v>
      </c>
      <c r="AG61">
        <f>(Цены!AH61-Цены!AH$2)/Цены!AH$2</f>
        <v>-0.2088297872340425</v>
      </c>
      <c r="AH61">
        <f>(Цены!AI61-Цены!AI$2)/Цены!AI$2</f>
        <v>-1.6901408450704116E-2</v>
      </c>
      <c r="AI61">
        <f>(Цены!AJ61-Цены!AJ$2)/Цены!AJ$2</f>
        <v>-6.1891117478510026E-2</v>
      </c>
      <c r="AJ61">
        <f>(Цены!AK61-Цены!AK$2)/Цены!AK$2</f>
        <v>-0.26733877976707809</v>
      </c>
      <c r="AK61">
        <f>(Цены!AL61-Цены!AL$2)/Цены!AL$2</f>
        <v>-0.10679611650485424</v>
      </c>
      <c r="AL61">
        <f>(Цены!AM61-Цены!AM$2)/Цены!AM$2</f>
        <v>-0.12810085400569338</v>
      </c>
      <c r="AM61">
        <f>(Цены!AN61-Цены!AN$2)/Цены!AN$2</f>
        <v>3.9375424304141211E-2</v>
      </c>
      <c r="AN61">
        <f>(Цены!AO61-Цены!AO$2)/Цены!AO$2</f>
        <v>-0.24725274725274726</v>
      </c>
      <c r="AO61">
        <f>(Цены!AP61-Цены!AP$2)/Цены!AP$2</f>
        <v>0.56622114216281894</v>
      </c>
      <c r="AP61">
        <f>(Цены!AQ61-Цены!AQ$2)/Цены!AQ$2</f>
        <v>-0.1130030959752322</v>
      </c>
      <c r="AQ61">
        <f>(Цены!AR61-Цены!AR$2)/Цены!AR$2</f>
        <v>6.7581837381203713E-2</v>
      </c>
      <c r="AR61">
        <f>(Цены!AS61-Цены!AS$2)/Цены!AS$2</f>
        <v>-0.19601701208398031</v>
      </c>
      <c r="AS61">
        <f>(Цены!AU61-Цены!AU$2)/Цены!AU$2</f>
        <v>0.11787819253438114</v>
      </c>
      <c r="AT61">
        <f>(Цены!AV61-Цены!AV$2)/Цены!AV$2</f>
        <v>-0.26213166830978207</v>
      </c>
      <c r="AU61">
        <f>(Цены!AW61-Цены!AW$2)/Цены!AW$2</f>
        <v>-0.3338660983839461</v>
      </c>
      <c r="AV61">
        <f>(Цены!AX61-Цены!AX$2)/Цены!AX$2</f>
        <v>-2.6490066225165563E-2</v>
      </c>
    </row>
    <row r="62" spans="1:48" x14ac:dyDescent="0.2">
      <c r="A62" s="1" t="s">
        <v>125</v>
      </c>
      <c r="B62" s="2">
        <v>60</v>
      </c>
      <c r="C62">
        <f>(Цены!B62-Цены!B$2)/Цены!B$2</f>
        <v>-0.11394541076208292</v>
      </c>
      <c r="D62">
        <f>(Цены!C62-Цены!C$2)/Цены!C$2</f>
        <v>-6.9301260022909483E-2</v>
      </c>
      <c r="E62">
        <f>(Цены!D62-Цены!D$2)/Цены!D$2</f>
        <v>-0.15119363395225471</v>
      </c>
      <c r="F62">
        <f>(Цены!E62-Цены!E$2)/Цены!E$2</f>
        <v>-0.14348591549295775</v>
      </c>
      <c r="G62">
        <f>(Цены!F62-Цены!F$2)/Цены!F$2</f>
        <v>-0.11123618501841998</v>
      </c>
      <c r="H62">
        <f>(Цены!G62-Цены!G$2)/Цены!G$2</f>
        <v>-0.10766045548654236</v>
      </c>
      <c r="I62">
        <f>(Цены!H62-Цены!H$2)/Цены!H$2</f>
        <v>-0.15808253180266818</v>
      </c>
      <c r="J62">
        <f>(Цены!J62-Цены!J$2)/Цены!J$2</f>
        <v>-0.21235154394299283</v>
      </c>
      <c r="K62">
        <f>(Цены!K62-Цены!K$2)/Цены!K$2</f>
        <v>-0.19724310776942353</v>
      </c>
      <c r="L62">
        <f>(Цены!L62-Цены!L$2)/Цены!L$2</f>
        <v>-6.4104077953969454E-2</v>
      </c>
      <c r="M62">
        <f>(Цены!M62-Цены!M$2)/Цены!M$2</f>
        <v>-7.2371992039080872E-3</v>
      </c>
      <c r="N62">
        <f>(Цены!N62-Цены!N$2)/Цены!N$2</f>
        <v>-0.17382352941176471</v>
      </c>
      <c r="O62">
        <f>(Цены!O62-Цены!O$2)/Цены!O$2</f>
        <v>-2.0689655172413703E-2</v>
      </c>
      <c r="P62">
        <f>(Цены!P62-Цены!P$2)/Цены!P$2</f>
        <v>-0.1110154164154681</v>
      </c>
      <c r="Q62">
        <f>(Цены!Q62-Цены!Q$2)/Цены!Q$2</f>
        <v>-0.13396595032096001</v>
      </c>
      <c r="R62">
        <f>(Цены!R62-Цены!R$2)/Цены!R$2</f>
        <v>-0.18768145997511407</v>
      </c>
      <c r="S62">
        <f>(Цены!S62-Цены!S$2)/Цены!S$2</f>
        <v>-6.1239193083573541E-2</v>
      </c>
      <c r="T62">
        <f>(Цены!T62-Цены!T$2)/Цены!T$2</f>
        <v>-0.10862275449101788</v>
      </c>
      <c r="U62">
        <f>(Цены!U62-Цены!U$2)/Цены!U$2</f>
        <v>-0.19070904645476772</v>
      </c>
      <c r="V62">
        <f>(Цены!V62-Цены!V$2)/Цены!V$2</f>
        <v>-0.11331967213114742</v>
      </c>
      <c r="W62">
        <f>(Цены!W62-Цены!W$2)/Цены!W$2</f>
        <v>-7.9736842105263189E-2</v>
      </c>
      <c r="X62">
        <f>(Цены!X62-Цены!X$2)/Цены!X$2</f>
        <v>2.7913468248428278E-3</v>
      </c>
      <c r="Y62">
        <f>(Цены!Y62-Цены!Y$2)/Цены!Y$2</f>
        <v>-0.13995827802010236</v>
      </c>
      <c r="Z62">
        <f>(Цены!Z62-Цены!Z$2)/Цены!Z$2</f>
        <v>-0.19594908875639558</v>
      </c>
      <c r="AA62">
        <f>(Цены!AA62-Цены!AA$2)/Цены!AA$2</f>
        <v>5.5588063194850126E-3</v>
      </c>
      <c r="AB62">
        <f>(Цены!AB62-Цены!AB$2)/Цены!AB$2</f>
        <v>-0.14957478739369684</v>
      </c>
      <c r="AC62">
        <f>(Цены!AD62-Цены!AD$2)/Цены!AD$2</f>
        <v>-7.8591749644381106E-2</v>
      </c>
      <c r="AD62">
        <f>(Цены!AE62-Цены!AE$2)/Цены!AE$2</f>
        <v>-0.26387434554973821</v>
      </c>
      <c r="AE62">
        <f>(Цены!AF62-Цены!AF$2)/Цены!AF$2</f>
        <v>-1.1777021722062287E-2</v>
      </c>
      <c r="AF62">
        <f>(Цены!AG62-Цены!AG$2)/Цены!AG$2</f>
        <v>-0.10132689987937279</v>
      </c>
      <c r="AG62">
        <f>(Цены!AH62-Цены!AH$2)/Цены!AH$2</f>
        <v>-0.19074468085106391</v>
      </c>
      <c r="AH62">
        <f>(Цены!AI62-Цены!AI$2)/Цены!AI$2</f>
        <v>-1.6197183098591455E-2</v>
      </c>
      <c r="AI62">
        <f>(Цены!AJ62-Цены!AJ$2)/Цены!AJ$2</f>
        <v>-6.1604584527220632E-2</v>
      </c>
      <c r="AJ62">
        <f>(Цены!AK62-Цены!AK$2)/Цены!AK$2</f>
        <v>-0.23796280201633926</v>
      </c>
      <c r="AK62">
        <f>(Цены!AL62-Цены!AL$2)/Цены!AL$2</f>
        <v>-0.11679905854663133</v>
      </c>
      <c r="AL62">
        <f>(Цены!AM62-Цены!AM$2)/Цены!AM$2</f>
        <v>-9.4482852107902943E-2</v>
      </c>
      <c r="AM62">
        <f>(Цены!AN62-Цены!AN$2)/Цены!AN$2</f>
        <v>7.6035302104548536E-2</v>
      </c>
      <c r="AN62">
        <f>(Цены!AO62-Цены!AO$2)/Цены!AO$2</f>
        <v>-0.23901098901098899</v>
      </c>
      <c r="AO62">
        <f>(Цены!AP62-Цены!AP$2)/Цены!AP$2</f>
        <v>0.53098420413122727</v>
      </c>
      <c r="AP62">
        <f>(Цены!AQ62-Цены!AQ$2)/Цены!AQ$2</f>
        <v>-9.2879256965944276E-2</v>
      </c>
      <c r="AQ62">
        <f>(Цены!AR62-Цены!AR$2)/Цены!AR$2</f>
        <v>7.6029567053854302E-2</v>
      </c>
      <c r="AR62">
        <f>(Цены!AS62-Цены!AS$2)/Цены!AS$2</f>
        <v>-0.17209208127995673</v>
      </c>
      <c r="AS62">
        <f>(Цены!AU62-Цены!AU$2)/Цены!AU$2</f>
        <v>0.10117878192534378</v>
      </c>
      <c r="AT62">
        <f>(Цены!AV62-Цены!AV$2)/Цены!AV$2</f>
        <v>-0.23595136378573781</v>
      </c>
      <c r="AU62">
        <f>(Цены!AW62-Цены!AW$2)/Цены!AW$2</f>
        <v>-0.29124489433493167</v>
      </c>
      <c r="AV62">
        <f>(Цены!AX62-Цены!AX$2)/Цены!AX$2</f>
        <v>-7.9470198675496689E-3</v>
      </c>
    </row>
    <row r="63" spans="1:48" x14ac:dyDescent="0.2">
      <c r="A63" s="1" t="s">
        <v>126</v>
      </c>
      <c r="B63" s="2">
        <v>61</v>
      </c>
      <c r="C63">
        <f>(Цены!B63-Цены!B$2)/Цены!B$2</f>
        <v>-0.10551263573455549</v>
      </c>
      <c r="D63">
        <f>(Цены!C63-Цены!C$2)/Цены!C$2</f>
        <v>-6.9014891179839541E-2</v>
      </c>
      <c r="E63">
        <f>(Цены!D63-Цены!D$2)/Цены!D$2</f>
        <v>-0.13660477453580916</v>
      </c>
      <c r="F63">
        <f>(Цены!E63-Цены!E$2)/Цены!E$2</f>
        <v>-0.13233568075117372</v>
      </c>
      <c r="G63">
        <f>(Цены!F63-Цены!F$2)/Цены!F$2</f>
        <v>-9.1997544003274659E-2</v>
      </c>
      <c r="H63">
        <f>(Цены!G63-Цены!G$2)/Цены!G$2</f>
        <v>-9.834368530020704E-2</v>
      </c>
      <c r="I63">
        <f>(Цены!H63-Цены!H$2)/Цены!H$2</f>
        <v>-0.14241390009308089</v>
      </c>
      <c r="J63">
        <f>(Цены!J63-Цены!J$2)/Цены!J$2</f>
        <v>-0.20403800475059378</v>
      </c>
      <c r="K63">
        <f>(Цены!K63-Цены!K$2)/Цены!K$2</f>
        <v>-0.19761904761904767</v>
      </c>
      <c r="L63">
        <f>(Цены!L63-Цены!L$2)/Цены!L$2</f>
        <v>-8.3117113822200148E-2</v>
      </c>
      <c r="M63">
        <f>(Цены!M63-Цены!M$2)/Цены!M$2</f>
        <v>3.4376696218563004E-3</v>
      </c>
      <c r="N63">
        <f>(Цены!N63-Цены!N$2)/Цены!N$2</f>
        <v>-0.15720588235294114</v>
      </c>
      <c r="O63">
        <f>(Цены!O63-Цены!O$2)/Цены!O$2</f>
        <v>-1.5517241379310279E-2</v>
      </c>
      <c r="P63">
        <f>(Цены!P63-Цены!P$2)/Цены!P$2</f>
        <v>-8.879510808715875E-2</v>
      </c>
      <c r="Q63">
        <f>(Цены!Q63-Цены!Q$2)/Цены!Q$2</f>
        <v>-0.11424318541259654</v>
      </c>
      <c r="R63">
        <f>(Цены!R63-Цены!R$2)/Цены!R$2</f>
        <v>-0.17565325591041059</v>
      </c>
      <c r="S63">
        <f>(Цены!S63-Цены!S$2)/Цены!S$2</f>
        <v>-4.7276657060518618E-2</v>
      </c>
      <c r="T63">
        <f>(Цены!T63-Цены!T$2)/Цены!T$2</f>
        <v>-9.580838323353294E-2</v>
      </c>
      <c r="U63">
        <f>(Цены!U63-Цены!U$2)/Цены!U$2</f>
        <v>-0.17010129235068111</v>
      </c>
      <c r="V63">
        <f>(Цены!V63-Цены!V$2)/Цены!V$2</f>
        <v>-9.8565573770491716E-2</v>
      </c>
      <c r="W63">
        <f>(Цены!W63-Цены!W$2)/Цены!W$2</f>
        <v>-8.7763157894736862E-2</v>
      </c>
      <c r="X63">
        <f>(Цены!X63-Цены!X$2)/Цены!X$2</f>
        <v>1.3956734124214139E-3</v>
      </c>
      <c r="Y63">
        <f>(Цены!Y63-Цены!Y$2)/Цены!Y$2</f>
        <v>-0.14270813578607999</v>
      </c>
      <c r="Z63">
        <f>(Цены!Z63-Цены!Z$2)/Цены!Z$2</f>
        <v>-0.18601209353461035</v>
      </c>
      <c r="AA63">
        <f>(Цены!AA63-Цены!AA$2)/Цены!AA$2</f>
        <v>3.2475131655939043E-2</v>
      </c>
      <c r="AB63">
        <f>(Цены!AB63-Цены!AB$2)/Цены!AB$2</f>
        <v>-0.14057028514257128</v>
      </c>
      <c r="AC63">
        <f>(Цены!AD63-Цены!AD$2)/Цены!AD$2</f>
        <v>-7.7169274537695468E-2</v>
      </c>
      <c r="AD63">
        <f>(Цены!AE63-Цены!AE$2)/Цены!AE$2</f>
        <v>-0.28691099476439791</v>
      </c>
      <c r="AE63">
        <f>(Цены!AF63-Цены!AF$2)/Цены!AF$2</f>
        <v>-1.6749542004710898E-2</v>
      </c>
      <c r="AF63">
        <f>(Цены!AG63-Цены!AG$2)/Цены!AG$2</f>
        <v>-9.8311218335343856E-2</v>
      </c>
      <c r="AG63">
        <f>(Цены!AH63-Цены!AH$2)/Цены!AH$2</f>
        <v>-0.19946808510638298</v>
      </c>
      <c r="AH63">
        <f>(Цены!AI63-Цены!AI$2)/Цены!AI$2</f>
        <v>-8.450704225352058E-3</v>
      </c>
      <c r="AI63">
        <f>(Цены!AJ63-Цены!AJ$2)/Цены!AJ$2</f>
        <v>-4.7277936962750719E-2</v>
      </c>
      <c r="AJ63">
        <f>(Цены!AK63-Цены!AK$2)/Цены!AK$2</f>
        <v>-0.20563184425517117</v>
      </c>
      <c r="AK63">
        <f>(Цены!AL63-Цены!AL$2)/Цены!AL$2</f>
        <v>-0.1200353045013238</v>
      </c>
      <c r="AL63">
        <f>(Цены!AM63-Цены!AM$2)/Цены!AM$2</f>
        <v>-6.7913786091907277E-2</v>
      </c>
      <c r="AM63">
        <f>(Цены!AN63-Цены!AN$2)/Цены!AN$2</f>
        <v>6.9925322471147314E-2</v>
      </c>
      <c r="AN63">
        <f>(Цены!AO63-Цены!AO$2)/Цены!AO$2</f>
        <v>-0.23901098901098899</v>
      </c>
      <c r="AO63">
        <f>(Цены!AP63-Цены!AP$2)/Цены!AP$2</f>
        <v>0.44471445929526127</v>
      </c>
      <c r="AP63">
        <f>(Цены!AQ63-Цены!AQ$2)/Цены!AQ$2</f>
        <v>-8.9783281733746126E-2</v>
      </c>
      <c r="AQ63">
        <f>(Цены!AR63-Цены!AR$2)/Цены!AR$2</f>
        <v>9.0813093980992549E-2</v>
      </c>
      <c r="AR63">
        <f>(Цены!AS63-Цены!AS$2)/Цены!AS$2</f>
        <v>-0.16611084857895089</v>
      </c>
      <c r="AS63">
        <f>(Цены!AU63-Цены!AU$2)/Цены!AU$2</f>
        <v>0.12278978388998035</v>
      </c>
      <c r="AT63">
        <f>(Цены!AV63-Цены!AV$2)/Цены!AV$2</f>
        <v>-0.23408916639281413</v>
      </c>
      <c r="AU63">
        <f>(Цены!AW63-Цены!AW$2)/Цены!AW$2</f>
        <v>-0.28751553898064292</v>
      </c>
      <c r="AV63">
        <f>(Цены!AX63-Цены!AX$2)/Цены!AX$2</f>
        <v>-1.1920529801324504E-2</v>
      </c>
    </row>
    <row r="64" spans="1:48" x14ac:dyDescent="0.2">
      <c r="A64" s="1" t="s">
        <v>127</v>
      </c>
      <c r="B64" s="2">
        <v>62</v>
      </c>
      <c r="C64">
        <f>(Цены!B64-Цены!B$2)/Цены!B$2</f>
        <v>-9.2751573312325905E-2</v>
      </c>
      <c r="D64">
        <f>(Цены!C64-Цены!C$2)/Цены!C$2</f>
        <v>-5.4696449026345836E-2</v>
      </c>
      <c r="E64">
        <f>(Цены!D64-Цены!D$2)/Цены!D$2</f>
        <v>-0.11518567639257296</v>
      </c>
      <c r="F64">
        <f>(Цены!E64-Цены!E$2)/Цены!E$2</f>
        <v>-0.12852112676056338</v>
      </c>
      <c r="G64">
        <f>(Цены!F64-Цены!F$2)/Цены!F$2</f>
        <v>-9.0257879656160458E-2</v>
      </c>
      <c r="H64">
        <f>(Цены!G64-Цены!G$2)/Цены!G$2</f>
        <v>-8.1909937888198697E-2</v>
      </c>
      <c r="I64">
        <f>(Цены!H64-Цены!H$2)/Цены!H$2</f>
        <v>-0.11386906608749607</v>
      </c>
      <c r="J64">
        <f>(Цены!J64-Цены!J$2)/Цены!J$2</f>
        <v>-0.19287410926365792</v>
      </c>
      <c r="K64">
        <f>(Цены!K64-Цены!K$2)/Цены!K$2</f>
        <v>-0.18283208020050123</v>
      </c>
      <c r="L64">
        <f>(Цены!L64-Цены!L$2)/Цены!L$2</f>
        <v>-8.332401577888654E-2</v>
      </c>
      <c r="M64">
        <f>(Цены!M64-Цены!M$2)/Цены!M$2</f>
        <v>4.5232495024425546E-3</v>
      </c>
      <c r="N64">
        <f>(Цены!N64-Цены!N$2)/Цены!N$2</f>
        <v>-0.15441176470588236</v>
      </c>
      <c r="O64">
        <f>(Цены!O64-Цены!O$2)/Цены!O$2</f>
        <v>-7.2660098522166604E-3</v>
      </c>
      <c r="P64">
        <f>(Цены!P64-Цены!P$2)/Цены!P$2</f>
        <v>-7.3895443975540417E-2</v>
      </c>
      <c r="Q64">
        <f>(Цены!Q64-Цены!Q$2)/Цены!Q$2</f>
        <v>-0.11024281328495669</v>
      </c>
      <c r="R64">
        <f>(Цены!R64-Цены!R$2)/Цены!R$2</f>
        <v>-0.18560763168809624</v>
      </c>
      <c r="S64">
        <f>(Цены!S64-Цены!S$2)/Цены!S$2</f>
        <v>-1.396253602305492E-2</v>
      </c>
      <c r="T64">
        <f>(Цены!T64-Цены!T$2)/Цены!T$2</f>
        <v>-7.8443113772455053E-2</v>
      </c>
      <c r="U64">
        <f>(Цены!U64-Цены!U$2)/Цены!U$2</f>
        <v>-0.14984282221446035</v>
      </c>
      <c r="V64">
        <f>(Цены!V64-Цены!V$2)/Цены!V$2</f>
        <v>-8.9344262295081966E-2</v>
      </c>
      <c r="W64">
        <f>(Цены!W64-Цены!W$2)/Цены!W$2</f>
        <v>-8.2894736842105229E-2</v>
      </c>
      <c r="X64">
        <f>(Цены!X64-Цены!X$2)/Цены!X$2</f>
        <v>-4.1870202372646381E-3</v>
      </c>
      <c r="Y64">
        <f>(Цены!Y64-Цены!Y$2)/Цены!Y$2</f>
        <v>-0.13521714394083059</v>
      </c>
      <c r="Z64">
        <f>(Цены!Z64-Цены!Z$2)/Цены!Z$2</f>
        <v>-0.19256628187238359</v>
      </c>
      <c r="AA64">
        <f>(Цены!AA64-Цены!AA$2)/Цены!AA$2</f>
        <v>5.2954944411936704E-2</v>
      </c>
      <c r="AB64">
        <f>(Цены!AB64-Цены!AB$2)/Цены!AB$2</f>
        <v>-0.13706853426713356</v>
      </c>
      <c r="AC64">
        <f>(Цены!AD64-Цены!AD$2)/Цены!AD$2</f>
        <v>-8.5704125177809273E-2</v>
      </c>
      <c r="AD64">
        <f>(Цены!AE64-Цены!AE$2)/Цены!AE$2</f>
        <v>-0.26282722513089007</v>
      </c>
      <c r="AE64">
        <f>(Цены!AF64-Цены!AF$2)/Цены!AF$2</f>
        <v>-8.6364825961790393E-3</v>
      </c>
      <c r="AF64">
        <f>(Цены!AG64-Цены!AG$2)/Цены!AG$2</f>
        <v>-0.10012062726176128</v>
      </c>
      <c r="AG64">
        <f>(Цены!AH64-Цены!AH$2)/Цены!AH$2</f>
        <v>-0.19420212765957443</v>
      </c>
      <c r="AH64">
        <f>(Цены!AI64-Цены!AI$2)/Цены!AI$2</f>
        <v>4.2253521126760915E-3</v>
      </c>
      <c r="AI64">
        <f>(Цены!AJ64-Цены!AJ$2)/Цены!AJ$2</f>
        <v>-5.6733524355300859E-2</v>
      </c>
      <c r="AJ64">
        <f>(Цены!AK64-Цены!AK$2)/Цены!AK$2</f>
        <v>-0.17434382061533116</v>
      </c>
      <c r="AK64">
        <f>(Цены!AL64-Цены!AL$2)/Цены!AL$2</f>
        <v>-0.12797881729920565</v>
      </c>
      <c r="AL64">
        <f>(Цены!AM64-Цены!AM$2)/Цены!AM$2</f>
        <v>-0.10532736884912566</v>
      </c>
      <c r="AM64">
        <f>(Цены!AN64-Цены!AN$2)/Цены!AN$2</f>
        <v>6.313645621181263E-2</v>
      </c>
      <c r="AN64">
        <f>(Цены!AO64-Цены!AO$2)/Цены!AO$2</f>
        <v>-0.24175824175824168</v>
      </c>
      <c r="AO64">
        <f>(Цены!AP64-Цены!AP$2)/Цены!AP$2</f>
        <v>0.39489671931956255</v>
      </c>
      <c r="AP64">
        <f>(Цены!AQ64-Цены!AQ$2)/Цены!AQ$2</f>
        <v>-8.8235294117647065E-2</v>
      </c>
      <c r="AQ64">
        <f>(Цены!AR64-Цены!AR$2)/Цены!AR$2</f>
        <v>0.11193241816261873</v>
      </c>
      <c r="AR64">
        <f>(Цены!AS64-Цены!AS$2)/Цены!AS$2</f>
        <v>-0.16611084857895089</v>
      </c>
      <c r="AS64">
        <f>(Цены!AU64-Цены!AU$2)/Цены!AU$2</f>
        <v>0.12278978388998035</v>
      </c>
      <c r="AT64">
        <f>(Цены!AV64-Цены!AV$2)/Цены!AV$2</f>
        <v>-0.20254135173622531</v>
      </c>
      <c r="AU64">
        <f>(Цены!AW64-Цены!AW$2)/Цены!AW$2</f>
        <v>-0.2786361214704316</v>
      </c>
      <c r="AV64">
        <f>(Цены!AX64-Цены!AX$2)/Цены!AX$2</f>
        <v>-8.6092715231788075E-3</v>
      </c>
    </row>
    <row r="65" spans="1:48" x14ac:dyDescent="0.2">
      <c r="A65" s="1" t="s">
        <v>128</v>
      </c>
      <c r="B65" s="2">
        <v>63</v>
      </c>
      <c r="C65">
        <f>(Цены!B65-Цены!B$2)/Цены!B$2</f>
        <v>-9.9577466049576041E-2</v>
      </c>
      <c r="D65">
        <f>(Цены!C65-Цены!C$2)/Цены!C$2</f>
        <v>-5.6758304696449012E-2</v>
      </c>
      <c r="E65">
        <f>(Цены!D65-Цены!D$2)/Цены!D$2</f>
        <v>-0.11531830238726799</v>
      </c>
      <c r="F65">
        <f>(Цены!E65-Цены!E$2)/Цены!E$2</f>
        <v>-0.153462441314554</v>
      </c>
      <c r="G65">
        <f>(Цены!F65-Цены!F$2)/Цены!F$2</f>
        <v>-0.10458452722063037</v>
      </c>
      <c r="H65">
        <f>(Цены!G65-Цены!G$2)/Цены!G$2</f>
        <v>-9.7955486542442988E-2</v>
      </c>
      <c r="I65">
        <f>(Цены!H65-Цены!H$2)/Цены!H$2</f>
        <v>-0.12721067328575855</v>
      </c>
      <c r="J65">
        <f>(Цены!J65-Цены!J$2)/Цены!J$2</f>
        <v>-0.14204275534441807</v>
      </c>
      <c r="K65">
        <f>(Цены!K65-Цены!K$2)/Цены!K$2</f>
        <v>-0.20213032581453627</v>
      </c>
      <c r="L65">
        <f>(Цены!L65-Цены!L$2)/Цены!L$2</f>
        <v>-8.3117113822200148E-2</v>
      </c>
      <c r="M65">
        <f>(Цены!M65-Цены!M$2)/Цены!M$2</f>
        <v>-7.0562692238105495E-3</v>
      </c>
      <c r="N65">
        <f>(Цены!N65-Цены!N$2)/Цены!N$2</f>
        <v>-0.14860294117647055</v>
      </c>
      <c r="O65">
        <f>(Цены!O65-Цены!O$2)/Цены!O$2</f>
        <v>-1.1699507389162422E-2</v>
      </c>
      <c r="P65">
        <f>(Цены!P65-Цены!P$2)/Цены!P$2</f>
        <v>-6.6574799758849404E-2</v>
      </c>
      <c r="Q65">
        <f>(Цены!Q65-Цены!Q$2)/Цены!Q$2</f>
        <v>-9.9916271281049351E-2</v>
      </c>
      <c r="R65">
        <f>(Цены!R65-Цены!R$2)/Цены!R$2</f>
        <v>-0.19328079635006221</v>
      </c>
      <c r="S65">
        <f>(Цены!S65-Цены!S$2)/Цены!S$2</f>
        <v>-3.8717579250720585E-2</v>
      </c>
      <c r="T65">
        <f>(Цены!T65-Цены!T$2)/Цены!T$2</f>
        <v>-0.10850299401197608</v>
      </c>
      <c r="U65">
        <f>(Цены!U65-Цены!U$2)/Цены!U$2</f>
        <v>-0.15368494586098497</v>
      </c>
      <c r="V65">
        <f>(Цены!V65-Цены!V$2)/Цены!V$2</f>
        <v>-0.11045081967213116</v>
      </c>
      <c r="W65">
        <f>(Цены!W65-Цены!W$2)/Цены!W$2</f>
        <v>-0.10250000000000008</v>
      </c>
      <c r="X65">
        <f>(Цены!X65-Цены!X$2)/Цены!X$2</f>
        <v>3.8381018841589874E-3</v>
      </c>
      <c r="Y65">
        <f>(Цены!Y65-Цены!Y$2)/Цены!Y$2</f>
        <v>-0.14583728427839934</v>
      </c>
      <c r="Z65">
        <f>(Цены!Z65-Цены!Z$2)/Цены!Z$2</f>
        <v>-0.19721764133790018</v>
      </c>
      <c r="AA65">
        <f>(Цены!AA65-Цены!AA$2)/Цены!AA$2</f>
        <v>2.8964306612053764E-2</v>
      </c>
      <c r="AB65">
        <f>(Цены!AB65-Цены!AB$2)/Цены!AB$2</f>
        <v>-0.13956978489244623</v>
      </c>
      <c r="AC65">
        <f>(Цены!AD65-Цены!AD$2)/Цены!AD$2</f>
        <v>-9.8150782361308614E-2</v>
      </c>
      <c r="AD65">
        <f>(Цены!AE65-Цены!AE$2)/Цены!AE$2</f>
        <v>-0.24397905759162303</v>
      </c>
      <c r="AE65">
        <f>(Цены!AF65-Цены!AF$2)/Цены!AF$2</f>
        <v>-1.3085579691180318E-2</v>
      </c>
      <c r="AF65">
        <f>(Цены!AG65-Цены!AG$2)/Цены!AG$2</f>
        <v>-9.4089264173703391E-2</v>
      </c>
      <c r="AG65">
        <f>(Цены!AH65-Цены!AH$2)/Цены!AH$2</f>
        <v>-0.11117021276595748</v>
      </c>
      <c r="AH65">
        <f>(Цены!AI65-Цены!AI$2)/Цены!AI$2</f>
        <v>7.0422535211278614E-4</v>
      </c>
      <c r="AI65">
        <f>(Цены!AJ65-Цены!AJ$2)/Цены!AJ$2</f>
        <v>-6.3037249283667621E-2</v>
      </c>
      <c r="AJ65">
        <f>(Цены!AK65-Цены!AK$2)/Цены!AK$2</f>
        <v>-0.18303493829306447</v>
      </c>
      <c r="AK65">
        <f>(Цены!AL65-Цены!AL$2)/Цены!AL$2</f>
        <v>-0.11974110032362457</v>
      </c>
      <c r="AL65">
        <f>(Цены!AM65-Цены!AM$2)/Цены!AM$2</f>
        <v>-0.10532736884912566</v>
      </c>
      <c r="AM65">
        <f>(Цены!AN65-Цены!AN$2)/Цены!AN$2</f>
        <v>6.1778682959945687E-2</v>
      </c>
      <c r="AN65">
        <f>(Цены!AO65-Цены!AO$2)/Цены!AO$2</f>
        <v>-0.25137362637362637</v>
      </c>
      <c r="AO65">
        <f>(Цены!AP65-Цены!AP$2)/Цены!AP$2</f>
        <v>0.21506682867557717</v>
      </c>
      <c r="AP65">
        <f>(Цены!AQ65-Цены!AQ$2)/Цены!AQ$2</f>
        <v>-9.2879256965944276E-2</v>
      </c>
      <c r="AQ65">
        <f>(Цены!AR65-Цены!AR$2)/Цены!AR$2</f>
        <v>9.9260823653642985E-2</v>
      </c>
      <c r="AR65">
        <f>(Цены!AS65-Цены!AS$2)/Цены!AS$2</f>
        <v>-0.17608857084992904</v>
      </c>
      <c r="AS65">
        <f>(Цены!AU65-Цены!AU$2)/Цены!AU$2</f>
        <v>0.11984282907662086</v>
      </c>
      <c r="AT65">
        <f>(Цены!AV65-Цены!AV$2)/Цены!AV$2</f>
        <v>-0.20703253368386465</v>
      </c>
      <c r="AU65">
        <f>(Цены!AW65-Цены!AW$2)/Цены!AW$2</f>
        <v>-0.29817083999289651</v>
      </c>
      <c r="AV65">
        <f>(Цены!AX65-Цены!AX$2)/Цены!AX$2</f>
        <v>-1.5894039735099338E-2</v>
      </c>
    </row>
    <row r="66" spans="1:48" x14ac:dyDescent="0.2">
      <c r="A66" s="1" t="s">
        <v>129</v>
      </c>
      <c r="B66" s="2">
        <v>64</v>
      </c>
      <c r="C66">
        <f>(Цены!B66-Цены!B$2)/Цены!B$2</f>
        <v>-9.7321564449855361E-2</v>
      </c>
      <c r="D66">
        <f>(Цены!C66-Цены!C$2)/Цены!C$2</f>
        <v>-5.3837342497136349E-2</v>
      </c>
      <c r="E66">
        <f>(Цены!D66-Цены!D$2)/Цены!D$2</f>
        <v>-9.3169761273209611E-2</v>
      </c>
      <c r="F66">
        <f>(Цены!E66-Цены!E$2)/Цены!E$2</f>
        <v>-0.17312206572769953</v>
      </c>
      <c r="G66">
        <f>(Цены!F66-Цены!F$2)/Цены!F$2</f>
        <v>-0.10489152681129758</v>
      </c>
      <c r="H66">
        <f>(Цены!G66-Цены!G$2)/Цены!G$2</f>
        <v>-0.10015527950310557</v>
      </c>
      <c r="I66">
        <f>(Цены!H66-Цены!H$2)/Цены!H$2</f>
        <v>-0.13403661185231142</v>
      </c>
      <c r="J66">
        <f>(Цены!J66-Цены!J$2)/Цены!J$2</f>
        <v>-0.10451306413301663</v>
      </c>
      <c r="K66">
        <f>(Цены!K66-Цены!K$2)/Цены!K$2</f>
        <v>-0.20488721804511278</v>
      </c>
      <c r="L66">
        <f>(Цены!L66-Цены!L$2)/Цены!L$2</f>
        <v>-8.8207110948561956E-2</v>
      </c>
      <c r="M66">
        <f>(Цены!M66-Цены!M$2)/Цены!M$2</f>
        <v>-9.0464990048851092E-3</v>
      </c>
      <c r="N66">
        <f>(Цены!N66-Цены!N$2)/Цены!N$2</f>
        <v>-0.15404411764705883</v>
      </c>
      <c r="O66">
        <f>(Цены!O66-Цены!O$2)/Цены!O$2</f>
        <v>-2.4630541871920658E-3</v>
      </c>
      <c r="P66">
        <f>(Цены!P66-Цены!P$2)/Цены!P$2</f>
        <v>-7.2000689001808629E-2</v>
      </c>
      <c r="Q66">
        <f>(Цены!Q66-Цены!Q$2)/Цены!Q$2</f>
        <v>-8.7263931528514249E-2</v>
      </c>
      <c r="R66">
        <f>(Цены!R66-Цены!R$2)/Цены!R$2</f>
        <v>-0.19535462463708003</v>
      </c>
      <c r="S66">
        <f>(Цены!S66-Цены!S$2)/Цены!S$2</f>
        <v>-3.8717579250720585E-2</v>
      </c>
      <c r="T66">
        <f>(Цены!T66-Цены!T$2)/Цены!T$2</f>
        <v>-0.10778443113772455</v>
      </c>
      <c r="U66">
        <f>(Цены!U66-Цены!U$2)/Цены!U$2</f>
        <v>-0.15647921760391198</v>
      </c>
      <c r="V66">
        <f>(Цены!V66-Цены!V$2)/Цены!V$2</f>
        <v>-0.12499999999999989</v>
      </c>
      <c r="W66">
        <f>(Цены!W66-Цены!W$2)/Цены!W$2</f>
        <v>-0.10776315789473681</v>
      </c>
      <c r="X66">
        <f>(Цены!X66-Цены!X$2)/Цены!X$2</f>
        <v>5.5826936496858543E-3</v>
      </c>
      <c r="Y66">
        <f>(Цены!Y66-Цены!Y$2)/Цены!Y$2</f>
        <v>-0.15133699981035462</v>
      </c>
      <c r="Z66">
        <f>(Цены!Z66-Цены!Z$2)/Цены!Z$2</f>
        <v>-0.16952090997505187</v>
      </c>
      <c r="AA66">
        <f>(Цены!AA66-Цены!AA$2)/Цены!AA$2</f>
        <v>2.8379169104739581E-2</v>
      </c>
      <c r="AB66">
        <f>(Цены!AB66-Цены!AB$2)/Цены!AB$2</f>
        <v>-0.12956478239119559</v>
      </c>
      <c r="AC66">
        <f>(Цены!AD66-Цены!AD$2)/Цены!AD$2</f>
        <v>-0.10384068278805116</v>
      </c>
      <c r="AD66">
        <f>(Цены!AE66-Цены!AE$2)/Цены!AE$2</f>
        <v>-0.23664921465968586</v>
      </c>
      <c r="AE66">
        <f>(Цены!AF66-Цены!AF$2)/Цены!AF$2</f>
        <v>-7.8513478147084891E-4</v>
      </c>
      <c r="AF66">
        <f>(Цены!AG66-Цены!AG$2)/Цены!AG$2</f>
        <v>-0.11338962605548861</v>
      </c>
      <c r="AG66">
        <f>(Цены!AH66-Цены!AH$2)/Цены!AH$2</f>
        <v>-5.4414893617021225E-2</v>
      </c>
      <c r="AH66">
        <f>(Цены!AI66-Цены!AI$2)/Цены!AI$2</f>
        <v>4.9295774647887527E-3</v>
      </c>
      <c r="AI66">
        <f>(Цены!AJ66-Цены!AJ$2)/Цены!AJ$2</f>
        <v>-4.0114613180515762E-2</v>
      </c>
      <c r="AJ66">
        <f>(Цены!AK66-Цены!AK$2)/Цены!AK$2</f>
        <v>-0.18755431948548579</v>
      </c>
      <c r="AK66">
        <f>(Цены!AL66-Цены!AL$2)/Цены!AL$2</f>
        <v>-0.11797587525742856</v>
      </c>
      <c r="AL66">
        <f>(Цены!AM66-Цены!AM$2)/Цены!AM$2</f>
        <v>-0.13975870950250779</v>
      </c>
      <c r="AM66">
        <f>(Цены!AN66-Цены!AN$2)/Цены!AN$2</f>
        <v>6.313645621181263E-2</v>
      </c>
      <c r="AN66">
        <f>(Цены!AO66-Цены!AO$2)/Цены!AO$2</f>
        <v>-0.27060439560439553</v>
      </c>
      <c r="AO66">
        <f>(Цены!AP66-Цены!AP$2)/Цены!AP$2</f>
        <v>0.23329283110571081</v>
      </c>
      <c r="AP66">
        <f>(Цены!AQ66-Цены!AQ$2)/Цены!AQ$2</f>
        <v>-0.10990712074303406</v>
      </c>
      <c r="AQ66">
        <f>(Цены!AR66-Цены!AR$2)/Цены!AR$2</f>
        <v>0.12038014783526918</v>
      </c>
      <c r="AR66">
        <f>(Цены!AS66-Цены!AS$2)/Цены!AS$2</f>
        <v>-0.15814487274691152</v>
      </c>
      <c r="AS66">
        <f>(Цены!AU66-Цены!AU$2)/Цены!AU$2</f>
        <v>0.12671905697445979</v>
      </c>
      <c r="AT66">
        <f>(Цены!AV66-Цены!AV$2)/Цены!AV$2</f>
        <v>-0.20046007229707535</v>
      </c>
      <c r="AU66">
        <f>(Цены!AW66-Цены!AW$2)/Цены!AW$2</f>
        <v>-0.28431894867696678</v>
      </c>
      <c r="AV66">
        <f>(Цены!AX66-Цены!AX$2)/Цены!AX$2</f>
        <v>-1.6556291390728478E-2</v>
      </c>
    </row>
    <row r="67" spans="1:48" x14ac:dyDescent="0.2">
      <c r="A67" s="1" t="s">
        <v>130</v>
      </c>
      <c r="B67" s="2">
        <v>65</v>
      </c>
      <c r="C67">
        <f>(Цены!B67-Цены!B$2)/Цены!B$2</f>
        <v>-9.7321564449855361E-2</v>
      </c>
      <c r="D67">
        <f>(Цены!C67-Цены!C$2)/Цены!C$2</f>
        <v>-5.3837342497136349E-2</v>
      </c>
      <c r="E67">
        <f>(Цены!D67-Цены!D$2)/Цены!D$2</f>
        <v>-9.3169761273209611E-2</v>
      </c>
      <c r="F67">
        <f>(Цены!E67-Цены!E$2)/Цены!E$2</f>
        <v>-0.17312206572769953</v>
      </c>
      <c r="G67">
        <f>(Цены!F67-Цены!F$2)/Цены!F$2</f>
        <v>-0.10489152681129758</v>
      </c>
      <c r="H67">
        <f>(Цены!G67-Цены!G$2)/Цены!G$2</f>
        <v>-0.10015527950310557</v>
      </c>
      <c r="I67">
        <f>(Цены!H67-Цены!H$2)/Цены!H$2</f>
        <v>-0.13403661185231142</v>
      </c>
      <c r="J67">
        <f>(Цены!J67-Цены!J$2)/Цены!J$2</f>
        <v>-0.10451306413301663</v>
      </c>
      <c r="K67">
        <f>(Цены!K67-Цены!K$2)/Цены!K$2</f>
        <v>-0.20488721804511278</v>
      </c>
      <c r="L67">
        <f>(Цены!L67-Цены!L$2)/Цены!L$2</f>
        <v>-8.8207110948561956E-2</v>
      </c>
      <c r="M67">
        <f>(Цены!M67-Цены!M$2)/Цены!M$2</f>
        <v>-9.0464990048851092E-3</v>
      </c>
      <c r="N67">
        <f>(Цены!N67-Цены!N$2)/Цены!N$2</f>
        <v>-0.15404411764705883</v>
      </c>
      <c r="O67">
        <f>(Цены!O67-Цены!O$2)/Цены!O$2</f>
        <v>-2.4630541871920658E-3</v>
      </c>
      <c r="P67">
        <f>(Цены!P67-Цены!P$2)/Цены!P$2</f>
        <v>-7.2000689001808629E-2</v>
      </c>
      <c r="Q67">
        <f>(Цены!Q67-Цены!Q$2)/Цены!Q$2</f>
        <v>-8.7263931528514249E-2</v>
      </c>
      <c r="R67">
        <f>(Цены!R67-Цены!R$2)/Цены!R$2</f>
        <v>-0.19535462463708003</v>
      </c>
      <c r="S67">
        <f>(Цены!S67-Цены!S$2)/Цены!S$2</f>
        <v>-3.8717579250720585E-2</v>
      </c>
      <c r="T67">
        <f>(Цены!T67-Цены!T$2)/Цены!T$2</f>
        <v>-0.10778443113772455</v>
      </c>
      <c r="U67">
        <f>(Цены!U67-Цены!U$2)/Цены!U$2</f>
        <v>-0.15647921760391198</v>
      </c>
      <c r="V67">
        <f>(Цены!V67-Цены!V$2)/Цены!V$2</f>
        <v>-0.12499999999999989</v>
      </c>
      <c r="W67">
        <f>(Цены!W67-Цены!W$2)/Цены!W$2</f>
        <v>-0.10776315789473681</v>
      </c>
      <c r="X67">
        <f>(Цены!X67-Цены!X$2)/Цены!X$2</f>
        <v>5.5826936496858543E-3</v>
      </c>
      <c r="Y67">
        <f>(Цены!Y67-Цены!Y$2)/Цены!Y$2</f>
        <v>-0.15133699981035462</v>
      </c>
      <c r="Z67">
        <f>(Цены!Z67-Цены!Z$2)/Цены!Z$2</f>
        <v>-0.16952090997505187</v>
      </c>
      <c r="AA67">
        <f>(Цены!AA67-Цены!AA$2)/Цены!AA$2</f>
        <v>2.8379169104739581E-2</v>
      </c>
      <c r="AB67">
        <f>(Цены!AB67-Цены!AB$2)/Цены!AB$2</f>
        <v>-0.12956478239119559</v>
      </c>
      <c r="AC67">
        <f>(Цены!AD67-Цены!AD$2)/Цены!AD$2</f>
        <v>-0.10384068278805116</v>
      </c>
      <c r="AD67">
        <f>(Цены!AE67-Цены!AE$2)/Цены!AE$2</f>
        <v>-0.23664921465968586</v>
      </c>
      <c r="AE67">
        <f>(Цены!AF67-Цены!AF$2)/Цены!AF$2</f>
        <v>-7.8513478147084891E-4</v>
      </c>
      <c r="AF67">
        <f>(Цены!AG67-Цены!AG$2)/Цены!AG$2</f>
        <v>-0.11338962605548861</v>
      </c>
      <c r="AG67">
        <f>(Цены!AH67-Цены!AH$2)/Цены!AH$2</f>
        <v>-5.4414893617021225E-2</v>
      </c>
      <c r="AH67">
        <f>(Цены!AI67-Цены!AI$2)/Цены!AI$2</f>
        <v>4.9295774647887527E-3</v>
      </c>
      <c r="AI67">
        <f>(Цены!AJ67-Цены!AJ$2)/Цены!AJ$2</f>
        <v>-4.0114613180515762E-2</v>
      </c>
      <c r="AJ67">
        <f>(Цены!AK67-Цены!AK$2)/Цены!AK$2</f>
        <v>-0.18755431948548579</v>
      </c>
      <c r="AK67">
        <f>(Цены!AL67-Цены!AL$2)/Цены!AL$2</f>
        <v>-0.11797587525742856</v>
      </c>
      <c r="AL67">
        <f>(Цены!AM67-Цены!AM$2)/Цены!AM$2</f>
        <v>-0.13975870950250779</v>
      </c>
      <c r="AM67">
        <f>(Цены!AN67-Цены!AN$2)/Цены!AN$2</f>
        <v>6.313645621181263E-2</v>
      </c>
      <c r="AN67">
        <f>(Цены!AO67-Цены!AO$2)/Цены!AO$2</f>
        <v>-0.27060439560439553</v>
      </c>
      <c r="AO67">
        <f>(Цены!AP67-Цены!AP$2)/Цены!AP$2</f>
        <v>0.23329283110571081</v>
      </c>
      <c r="AP67">
        <f>(Цены!AQ67-Цены!AQ$2)/Цены!AQ$2</f>
        <v>-0.10990712074303406</v>
      </c>
      <c r="AQ67">
        <f>(Цены!AR67-Цены!AR$2)/Цены!AR$2</f>
        <v>0.12038014783526918</v>
      </c>
      <c r="AR67">
        <f>(Цены!AS67-Цены!AS$2)/Цены!AS$2</f>
        <v>-0.15814487274691152</v>
      </c>
      <c r="AS67">
        <f>(Цены!AU67-Цены!AU$2)/Цены!AU$2</f>
        <v>0.12671905697445979</v>
      </c>
      <c r="AT67">
        <f>(Цены!AV67-Цены!AV$2)/Цены!AV$2</f>
        <v>-0.20046007229707535</v>
      </c>
      <c r="AU67">
        <f>(Цены!AW67-Цены!AW$2)/Цены!AW$2</f>
        <v>-0.28431894867696678</v>
      </c>
      <c r="AV67">
        <f>(Цены!AX67-Цены!AX$2)/Цены!AX$2</f>
        <v>-1.6556291390728478E-2</v>
      </c>
    </row>
    <row r="68" spans="1:48" x14ac:dyDescent="0.2">
      <c r="A68" s="1" t="s">
        <v>131</v>
      </c>
      <c r="B68" s="2">
        <v>66</v>
      </c>
      <c r="C68">
        <f>(Цены!B68-Цены!B$2)/Цены!B$2</f>
        <v>-9.2782905278988775E-2</v>
      </c>
      <c r="D68">
        <f>(Цены!C68-Цены!C$2)/Цены!C$2</f>
        <v>-4.5589919816723987E-2</v>
      </c>
      <c r="E68">
        <f>(Цены!D68-Цены!D$2)/Цены!D$2</f>
        <v>-9.4694960212201598E-2</v>
      </c>
      <c r="F68">
        <f>(Цены!E68-Цены!E$2)/Цены!E$2</f>
        <v>-0.15962441314553991</v>
      </c>
      <c r="G68">
        <f>(Цены!F68-Цены!F$2)/Цены!F$2</f>
        <v>-9.8546868604175192E-2</v>
      </c>
      <c r="H68">
        <f>(Цены!G68-Цены!G$2)/Цены!G$2</f>
        <v>-9.9767080745341505E-2</v>
      </c>
      <c r="I68">
        <f>(Цены!H68-Цены!H$2)/Цены!H$2</f>
        <v>-0.1279863481228668</v>
      </c>
      <c r="J68">
        <f>(Цены!J68-Цены!J$2)/Цены!J$2</f>
        <v>-0.11793349168646075</v>
      </c>
      <c r="K68">
        <f>(Цены!K68-Цены!K$2)/Цены!K$2</f>
        <v>-0.20802005012531327</v>
      </c>
      <c r="L68">
        <f>(Цены!L68-Цены!L$2)/Цены!L$2</f>
        <v>-8.3531962694950154E-2</v>
      </c>
      <c r="M68">
        <f>(Цены!M68-Цены!M$2)/Цены!M$2</f>
        <v>-1.2665098606839975E-3</v>
      </c>
      <c r="N68">
        <f>(Цены!N68-Цены!N$2)/Цены!N$2</f>
        <v>-0.13750000000000001</v>
      </c>
      <c r="O68">
        <f>(Цены!O68-Цены!O$2)/Цены!O$2</f>
        <v>2.3152709359605988E-2</v>
      </c>
      <c r="P68">
        <f>(Цены!P68-Цены!P$2)/Цены!P$2</f>
        <v>-6.123503574196882E-2</v>
      </c>
      <c r="Q68">
        <f>(Цены!Q68-Цены!Q$2)/Цены!Q$2</f>
        <v>-8.7077867708624052E-2</v>
      </c>
      <c r="R68">
        <f>(Цены!R68-Цены!R$2)/Цены!R$2</f>
        <v>-0.19224388220655328</v>
      </c>
      <c r="S68">
        <f>(Цены!S68-Цены!S$2)/Цены!S$2</f>
        <v>-2.926512968299699E-2</v>
      </c>
      <c r="T68">
        <f>(Цены!T68-Цены!T$2)/Цены!T$2</f>
        <v>-0.10167664670658677</v>
      </c>
      <c r="U68">
        <f>(Цены!U68-Цены!U$2)/Цены!U$2</f>
        <v>-0.16206776108976598</v>
      </c>
      <c r="V68">
        <f>(Цены!V68-Цены!V$2)/Цены!V$2</f>
        <v>-8.6475409836065553E-2</v>
      </c>
      <c r="W68">
        <f>(Цены!W68-Цены!W$2)/Цены!W$2</f>
        <v>-5.6578947368421013E-2</v>
      </c>
      <c r="X68">
        <f>(Цены!X68-Цены!X$2)/Цены!X$2</f>
        <v>4.8848569434751469E-3</v>
      </c>
      <c r="Y68">
        <f>(Цены!Y68-Цены!Y$2)/Цены!Y$2</f>
        <v>-0.14925090081547504</v>
      </c>
      <c r="Z68">
        <f>(Цены!Z68-Цены!Z$2)/Цены!Z$2</f>
        <v>-0.17353799314981602</v>
      </c>
      <c r="AA68">
        <f>(Цены!AA68-Цены!AA$2)/Цены!AA$2</f>
        <v>5.3247513165593882E-2</v>
      </c>
      <c r="AB68">
        <f>(Цены!AB68-Цены!AB$2)/Цены!AB$2</f>
        <v>-0.11955977988994497</v>
      </c>
      <c r="AC68">
        <f>(Цены!AD68-Цены!AD$2)/Цены!AD$2</f>
        <v>-8.2859174964438009E-2</v>
      </c>
      <c r="AD68">
        <f>(Цены!AE68-Цены!AE$2)/Цены!AE$2</f>
        <v>-0.22513089005235601</v>
      </c>
      <c r="AE68">
        <f>(Цены!AF68-Цены!AF$2)/Цены!AF$2</f>
        <v>2.6171159382351713E-4</v>
      </c>
      <c r="AF68">
        <f>(Цены!AG68-Цены!AG$2)/Цены!AG$2</f>
        <v>-0.1073582629674307</v>
      </c>
      <c r="AG68">
        <f>(Цены!AH68-Цены!AH$2)/Цены!AH$2</f>
        <v>-9.5478723404255256E-2</v>
      </c>
      <c r="AH68">
        <f>(Цены!AI68-Цены!AI$2)/Цены!AI$2</f>
        <v>1.2676056338028275E-2</v>
      </c>
      <c r="AI68">
        <f>(Цены!AJ68-Цены!AJ$2)/Цены!AJ$2</f>
        <v>-4.9856733524355303E-2</v>
      </c>
      <c r="AJ68">
        <f>(Цены!AK68-Цены!AK$2)/Цены!AK$2</f>
        <v>-0.15174691465322443</v>
      </c>
      <c r="AK68">
        <f>(Цены!AL68-Цены!AL$2)/Цены!AL$2</f>
        <v>-0.12915563401000288</v>
      </c>
      <c r="AL68">
        <f>(Цены!AM68-Цены!AM$2)/Цены!AM$2</f>
        <v>-0.13596312864307986</v>
      </c>
      <c r="AM68">
        <f>(Цены!AN68-Цены!AN$2)/Цены!AN$2</f>
        <v>7.8750848608282423E-2</v>
      </c>
      <c r="AN68">
        <f>(Цены!AO68-Цены!AO$2)/Цены!AO$2</f>
        <v>-0.26510989010989006</v>
      </c>
      <c r="AO68">
        <f>(Цены!AP68-Цены!AP$2)/Цены!AP$2</f>
        <v>0.21506682867557717</v>
      </c>
      <c r="AP68">
        <f>(Цены!AQ68-Цены!AQ$2)/Цены!AQ$2</f>
        <v>-0.11455108359133127</v>
      </c>
      <c r="AQ68">
        <f>(Цены!AR68-Цены!AR$2)/Цены!AR$2</f>
        <v>0.15205913410770847</v>
      </c>
      <c r="AR68">
        <f>(Цены!AS68-Цены!AS$2)/Цены!AS$2</f>
        <v>-0.16212786066293117</v>
      </c>
      <c r="AS68">
        <f>(Цены!AU68-Цены!AU$2)/Цены!AU$2</f>
        <v>0.12770137524557956</v>
      </c>
      <c r="AT68">
        <f>(Цены!AV68-Цены!AV$2)/Цены!AV$2</f>
        <v>-0.19279220067915442</v>
      </c>
      <c r="AU68">
        <f>(Цены!AW68-Цены!AW$2)/Цены!AW$2</f>
        <v>-0.25324098739122725</v>
      </c>
      <c r="AV68">
        <f>(Цены!AX68-Цены!AX$2)/Цены!AX$2</f>
        <v>-1.7218543046357615E-2</v>
      </c>
    </row>
    <row r="69" spans="1:48" x14ac:dyDescent="0.2">
      <c r="A69" s="1" t="s">
        <v>132</v>
      </c>
      <c r="B69" s="2">
        <v>67</v>
      </c>
      <c r="C69">
        <f>(Цены!B69-Цены!B$2)/Цены!B$2</f>
        <v>-0.1076387334723875</v>
      </c>
      <c r="D69">
        <f>(Цены!C69-Цены!C$2)/Цены!C$2</f>
        <v>-5.6643757159221E-2</v>
      </c>
      <c r="E69">
        <f>(Цены!D69-Цены!D$2)/Цены!D$2</f>
        <v>-9.9403183023872729E-2</v>
      </c>
      <c r="F69">
        <f>(Цены!E69-Цены!E$2)/Цены!E$2</f>
        <v>-0.18720657276995306</v>
      </c>
      <c r="G69">
        <f>(Цены!F69-Цены!F$2)/Цены!F$2</f>
        <v>-0.11092918542775276</v>
      </c>
      <c r="H69">
        <f>(Цены!G69-Цены!G$2)/Цены!G$2</f>
        <v>-0.11050724637681157</v>
      </c>
      <c r="I69">
        <f>(Цены!H69-Цены!H$2)/Цены!H$2</f>
        <v>-0.11557555072913429</v>
      </c>
      <c r="J69">
        <f>(Цены!J69-Цены!J$2)/Цены!J$2</f>
        <v>-0.14251781472684086</v>
      </c>
      <c r="K69">
        <f>(Цены!K69-Цены!K$2)/Цены!K$2</f>
        <v>-0.21892230576441107</v>
      </c>
      <c r="L69">
        <f>(Цены!L69-Цены!L$2)/Цены!L$2</f>
        <v>-9.7661903393505611E-2</v>
      </c>
      <c r="M69">
        <f>(Цены!M69-Цены!M$2)/Цены!M$2</f>
        <v>-0.105120318436765</v>
      </c>
      <c r="N69">
        <f>(Цены!N69-Цены!N$2)/Цены!N$2</f>
        <v>-0.13088235294117645</v>
      </c>
      <c r="O69">
        <f>(Цены!O69-Цены!O$2)/Цены!O$2</f>
        <v>2.7093596059115789E-3</v>
      </c>
      <c r="P69">
        <f>(Цены!P69-Цены!P$2)/Цены!P$2</f>
        <v>-8.1991215226939931E-2</v>
      </c>
      <c r="Q69">
        <f>(Цены!Q69-Цены!Q$2)/Цены!Q$2</f>
        <v>-0.11182435575402359</v>
      </c>
      <c r="R69">
        <f>(Цены!R69-Цены!R$2)/Цены!R$2</f>
        <v>-0.19431771049357111</v>
      </c>
      <c r="S69">
        <f>(Цены!S69-Цены!S$2)/Цены!S$2</f>
        <v>-2.7377521613832837E-2</v>
      </c>
      <c r="T69">
        <f>(Цены!T69-Цены!T$2)/Цены!T$2</f>
        <v>-0.11017964071856291</v>
      </c>
      <c r="U69">
        <f>(Цены!U69-Цены!U$2)/Цены!U$2</f>
        <v>-0.16241704505763185</v>
      </c>
      <c r="V69">
        <f>(Цены!V69-Цены!V$2)/Цены!V$2</f>
        <v>-0.42377049180327864</v>
      </c>
      <c r="W69">
        <f>(Цены!W69-Цены!W$2)/Цены!W$2</f>
        <v>-6.3157894736842066E-2</v>
      </c>
      <c r="X69">
        <f>(Цены!X69-Цены!X$2)/Цены!X$2</f>
        <v>-7.676203768318372E-3</v>
      </c>
      <c r="Y69">
        <f>(Цены!Y69-Цены!Y$2)/Цены!Y$2</f>
        <v>-0.16650862886402426</v>
      </c>
      <c r="Z69">
        <f>(Цены!Z69-Цены!Z$2)/Цены!Z$2</f>
        <v>-0.17544082202207281</v>
      </c>
      <c r="AA69">
        <f>(Цены!AA69-Цены!AA$2)/Цены!AA$2</f>
        <v>6.0561732007021613E-2</v>
      </c>
      <c r="AB69">
        <f>(Цены!AB69-Цены!AB$2)/Цены!AB$2</f>
        <v>-0.11705852926463231</v>
      </c>
      <c r="AC69">
        <f>(Цены!AD69-Цены!AD$2)/Цены!AD$2</f>
        <v>-9.4950213371265968E-2</v>
      </c>
      <c r="AD69">
        <f>(Цены!AE69-Цены!AE$2)/Цены!AE$2</f>
        <v>-0.23455497382198953</v>
      </c>
      <c r="AE69">
        <f>(Цены!AF69-Цены!AF$2)/Цены!AF$2</f>
        <v>1.046846375294366E-3</v>
      </c>
      <c r="AF69">
        <f>(Цены!AG69-Цены!AG$2)/Цены!AG$2</f>
        <v>-9.8914354644149605E-2</v>
      </c>
      <c r="AG69">
        <f>(Цены!AH69-Цены!AH$2)/Цены!AH$2</f>
        <v>-7.3404255319149E-2</v>
      </c>
      <c r="AH69">
        <f>(Цены!AI69-Цены!AI$2)/Цены!AI$2</f>
        <v>-4.2253521126759666E-3</v>
      </c>
      <c r="AI69">
        <f>(Цены!AJ69-Цены!AJ$2)/Цены!AJ$2</f>
        <v>-5.0429799426934097E-2</v>
      </c>
      <c r="AJ69">
        <f>(Цены!AK69-Цены!AK$2)/Цены!AK$2</f>
        <v>-0.17243177472622978</v>
      </c>
      <c r="AK69">
        <f>(Цены!AL69-Цены!AL$2)/Цены!AL$2</f>
        <v>-0.14092380111797581</v>
      </c>
      <c r="AL69">
        <f>(Цены!AM69-Цены!AM$2)/Цены!AM$2</f>
        <v>-0.15304324251050563</v>
      </c>
      <c r="AM69">
        <f>(Цены!AN69-Цены!AN$2)/Цены!AN$2</f>
        <v>6.313645621181263E-2</v>
      </c>
      <c r="AN69">
        <f>(Цены!AO69-Цены!AO$2)/Цены!AO$2</f>
        <v>-0.27197802197802196</v>
      </c>
      <c r="AO69">
        <f>(Цены!AP69-Цены!AP$2)/Цены!AP$2</f>
        <v>0.31105710814094772</v>
      </c>
      <c r="AP69">
        <f>(Цены!AQ69-Цены!AQ$2)/Цены!AQ$2</f>
        <v>-0.12538699690402477</v>
      </c>
      <c r="AQ69">
        <f>(Цены!AR69-Цены!AR$2)/Цены!AR$2</f>
        <v>0.11298838437170013</v>
      </c>
      <c r="AR69">
        <f>(Цены!AS69-Цены!AS$2)/Цены!AS$2</f>
        <v>-0.16544926753527295</v>
      </c>
      <c r="AS69">
        <f>(Цены!AU69-Цены!AU$2)/Цены!AU$2</f>
        <v>0.11984282907662086</v>
      </c>
      <c r="AT69">
        <f>(Цены!AV69-Цены!AV$2)/Цены!AV$2</f>
        <v>-0.21218096177018297</v>
      </c>
      <c r="AU69">
        <f>(Цены!AW69-Цены!AW$2)/Цены!AW$2</f>
        <v>-0.27419641271532591</v>
      </c>
      <c r="AV69">
        <f>(Цены!AX69-Цены!AX$2)/Цены!AX$2</f>
        <v>-1.6556291390728478E-2</v>
      </c>
    </row>
    <row r="70" spans="1:48" x14ac:dyDescent="0.2">
      <c r="A70" s="1" t="s">
        <v>133</v>
      </c>
      <c r="B70" s="2">
        <v>68</v>
      </c>
      <c r="C70">
        <f>(Цены!B70-Цены!B$2)/Цены!B$2</f>
        <v>-0.10530673995362869</v>
      </c>
      <c r="D70">
        <f>(Цены!C70-Цены!C$2)/Цены!C$2</f>
        <v>-5.2119129438717035E-2</v>
      </c>
      <c r="E70">
        <f>(Цены!D70-Цены!D$2)/Цены!D$2</f>
        <v>-0.10523872679045095</v>
      </c>
      <c r="F70">
        <f>(Цены!E70-Цены!E$2)/Цены!E$2</f>
        <v>-0.18427230046948356</v>
      </c>
      <c r="G70">
        <f>(Цены!F70-Цены!F$2)/Цены!F$2</f>
        <v>-0.10959885386819485</v>
      </c>
      <c r="H70">
        <f>(Цены!G70-Цены!G$2)/Цены!G$2</f>
        <v>-0.10326086956521734</v>
      </c>
      <c r="I70">
        <f>(Цены!H70-Цены!H$2)/Цены!H$2</f>
        <v>-0.11216258144585786</v>
      </c>
      <c r="J70">
        <f>(Цены!J70-Цены!J$2)/Цены!J$2</f>
        <v>-0.12529691211401425</v>
      </c>
      <c r="K70">
        <f>(Цены!K70-Цены!K$2)/Цены!K$2</f>
        <v>-0.22305764411027568</v>
      </c>
      <c r="L70">
        <f>(Цены!L70-Цены!L$2)/Цены!L$2</f>
        <v>-8.1454583453068261E-2</v>
      </c>
      <c r="M70">
        <f>(Цены!M70-Цены!M$2)/Цены!M$2</f>
        <v>-0.10801519811832828</v>
      </c>
      <c r="N70">
        <f>(Цены!N70-Цены!N$2)/Цены!N$2</f>
        <v>-0.15632352941176475</v>
      </c>
      <c r="O70">
        <f>(Цены!O70-Цены!O$2)/Цены!O$2</f>
        <v>-2.4630541871920658E-3</v>
      </c>
      <c r="P70">
        <f>(Цены!P70-Цены!P$2)/Цены!P$2</f>
        <v>-7.4067694427697825E-2</v>
      </c>
      <c r="Q70">
        <f>(Цены!Q70-Цены!Q$2)/Цены!Q$2</f>
        <v>-0.11898781281979712</v>
      </c>
      <c r="R70">
        <f>(Цены!R70-Цены!R$2)/Цены!R$2</f>
        <v>-0.19058481957693899</v>
      </c>
      <c r="S70">
        <f>(Цены!S70-Цены!S$2)/Цены!S$2</f>
        <v>-3.3141210374639719E-2</v>
      </c>
      <c r="T70">
        <f>(Цены!T70-Цены!T$2)/Цены!T$2</f>
        <v>-0.10179640718562874</v>
      </c>
      <c r="U70">
        <f>(Цены!U70-Цены!U$2)/Цены!U$2</f>
        <v>-0.15089067411805798</v>
      </c>
      <c r="V70">
        <f>(Цены!V70-Цены!V$2)/Цены!V$2</f>
        <v>-0.4061475409836065</v>
      </c>
      <c r="W70">
        <f>(Цены!W70-Цены!W$2)/Цены!W$2</f>
        <v>-5.3026315789473699E-2</v>
      </c>
      <c r="X70">
        <f>(Цены!X70-Цены!X$2)/Цены!X$2</f>
        <v>5.5826936496858543E-3</v>
      </c>
      <c r="Y70">
        <f>(Цены!Y70-Цены!Y$2)/Цены!Y$2</f>
        <v>-0.17181869903280866</v>
      </c>
      <c r="Z70">
        <f>(Цены!Z70-Цены!Z$2)/Цены!Z$2</f>
        <v>-0.18833777326736859</v>
      </c>
      <c r="AA70">
        <f>(Цены!AA70-Цены!AA$2)/Цены!AA$2</f>
        <v>7.1679344645991808E-2</v>
      </c>
      <c r="AB70">
        <f>(Цены!AB70-Цены!AB$2)/Цены!AB$2</f>
        <v>-0.10955477738869435</v>
      </c>
      <c r="AC70">
        <f>(Цены!AD70-Цены!AD$2)/Цены!AD$2</f>
        <v>-9.3172119487908975E-2</v>
      </c>
      <c r="AD70">
        <f>(Цены!AE70-Цены!AE$2)/Цены!AE$2</f>
        <v>-0.22408376963350785</v>
      </c>
      <c r="AE70">
        <f>(Цены!AF70-Цены!AF$2)/Цены!AF$2</f>
        <v>7.8513478147070005E-4</v>
      </c>
      <c r="AF70">
        <f>(Цены!AG70-Цены!AG$2)/Цены!AG$2</f>
        <v>-8.1785283474065149E-2</v>
      </c>
      <c r="AG70">
        <f>(Цены!AH70-Цены!AH$2)/Цены!AH$2</f>
        <v>-0.10558510638297869</v>
      </c>
      <c r="AH70">
        <f>(Цены!AI70-Цены!AI$2)/Цены!AI$2</f>
        <v>5.633802816901414E-3</v>
      </c>
      <c r="AI70">
        <f>(Цены!AJ70-Цены!AJ$2)/Цены!AJ$2</f>
        <v>-5.4441260744985676E-2</v>
      </c>
      <c r="AJ70">
        <f>(Цены!AK70-Цены!AK$2)/Цены!AK$2</f>
        <v>-0.16878150530158179</v>
      </c>
      <c r="AK70">
        <f>(Цены!AL70-Цены!AL$2)/Цены!AL$2</f>
        <v>-0.12974404236540149</v>
      </c>
      <c r="AL70">
        <f>(Цены!AM70-Цены!AM$2)/Цены!AM$2</f>
        <v>-0.15006100040666936</v>
      </c>
      <c r="AM70">
        <f>(Цены!AN70-Цены!AN$2)/Цены!AN$2</f>
        <v>6.5173116089613028E-2</v>
      </c>
      <c r="AN70">
        <f>(Цены!AO70-Цены!AO$2)/Цены!AO$2</f>
        <v>-0.27197802197802196</v>
      </c>
      <c r="AO70">
        <f>(Цены!AP70-Цены!AP$2)/Цены!AP$2</f>
        <v>0.34750911300121506</v>
      </c>
      <c r="AP70">
        <f>(Цены!AQ70-Цены!AQ$2)/Цены!AQ$2</f>
        <v>-0.13622291021671826</v>
      </c>
      <c r="AQ70">
        <f>(Цены!AR70-Цены!AR$2)/Цены!AR$2</f>
        <v>0.14466737064413943</v>
      </c>
      <c r="AR70">
        <f>(Цены!AS70-Цены!AS$2)/Цены!AS$2</f>
        <v>-0.16611084857895089</v>
      </c>
      <c r="AS70">
        <f>(Цены!AU70-Цены!AU$2)/Цены!AU$2</f>
        <v>0.12180746561886056</v>
      </c>
      <c r="AT70">
        <f>(Цены!AV70-Цены!AV$2)/Цены!AV$2</f>
        <v>-0.22554496658998796</v>
      </c>
      <c r="AU70">
        <f>(Цены!AW70-Цены!AW$2)/Цены!AW$2</f>
        <v>-0.27668264961818512</v>
      </c>
      <c r="AV70">
        <f>(Цены!AX70-Цены!AX$2)/Цены!AX$2</f>
        <v>-1.5231788079470199E-2</v>
      </c>
    </row>
    <row r="71" spans="1:48" x14ac:dyDescent="0.2">
      <c r="A71" s="1" t="s">
        <v>134</v>
      </c>
      <c r="B71" s="2">
        <v>69</v>
      </c>
      <c r="C71">
        <f>(Цены!B71-Цены!B$2)/Цены!B$2</f>
        <v>-0.10372223763953907</v>
      </c>
      <c r="D71">
        <f>(Цены!C71-Цены!C$2)/Цены!C$2</f>
        <v>-5.0400916380297728E-2</v>
      </c>
      <c r="E71">
        <f>(Цены!D71-Цены!D$2)/Цены!D$2</f>
        <v>-0.10868700265251999</v>
      </c>
      <c r="F71">
        <f>(Цены!E71-Цены!E$2)/Цены!E$2</f>
        <v>-0.17502934272300469</v>
      </c>
      <c r="G71">
        <f>(Цены!F71-Цены!F$2)/Цены!F$2</f>
        <v>-0.10304952926729431</v>
      </c>
      <c r="H71">
        <f>(Цены!G71-Цены!G$2)/Цены!G$2</f>
        <v>-9.9378881987577591E-2</v>
      </c>
      <c r="I71">
        <f>(Цены!H71-Цены!H$2)/Цены!H$2</f>
        <v>-0.11697176543592915</v>
      </c>
      <c r="J71">
        <f>(Цены!J71-Цены!J$2)/Цены!J$2</f>
        <v>-0.12517814726840854</v>
      </c>
      <c r="K71">
        <f>(Цены!K71-Цены!K$2)/Цены!K$2</f>
        <v>-0.21691729323308273</v>
      </c>
      <c r="L71">
        <f>(Цены!L71-Цены!L$2)/Цены!L$2</f>
        <v>-7.532485174638838E-2</v>
      </c>
      <c r="M71">
        <f>(Цены!M71-Цены!M$2)/Цены!M$2</f>
        <v>-7.3638501899764869E-2</v>
      </c>
      <c r="N71">
        <f>(Цены!N71-Цены!N$2)/Цены!N$2</f>
        <v>-0.1448529411764706</v>
      </c>
      <c r="O71">
        <f>(Цены!O71-Цены!O$2)/Цены!O$2</f>
        <v>-1.9704433497536856E-2</v>
      </c>
      <c r="P71">
        <f>(Цены!P71-Цены!P$2)/Цены!P$2</f>
        <v>-7.8546206183791267E-2</v>
      </c>
      <c r="Q71">
        <f>(Цены!Q71-Цены!Q$2)/Цены!Q$2</f>
        <v>-0.13098892920271651</v>
      </c>
      <c r="R71">
        <f>(Цены!R71-Цены!R$2)/Цены!R$2</f>
        <v>-0.19608046453753633</v>
      </c>
      <c r="S71">
        <f>(Цены!S71-Цены!S$2)/Цены!S$2</f>
        <v>-5.2867435158501522E-2</v>
      </c>
      <c r="T71">
        <f>(Цены!T71-Цены!T$2)/Цены!T$2</f>
        <v>-9.988023952095812E-2</v>
      </c>
      <c r="U71">
        <f>(Цены!U71-Цены!U$2)/Цены!U$2</f>
        <v>-0.14669926650366749</v>
      </c>
      <c r="V71">
        <f>(Цены!V71-Цены!V$2)/Цены!V$2</f>
        <v>-0.40594262295081968</v>
      </c>
      <c r="W71">
        <f>(Цены!W71-Цены!W$2)/Цены!W$2</f>
        <v>-5.7894736842105339E-2</v>
      </c>
      <c r="X71">
        <f>(Цены!X71-Цены!X$2)/Цены!X$2</f>
        <v>3.9427773900907029E-2</v>
      </c>
      <c r="Y71">
        <f>(Цены!Y71-Цены!Y$2)/Цены!Y$2</f>
        <v>-0.15512990707377211</v>
      </c>
      <c r="Z71">
        <f>(Цены!Z71-Цены!Z$2)/Цены!Z$2</f>
        <v>-0.19002917670937464</v>
      </c>
      <c r="AA71">
        <f>(Цены!AA71-Цены!AA$2)/Цены!AA$2</f>
        <v>9.7717963721474482E-2</v>
      </c>
      <c r="AB71">
        <f>(Цены!AB71-Цены!AB$2)/Цены!AB$2</f>
        <v>-0.10155077538769385</v>
      </c>
      <c r="AC71">
        <f>(Цены!AD71-Цены!AD$2)/Цены!AD$2</f>
        <v>-0.10917496443812232</v>
      </c>
      <c r="AD71">
        <f>(Цены!AE71-Цены!AE$2)/Цены!AE$2</f>
        <v>-0.218848167539267</v>
      </c>
      <c r="AE71">
        <f>(Цены!AF71-Цены!AF$2)/Цены!AF$2</f>
        <v>2.3554043444123977E-3</v>
      </c>
      <c r="AF71">
        <f>(Цены!AG71-Цены!AG$2)/Цены!AG$2</f>
        <v>-8.5283474065138809E-2</v>
      </c>
      <c r="AG71">
        <f>(Цены!AH71-Цены!AH$2)/Цены!AH$2</f>
        <v>-0.12686170212765954</v>
      </c>
      <c r="AH71">
        <f>(Цены!AI71-Цены!AI$2)/Цены!AI$2</f>
        <v>0</v>
      </c>
      <c r="AI71">
        <f>(Цены!AJ71-Цены!AJ$2)/Цены!AJ$2</f>
        <v>-5.0143266475644696E-2</v>
      </c>
      <c r="AJ71">
        <f>(Цены!AK71-Цены!AK$2)/Цены!AK$2</f>
        <v>-0.17086737354423787</v>
      </c>
      <c r="AK71">
        <f>(Цены!AL71-Цены!AL$2)/Цены!AL$2</f>
        <v>-7.6493086201824073E-2</v>
      </c>
      <c r="AL71">
        <f>(Цены!AM71-Цены!AM$2)/Цены!AM$2</f>
        <v>-0.14897654873254709</v>
      </c>
      <c r="AM71">
        <f>(Цены!AN71-Цены!AN$2)/Цены!AN$2</f>
        <v>6.6530889341479979E-2</v>
      </c>
      <c r="AN71">
        <f>(Цены!AO71-Цены!AO$2)/Цены!AO$2</f>
        <v>-0.27197802197802196</v>
      </c>
      <c r="AO71">
        <f>(Цены!AP71-Цены!AP$2)/Цены!AP$2</f>
        <v>0.3462940461725395</v>
      </c>
      <c r="AP71">
        <f>(Цены!AQ71-Цены!AQ$2)/Цены!AQ$2</f>
        <v>-0.14241486068111456</v>
      </c>
      <c r="AQ71">
        <f>(Цены!AR71-Цены!AR$2)/Цены!AR$2</f>
        <v>0.13410770855332632</v>
      </c>
      <c r="AR71">
        <f>(Цены!AS71-Цены!AS$2)/Цены!AS$2</f>
        <v>-0.17807331398096268</v>
      </c>
      <c r="AS71">
        <f>(Цены!AU71-Цены!AU$2)/Цены!AU$2</f>
        <v>0.12082514734774065</v>
      </c>
      <c r="AT71">
        <f>(Цены!AV71-Цены!AV$2)/Цены!AV$2</f>
        <v>-0.22554496658998796</v>
      </c>
      <c r="AU71">
        <f>(Цены!AW71-Цены!AW$2)/Цены!AW$2</f>
        <v>-0.2848517137275795</v>
      </c>
      <c r="AV71">
        <f>(Цены!AX71-Цены!AX$2)/Цены!AX$2</f>
        <v>-1.7218543046357615E-2</v>
      </c>
    </row>
    <row r="72" spans="1:48" x14ac:dyDescent="0.2">
      <c r="A72" s="1" t="s">
        <v>135</v>
      </c>
      <c r="B72" s="2">
        <v>70</v>
      </c>
      <c r="C72">
        <f>(Цены!B72-Цены!B$2)/Цены!B$2</f>
        <v>-0.10372223763953907</v>
      </c>
      <c r="D72">
        <f>(Цены!C72-Цены!C$2)/Цены!C$2</f>
        <v>-5.0400916380297728E-2</v>
      </c>
      <c r="E72">
        <f>(Цены!D72-Цены!D$2)/Цены!D$2</f>
        <v>-0.10868700265251999</v>
      </c>
      <c r="F72">
        <f>(Цены!E72-Цены!E$2)/Цены!E$2</f>
        <v>-0.17502934272300469</v>
      </c>
      <c r="G72">
        <f>(Цены!F72-Цены!F$2)/Цены!F$2</f>
        <v>-0.10304952926729431</v>
      </c>
      <c r="H72">
        <f>(Цены!G72-Цены!G$2)/Цены!G$2</f>
        <v>-9.9378881987577591E-2</v>
      </c>
      <c r="I72">
        <f>(Цены!H72-Цены!H$2)/Цены!H$2</f>
        <v>-0.11697176543592915</v>
      </c>
      <c r="J72">
        <f>(Цены!J72-Цены!J$2)/Цены!J$2</f>
        <v>-0.12517814726840854</v>
      </c>
      <c r="K72">
        <f>(Цены!K72-Цены!K$2)/Цены!K$2</f>
        <v>-0.21691729323308273</v>
      </c>
      <c r="L72">
        <f>(Цены!L72-Цены!L$2)/Цены!L$2</f>
        <v>-7.532485174638838E-2</v>
      </c>
      <c r="M72">
        <f>(Цены!M72-Цены!M$2)/Цены!M$2</f>
        <v>-7.3638501899764869E-2</v>
      </c>
      <c r="N72">
        <f>(Цены!N72-Цены!N$2)/Цены!N$2</f>
        <v>-0.1448529411764706</v>
      </c>
      <c r="O72">
        <f>(Цены!O72-Цены!O$2)/Цены!O$2</f>
        <v>-1.9704433497536856E-2</v>
      </c>
      <c r="P72">
        <f>(Цены!P72-Цены!P$2)/Цены!P$2</f>
        <v>-7.8546206183791267E-2</v>
      </c>
      <c r="Q72">
        <f>(Цены!Q72-Цены!Q$2)/Цены!Q$2</f>
        <v>-0.13098892920271651</v>
      </c>
      <c r="R72">
        <f>(Цены!R72-Цены!R$2)/Цены!R$2</f>
        <v>-0.19608046453753633</v>
      </c>
      <c r="S72">
        <f>(Цены!S72-Цены!S$2)/Цены!S$2</f>
        <v>-5.2867435158501522E-2</v>
      </c>
      <c r="T72">
        <f>(Цены!T72-Цены!T$2)/Цены!T$2</f>
        <v>-9.988023952095812E-2</v>
      </c>
      <c r="U72">
        <f>(Цены!U72-Цены!U$2)/Цены!U$2</f>
        <v>-0.14669926650366749</v>
      </c>
      <c r="V72">
        <f>(Цены!V72-Цены!V$2)/Цены!V$2</f>
        <v>-0.40594262295081968</v>
      </c>
      <c r="W72">
        <f>(Цены!W72-Цены!W$2)/Цены!W$2</f>
        <v>-5.7894736842105339E-2</v>
      </c>
      <c r="X72">
        <f>(Цены!X72-Цены!X$2)/Цены!X$2</f>
        <v>3.9427773900907029E-2</v>
      </c>
      <c r="Y72">
        <f>(Цены!Y72-Цены!Y$2)/Цены!Y$2</f>
        <v>-0.15512990707377211</v>
      </c>
      <c r="Z72">
        <f>(Цены!Z72-Цены!Z$2)/Цены!Z$2</f>
        <v>-0.19002917670937464</v>
      </c>
      <c r="AA72">
        <f>(Цены!AA72-Цены!AA$2)/Цены!AA$2</f>
        <v>9.7717963721474482E-2</v>
      </c>
      <c r="AB72">
        <f>(Цены!AB72-Цены!AB$2)/Цены!AB$2</f>
        <v>-0.10155077538769385</v>
      </c>
      <c r="AC72">
        <f>(Цены!AD72-Цены!AD$2)/Цены!AD$2</f>
        <v>-0.10917496443812232</v>
      </c>
      <c r="AD72">
        <f>(Цены!AE72-Цены!AE$2)/Цены!AE$2</f>
        <v>-0.218848167539267</v>
      </c>
      <c r="AE72">
        <f>(Цены!AF72-Цены!AF$2)/Цены!AF$2</f>
        <v>2.3554043444123977E-3</v>
      </c>
      <c r="AF72">
        <f>(Цены!AG72-Цены!AG$2)/Цены!AG$2</f>
        <v>-8.5283474065138809E-2</v>
      </c>
      <c r="AG72">
        <f>(Цены!AH72-Цены!AH$2)/Цены!AH$2</f>
        <v>-0.12686170212765954</v>
      </c>
      <c r="AH72">
        <f>(Цены!AI72-Цены!AI$2)/Цены!AI$2</f>
        <v>0</v>
      </c>
      <c r="AI72">
        <f>(Цены!AJ72-Цены!AJ$2)/Цены!AJ$2</f>
        <v>-5.0143266475644696E-2</v>
      </c>
      <c r="AJ72">
        <f>(Цены!AK72-Цены!AK$2)/Цены!AK$2</f>
        <v>-0.17086737354423787</v>
      </c>
      <c r="AK72">
        <f>(Цены!AL72-Цены!AL$2)/Цены!AL$2</f>
        <v>-7.6493086201824073E-2</v>
      </c>
      <c r="AL72">
        <f>(Цены!AM72-Цены!AM$2)/Цены!AM$2</f>
        <v>-0.14897654873254709</v>
      </c>
      <c r="AM72">
        <f>(Цены!AN72-Цены!AN$2)/Цены!AN$2</f>
        <v>6.6530889341479979E-2</v>
      </c>
      <c r="AN72">
        <f>(Цены!AO72-Цены!AO$2)/Цены!AO$2</f>
        <v>-0.27197802197802196</v>
      </c>
      <c r="AO72">
        <f>(Цены!AP72-Цены!AP$2)/Цены!AP$2</f>
        <v>0.3462940461725395</v>
      </c>
      <c r="AP72">
        <f>(Цены!AQ72-Цены!AQ$2)/Цены!AQ$2</f>
        <v>-0.14241486068111456</v>
      </c>
      <c r="AQ72">
        <f>(Цены!AR72-Цены!AR$2)/Цены!AR$2</f>
        <v>0.13410770855332632</v>
      </c>
      <c r="AR72">
        <f>(Цены!AS72-Цены!AS$2)/Цены!AS$2</f>
        <v>-0.17807331398096268</v>
      </c>
      <c r="AS72">
        <f>(Цены!AU72-Цены!AU$2)/Цены!AU$2</f>
        <v>0.12082514734774065</v>
      </c>
      <c r="AT72">
        <f>(Цены!AV72-Цены!AV$2)/Цены!AV$2</f>
        <v>-0.22554496658998796</v>
      </c>
      <c r="AU72">
        <f>(Цены!AW72-Цены!AW$2)/Цены!AW$2</f>
        <v>-0.2848517137275795</v>
      </c>
      <c r="AV72">
        <f>(Цены!AX72-Цены!AX$2)/Цены!AX$2</f>
        <v>-1.7218543046357615E-2</v>
      </c>
    </row>
    <row r="73" spans="1:48" x14ac:dyDescent="0.2">
      <c r="A73" s="1" t="s">
        <v>136</v>
      </c>
      <c r="B73" s="2">
        <v>71</v>
      </c>
      <c r="C73">
        <f>(Цены!B73-Цены!B$2)/Цены!B$2</f>
        <v>-0.10372223763953907</v>
      </c>
      <c r="D73">
        <f>(Цены!C73-Цены!C$2)/Цены!C$2</f>
        <v>-5.0400916380297728E-2</v>
      </c>
      <c r="E73">
        <f>(Цены!D73-Цены!D$2)/Цены!D$2</f>
        <v>-0.10868700265251999</v>
      </c>
      <c r="F73">
        <f>(Цены!E73-Цены!E$2)/Цены!E$2</f>
        <v>-0.17502934272300469</v>
      </c>
      <c r="G73">
        <f>(Цены!F73-Цены!F$2)/Цены!F$2</f>
        <v>-0.10304952926729431</v>
      </c>
      <c r="H73">
        <f>(Цены!G73-Цены!G$2)/Цены!G$2</f>
        <v>-9.9378881987577591E-2</v>
      </c>
      <c r="I73">
        <f>(Цены!H73-Цены!H$2)/Цены!H$2</f>
        <v>-0.11697176543592915</v>
      </c>
      <c r="J73">
        <f>(Цены!J73-Цены!J$2)/Цены!J$2</f>
        <v>-0.12517814726840854</v>
      </c>
      <c r="K73">
        <f>(Цены!K73-Цены!K$2)/Цены!K$2</f>
        <v>-0.21691729323308273</v>
      </c>
      <c r="L73">
        <f>(Цены!L73-Цены!L$2)/Цены!L$2</f>
        <v>-7.532485174638838E-2</v>
      </c>
      <c r="M73">
        <f>(Цены!M73-Цены!M$2)/Цены!M$2</f>
        <v>-7.3638501899764869E-2</v>
      </c>
      <c r="N73">
        <f>(Цены!N73-Цены!N$2)/Цены!N$2</f>
        <v>-0.1448529411764706</v>
      </c>
      <c r="O73">
        <f>(Цены!O73-Цены!O$2)/Цены!O$2</f>
        <v>-1.9704433497536856E-2</v>
      </c>
      <c r="P73">
        <f>(Цены!P73-Цены!P$2)/Цены!P$2</f>
        <v>-7.8546206183791267E-2</v>
      </c>
      <c r="Q73">
        <f>(Цены!Q73-Цены!Q$2)/Цены!Q$2</f>
        <v>-0.13098892920271651</v>
      </c>
      <c r="R73">
        <f>(Цены!R73-Цены!R$2)/Цены!R$2</f>
        <v>-0.19608046453753633</v>
      </c>
      <c r="S73">
        <f>(Цены!S73-Цены!S$2)/Цены!S$2</f>
        <v>-5.2867435158501522E-2</v>
      </c>
      <c r="T73">
        <f>(Цены!T73-Цены!T$2)/Цены!T$2</f>
        <v>-9.988023952095812E-2</v>
      </c>
      <c r="U73">
        <f>(Цены!U73-Цены!U$2)/Цены!U$2</f>
        <v>-0.14669926650366749</v>
      </c>
      <c r="V73">
        <f>(Цены!V73-Цены!V$2)/Цены!V$2</f>
        <v>-0.40594262295081968</v>
      </c>
      <c r="W73">
        <f>(Цены!W73-Цены!W$2)/Цены!W$2</f>
        <v>-5.7894736842105339E-2</v>
      </c>
      <c r="X73">
        <f>(Цены!X73-Цены!X$2)/Цены!X$2</f>
        <v>3.9427773900907029E-2</v>
      </c>
      <c r="Y73">
        <f>(Цены!Y73-Цены!Y$2)/Цены!Y$2</f>
        <v>-0.15512990707377211</v>
      </c>
      <c r="Z73">
        <f>(Цены!Z73-Цены!Z$2)/Цены!Z$2</f>
        <v>-0.19002917670937464</v>
      </c>
      <c r="AA73">
        <f>(Цены!AA73-Цены!AA$2)/Цены!AA$2</f>
        <v>9.7717963721474482E-2</v>
      </c>
      <c r="AB73">
        <f>(Цены!AB73-Цены!AB$2)/Цены!AB$2</f>
        <v>-0.10155077538769385</v>
      </c>
      <c r="AC73">
        <f>(Цены!AD73-Цены!AD$2)/Цены!AD$2</f>
        <v>-0.10917496443812232</v>
      </c>
      <c r="AD73">
        <f>(Цены!AE73-Цены!AE$2)/Цены!AE$2</f>
        <v>-0.218848167539267</v>
      </c>
      <c r="AE73">
        <f>(Цены!AF73-Цены!AF$2)/Цены!AF$2</f>
        <v>2.3554043444123977E-3</v>
      </c>
      <c r="AF73">
        <f>(Цены!AG73-Цены!AG$2)/Цены!AG$2</f>
        <v>-8.5283474065138809E-2</v>
      </c>
      <c r="AG73">
        <f>(Цены!AH73-Цены!AH$2)/Цены!AH$2</f>
        <v>-0.12686170212765954</v>
      </c>
      <c r="AH73">
        <f>(Цены!AI73-Цены!AI$2)/Цены!AI$2</f>
        <v>0</v>
      </c>
      <c r="AI73">
        <f>(Цены!AJ73-Цены!AJ$2)/Цены!AJ$2</f>
        <v>-5.0143266475644696E-2</v>
      </c>
      <c r="AJ73">
        <f>(Цены!AK73-Цены!AK$2)/Цены!AK$2</f>
        <v>-0.17086737354423787</v>
      </c>
      <c r="AK73">
        <f>(Цены!AL73-Цены!AL$2)/Цены!AL$2</f>
        <v>-7.6493086201824073E-2</v>
      </c>
      <c r="AL73">
        <f>(Цены!AM73-Цены!AM$2)/Цены!AM$2</f>
        <v>-0.14897654873254709</v>
      </c>
      <c r="AM73">
        <f>(Цены!AN73-Цены!AN$2)/Цены!AN$2</f>
        <v>6.6530889341479979E-2</v>
      </c>
      <c r="AN73">
        <f>(Цены!AO73-Цены!AO$2)/Цены!AO$2</f>
        <v>-0.27197802197802196</v>
      </c>
      <c r="AO73">
        <f>(Цены!AP73-Цены!AP$2)/Цены!AP$2</f>
        <v>0.3462940461725395</v>
      </c>
      <c r="AP73">
        <f>(Цены!AQ73-Цены!AQ$2)/Цены!AQ$2</f>
        <v>-0.14241486068111456</v>
      </c>
      <c r="AQ73">
        <f>(Цены!AR73-Цены!AR$2)/Цены!AR$2</f>
        <v>0.13410770855332632</v>
      </c>
      <c r="AR73">
        <f>(Цены!AS73-Цены!AS$2)/Цены!AS$2</f>
        <v>-0.17807331398096268</v>
      </c>
      <c r="AS73">
        <f>(Цены!AU73-Цены!AU$2)/Цены!AU$2</f>
        <v>0.12082514734774065</v>
      </c>
      <c r="AT73">
        <f>(Цены!AV73-Цены!AV$2)/Цены!AV$2</f>
        <v>-0.22554496658998796</v>
      </c>
      <c r="AU73">
        <f>(Цены!AW73-Цены!AW$2)/Цены!AW$2</f>
        <v>-0.2848517137275795</v>
      </c>
      <c r="AV73">
        <f>(Цены!AX73-Цены!AX$2)/Цены!AX$2</f>
        <v>-1.7218543046357615E-2</v>
      </c>
    </row>
    <row r="74" spans="1:48" x14ac:dyDescent="0.2">
      <c r="A74" s="1" t="s">
        <v>137</v>
      </c>
      <c r="B74" s="2">
        <v>72</v>
      </c>
      <c r="C74">
        <f>(Цены!B74-Цены!B$2)/Цены!B$2</f>
        <v>-9.2174169926683133E-2</v>
      </c>
      <c r="D74">
        <f>(Цены!C74-Цены!C$2)/Цены!C$2</f>
        <v>-2.1764032073310326E-2</v>
      </c>
      <c r="E74">
        <f>(Цены!D74-Цены!D$2)/Цены!D$2</f>
        <v>-0.11014588859416453</v>
      </c>
      <c r="F74">
        <f>(Цены!E74-Цены!E$2)/Цены!E$2</f>
        <v>-0.14407276995305165</v>
      </c>
      <c r="G74">
        <f>(Цены!F74-Цены!F$2)/Цены!F$2</f>
        <v>-0.11399918133442488</v>
      </c>
      <c r="H74">
        <f>(Цены!G74-Цены!G$2)/Цены!G$2</f>
        <v>-0.10455486542443058</v>
      </c>
      <c r="I74">
        <f>(Цены!H74-Цены!H$2)/Цены!H$2</f>
        <v>-9.4011790257523986E-2</v>
      </c>
      <c r="J74">
        <f>(Цены!J74-Цены!J$2)/Цены!J$2</f>
        <v>-0.11282660332541568</v>
      </c>
      <c r="K74">
        <f>(Цены!K74-Цены!K$2)/Цены!K$2</f>
        <v>-0.21040100250626564</v>
      </c>
      <c r="L74">
        <f>(Цены!L74-Цены!L$2)/Цены!L$2</f>
        <v>-5.0388986128164177E-2</v>
      </c>
      <c r="M74">
        <f>(Цены!M74-Цены!M$2)/Цены!M$2</f>
        <v>-7.3638501899764869E-2</v>
      </c>
      <c r="N74">
        <f>(Цены!N74-Цены!N$2)/Цены!N$2</f>
        <v>-0.14169117647058821</v>
      </c>
      <c r="O74">
        <f>(Цены!O74-Цены!O$2)/Цены!O$2</f>
        <v>1.3793103448276313E-2</v>
      </c>
      <c r="P74">
        <f>(Цены!P74-Цены!P$2)/Цены!P$2</f>
        <v>-6.3732667298251708E-2</v>
      </c>
      <c r="Q74">
        <f>(Цены!Q74-Цены!Q$2)/Цены!Q$2</f>
        <v>-0.12122057865847988</v>
      </c>
      <c r="R74">
        <f>(Цены!R74-Цены!R$2)/Цены!R$2</f>
        <v>-0.19162173372044791</v>
      </c>
      <c r="S74">
        <f>(Цены!S74-Цены!S$2)/Цены!S$2</f>
        <v>-3.6023054755043256E-2</v>
      </c>
      <c r="T74">
        <f>(Цены!T74-Цены!T$2)/Цены!T$2</f>
        <v>-9.9161676646706595E-2</v>
      </c>
      <c r="U74">
        <f>(Цены!U74-Цены!U$2)/Цены!U$2</f>
        <v>-0.13412504366049599</v>
      </c>
      <c r="V74">
        <f>(Цены!V74-Цены!V$2)/Цены!V$2</f>
        <v>-0.35450819672131145</v>
      </c>
      <c r="W74">
        <f>(Цены!W74-Цены!W$2)/Цены!W$2</f>
        <v>-7.3947368421052692E-2</v>
      </c>
      <c r="X74">
        <f>(Цены!X74-Цены!X$2)/Цены!X$2</f>
        <v>4.5359385903696947E-3</v>
      </c>
      <c r="Y74">
        <f>(Цены!Y74-Цены!Y$2)/Цены!Y$2</f>
        <v>-0.14925090081547504</v>
      </c>
      <c r="Z74">
        <f>(Цены!Z74-Цены!Z$2)/Цены!Z$2</f>
        <v>-0.18305213751109981</v>
      </c>
      <c r="AA74">
        <f>(Цены!AA74-Цены!AA$2)/Цены!AA$2</f>
        <v>0.11059098888238739</v>
      </c>
      <c r="AB74">
        <f>(Цены!AB74-Цены!AB$2)/Цены!AB$2</f>
        <v>-0.10455227613806903</v>
      </c>
      <c r="AC74">
        <f>(Цены!AD74-Цены!AD$2)/Цены!AD$2</f>
        <v>-7.539118065433846E-2</v>
      </c>
      <c r="AD74">
        <f>(Цены!AE74-Цены!AE$2)/Цены!AE$2</f>
        <v>-0.22513089005235601</v>
      </c>
      <c r="AE74">
        <f>(Цены!AF74-Цены!AF$2)/Цены!AF$2</f>
        <v>6.2810782517664938E-3</v>
      </c>
      <c r="AF74">
        <f>(Цены!AG74-Цены!AG$2)/Цены!AG$2</f>
        <v>-8.6127864897466835E-2</v>
      </c>
      <c r="AG74">
        <f>(Цены!AH74-Цены!AH$2)/Цены!AH$2</f>
        <v>-0.12446808510638301</v>
      </c>
      <c r="AH74">
        <f>(Цены!AI74-Цены!AI$2)/Цены!AI$2</f>
        <v>1.5492957746478919E-2</v>
      </c>
      <c r="AI74">
        <f>(Цены!AJ74-Цены!AJ$2)/Цены!AJ$2</f>
        <v>-4.0114613180515762E-2</v>
      </c>
      <c r="AJ74">
        <f>(Цены!AK74-Цены!AK$2)/Цены!AK$2</f>
        <v>-0.16582652529115238</v>
      </c>
      <c r="AK74">
        <f>(Цены!AL74-Цены!AL$2)/Цены!AL$2</f>
        <v>-0.11150338334804348</v>
      </c>
      <c r="AL74">
        <f>(Цены!AM74-Цены!AM$2)/Цены!AM$2</f>
        <v>-0.1270164023315711</v>
      </c>
      <c r="AM74">
        <f>(Цены!AN74-Цены!AN$2)/Цены!AN$2</f>
        <v>8.4181941615750169E-2</v>
      </c>
      <c r="AN74">
        <f>(Цены!AO74-Цены!AO$2)/Цены!AO$2</f>
        <v>-0.30082417582417581</v>
      </c>
      <c r="AO74">
        <f>(Цены!AP74-Цены!AP$2)/Цены!AP$2</f>
        <v>0.38517618469015796</v>
      </c>
      <c r="AP74">
        <f>(Цены!AQ74-Цены!AQ$2)/Цены!AQ$2</f>
        <v>-0.13003095975232198</v>
      </c>
      <c r="AQ74">
        <f>(Цены!AR74-Цены!AR$2)/Цены!AR$2</f>
        <v>0.18796198521647303</v>
      </c>
      <c r="AR74">
        <f>(Цены!AS74-Цены!AS$2)/Цены!AS$2</f>
        <v>-0.15150205900222793</v>
      </c>
      <c r="AS74">
        <f>(Цены!AU74-Цены!AU$2)/Цены!AU$2</f>
        <v>0.11984282907662086</v>
      </c>
      <c r="AT74">
        <f>(Цены!AV74-Цены!AV$2)/Цены!AV$2</f>
        <v>-0.21864388213385921</v>
      </c>
      <c r="AU74">
        <f>(Цены!AW74-Цены!AW$2)/Цены!AW$2</f>
        <v>-0.30651749245249515</v>
      </c>
      <c r="AV74">
        <f>(Цены!AX74-Цены!AX$2)/Цены!AX$2</f>
        <v>-1.2582781456953643E-2</v>
      </c>
    </row>
    <row r="75" spans="1:48" x14ac:dyDescent="0.2">
      <c r="A75" s="1" t="s">
        <v>138</v>
      </c>
      <c r="B75" s="2">
        <v>73</v>
      </c>
      <c r="C75">
        <f>(Цены!B75-Цены!B$2)/Цены!B$2</f>
        <v>-0.10366404970145109</v>
      </c>
      <c r="D75">
        <f>(Цены!C75-Цены!C$2)/Цены!C$2</f>
        <v>-2.6517754868270307E-2</v>
      </c>
      <c r="E75">
        <f>(Цены!D75-Цены!D$2)/Цены!D$2</f>
        <v>-0.13063660477453592</v>
      </c>
      <c r="F75">
        <f>(Цены!E75-Цены!E$2)/Цены!E$2</f>
        <v>-0.16666666666666666</v>
      </c>
      <c r="G75">
        <f>(Цены!F75-Цены!F$2)/Цены!F$2</f>
        <v>-0.13016782644289807</v>
      </c>
      <c r="H75">
        <f>(Цены!G75-Цены!G$2)/Цены!G$2</f>
        <v>-0.1163302277432712</v>
      </c>
      <c r="I75">
        <f>(Цены!H75-Цены!H$2)/Цены!H$2</f>
        <v>-0.10952528699968966</v>
      </c>
      <c r="J75">
        <f>(Цены!J75-Цены!J$2)/Цены!J$2</f>
        <v>-0.11555819477434674</v>
      </c>
      <c r="K75">
        <f>(Цены!K75-Цены!K$2)/Цены!K$2</f>
        <v>-0.21716791979949868</v>
      </c>
      <c r="L75">
        <f>(Цены!L75-Цены!L$2)/Цены!L$2</f>
        <v>-6.3896131037905826E-2</v>
      </c>
      <c r="M75">
        <f>(Цены!M75-Цены!M$2)/Цены!M$2</f>
        <v>-8.4132440745431608E-2</v>
      </c>
      <c r="N75">
        <f>(Цены!N75-Цены!N$2)/Цены!N$2</f>
        <v>-0.15110294117647058</v>
      </c>
      <c r="O75">
        <f>(Цены!O75-Цены!O$2)/Цены!O$2</f>
        <v>1.2315270935962517E-3</v>
      </c>
      <c r="P75">
        <f>(Цены!P75-Цены!P$2)/Цены!P$2</f>
        <v>-9.2326242356386173E-2</v>
      </c>
      <c r="Q75">
        <f>(Цены!Q75-Цены!Q$2)/Цены!Q$2</f>
        <v>-0.12112754674853472</v>
      </c>
      <c r="R75">
        <f>(Цены!R75-Цены!R$2)/Цены!R$2</f>
        <v>-0.20582745748652012</v>
      </c>
      <c r="S75">
        <f>(Цены!S75-Цены!S$2)/Цены!S$2</f>
        <v>-5.060518731988474E-2</v>
      </c>
      <c r="T75">
        <f>(Цены!T75-Цены!T$2)/Цены!T$2</f>
        <v>-0.10167664670658677</v>
      </c>
      <c r="U75">
        <f>(Цены!U75-Цены!U$2)/Цены!U$2</f>
        <v>-0.16381418092909536</v>
      </c>
      <c r="V75">
        <f>(Цены!V75-Цены!V$2)/Цены!V$2</f>
        <v>-0.43606557377049177</v>
      </c>
      <c r="W75">
        <f>(Цены!W75-Цены!W$2)/Цены!W$2</f>
        <v>-0.10868421052631586</v>
      </c>
      <c r="X75">
        <f>(Цены!X75-Цены!X$2)/Цены!X$2</f>
        <v>-2.0935101186323191E-3</v>
      </c>
      <c r="Y75">
        <f>(Цены!Y75-Цены!Y$2)/Цены!Y$2</f>
        <v>-0.12611416650862886</v>
      </c>
      <c r="Z75">
        <f>(Цены!Z75-Цены!Z$2)/Цены!Z$2</f>
        <v>-0.19002917670937464</v>
      </c>
      <c r="AA75">
        <f>(Цены!AA75-Цены!AA$2)/Цены!AA$2</f>
        <v>9.7132826214160292E-2</v>
      </c>
      <c r="AB75">
        <f>(Цены!AB75-Цены!AB$2)/Цены!AB$2</f>
        <v>-0.1040520260130065</v>
      </c>
      <c r="AC75">
        <f>(Цены!AD75-Цены!AD$2)/Цены!AD$2</f>
        <v>-8.9615931721194808E-2</v>
      </c>
      <c r="AD75">
        <f>(Цены!AE75-Цены!AE$2)/Цены!AE$2</f>
        <v>-0.23769633507853402</v>
      </c>
      <c r="AE75">
        <f>(Цены!AF75-Цены!AF$2)/Цены!AF$2</f>
        <v>6.5427898455901589E-3</v>
      </c>
      <c r="AF75">
        <f>(Цены!AG75-Цены!AG$2)/Цены!AG$2</f>
        <v>-8.3232810615199104E-2</v>
      </c>
      <c r="AG75">
        <f>(Цены!AH75-Цены!AH$2)/Цены!AH$2</f>
        <v>-0.15079787234042549</v>
      </c>
      <c r="AH75">
        <f>(Цены!AI75-Цены!AI$2)/Цены!AI$2</f>
        <v>1.1971830985915489E-2</v>
      </c>
      <c r="AI75">
        <f>(Цены!AJ75-Цены!AJ$2)/Цены!AJ$2</f>
        <v>-5.4441260744985676E-2</v>
      </c>
      <c r="AJ75">
        <f>(Цены!AK75-Цены!AK$2)/Цены!AK$2</f>
        <v>-0.17608204415087778</v>
      </c>
      <c r="AK75">
        <f>(Цены!AL75-Цены!AL$2)/Цены!AL$2</f>
        <v>-0.12327155045601641</v>
      </c>
      <c r="AL75">
        <f>(Цены!AM75-Цены!AM$2)/Цены!AM$2</f>
        <v>-0.11752745018300122</v>
      </c>
      <c r="AM75">
        <f>(Цены!AN75-Цены!AN$2)/Цены!AN$2</f>
        <v>8.8934147997284455E-2</v>
      </c>
      <c r="AN75">
        <f>(Цены!AO75-Цены!AO$2)/Цены!AO$2</f>
        <v>-0.30357142857142849</v>
      </c>
      <c r="AO75">
        <f>(Цены!AP75-Цены!AP$2)/Цены!AP$2</f>
        <v>0.45808019441069259</v>
      </c>
      <c r="AP75">
        <f>(Цены!AQ75-Цены!AQ$2)/Цены!AQ$2</f>
        <v>-0.14086687306501547</v>
      </c>
      <c r="AQ75">
        <f>(Цены!AR75-Цены!AR$2)/Цены!AR$2</f>
        <v>0.19746568109820489</v>
      </c>
      <c r="AR75">
        <f>(Цены!AS75-Цены!AS$2)/Цены!AS$2</f>
        <v>-0.15348680213326127</v>
      </c>
      <c r="AS75">
        <f>(Цены!AU75-Цены!AU$2)/Цены!AU$2</f>
        <v>9.3320235756385067E-2</v>
      </c>
      <c r="AT75">
        <f>(Цены!AV75-Цены!AV$2)/Цены!AV$2</f>
        <v>-0.2375944791324352</v>
      </c>
      <c r="AU75">
        <f>(Цены!AW75-Цены!AW$2)/Цены!AW$2</f>
        <v>-0.32711774107618541</v>
      </c>
      <c r="AV75">
        <f>(Цены!AX75-Цены!AX$2)/Цены!AX$2</f>
        <v>-1.5894039735099338E-2</v>
      </c>
    </row>
    <row r="76" spans="1:48" x14ac:dyDescent="0.2">
      <c r="A76" s="1" t="s">
        <v>139</v>
      </c>
      <c r="B76" s="2">
        <v>74</v>
      </c>
      <c r="C76">
        <f>(Цены!B76-Цены!B$2)/Цены!B$2</f>
        <v>-0.10722694191053379</v>
      </c>
      <c r="D76">
        <f>(Цены!C76-Цены!C$2)/Цены!C$2</f>
        <v>-3.9518900343642645E-2</v>
      </c>
      <c r="E76">
        <f>(Цены!D76-Цены!D$2)/Цены!D$2</f>
        <v>-0.12135278514588867</v>
      </c>
      <c r="F76">
        <f>(Цены!E76-Цены!E$2)/Цены!E$2</f>
        <v>-0.1619718309859155</v>
      </c>
      <c r="G76">
        <f>(Цены!F76-Цены!F$2)/Цены!F$2</f>
        <v>-0.1398894801473598</v>
      </c>
      <c r="H76">
        <f>(Цены!G76-Цены!G$2)/Цены!G$2</f>
        <v>-0.12396480331262935</v>
      </c>
      <c r="I76">
        <f>(Цены!H76-Цены!H$2)/Цены!H$2</f>
        <v>-0.11573068569655592</v>
      </c>
      <c r="J76">
        <f>(Цены!J76-Цены!J$2)/Цены!J$2</f>
        <v>-0.10807600950118765</v>
      </c>
      <c r="K76">
        <f>(Цены!K76-Цены!K$2)/Цены!K$2</f>
        <v>-0.22932330827067668</v>
      </c>
      <c r="L76">
        <f>(Цены!L76-Цены!L$2)/Цены!L$2</f>
        <v>-6.6492855090258332E-2</v>
      </c>
      <c r="M76">
        <f>(Цены!M76-Цены!M$2)/Цены!M$2</f>
        <v>-9.2093359869730468E-2</v>
      </c>
      <c r="N76">
        <f>(Цены!N76-Цены!N$2)/Цены!N$2</f>
        <v>-0.15183823529411769</v>
      </c>
      <c r="O76">
        <f>(Цены!O76-Цены!O$2)/Цены!O$2</f>
        <v>9.8522167487684834E-3</v>
      </c>
      <c r="P76">
        <f>(Цены!P76-Цены!P$2)/Цены!P$2</f>
        <v>-0.10602015330290245</v>
      </c>
      <c r="Q76">
        <f>(Цены!Q76-Цены!Q$2)/Цены!Q$2</f>
        <v>-0.13396595032096001</v>
      </c>
      <c r="R76">
        <f>(Цены!R76-Цены!R$2)/Цены!R$2</f>
        <v>-0.22386976358357527</v>
      </c>
      <c r="S76">
        <f>(Цены!S76-Цены!S$2)/Цены!S$2</f>
        <v>-5.3760806916426485E-2</v>
      </c>
      <c r="T76">
        <f>(Цены!T76-Цены!T$2)/Цены!T$2</f>
        <v>-0.10203592814371253</v>
      </c>
      <c r="U76">
        <f>(Цены!U76-Цены!U$2)/Цены!U$2</f>
        <v>-0.1673070206077541</v>
      </c>
      <c r="V76">
        <f>(Цены!V76-Цены!V$2)/Цены!V$2</f>
        <v>-0.4536885245901639</v>
      </c>
      <c r="W76">
        <f>(Цены!W76-Цены!W$2)/Цены!W$2</f>
        <v>-9.986842105263162E-2</v>
      </c>
      <c r="X76">
        <f>(Цены!X76-Цены!X$2)/Цены!X$2</f>
        <v>3.1053733426378145E-2</v>
      </c>
      <c r="Y76">
        <f>(Цены!Y76-Цены!Y$2)/Цены!Y$2</f>
        <v>-0.16100891333206899</v>
      </c>
      <c r="Z76">
        <f>(Цены!Z76-Цены!Z$2)/Цены!Z$2</f>
        <v>-0.17544082202207281</v>
      </c>
      <c r="AA76">
        <f>(Цены!AA76-Цены!AA$2)/Цены!AA$2</f>
        <v>7.7530719719134E-2</v>
      </c>
      <c r="AB76">
        <f>(Цены!AB76-Цены!AB$2)/Цены!AB$2</f>
        <v>-0.10955477738869435</v>
      </c>
      <c r="AC76">
        <f>(Цены!AD76-Цены!AD$2)/Цены!AD$2</f>
        <v>-9.4238975817923079E-2</v>
      </c>
      <c r="AD76">
        <f>(Цены!AE76-Цены!AE$2)/Цены!AE$2</f>
        <v>-0.2418848167539267</v>
      </c>
      <c r="AE76">
        <f>(Цены!AF76-Цены!AF$2)/Цены!AF$2</f>
        <v>8.6364825961788919E-3</v>
      </c>
      <c r="AF76">
        <f>(Цены!AG76-Цены!AG$2)/Цены!AG$2</f>
        <v>-9.2159227985524728E-2</v>
      </c>
      <c r="AG76">
        <f>(Цены!AH76-Цены!AH$2)/Цены!AH$2</f>
        <v>-0.14202127659574462</v>
      </c>
      <c r="AH76">
        <f>(Цены!AI76-Цены!AI$2)/Цены!AI$2</f>
        <v>1.8309859154929688E-2</v>
      </c>
      <c r="AI76">
        <f>(Цены!AJ76-Цены!AJ$2)/Цены!AJ$2</f>
        <v>-5.530085959885387E-2</v>
      </c>
      <c r="AJ76">
        <f>(Цены!AK76-Цены!AK$2)/Цены!AK$2</f>
        <v>-0.16634799235181641</v>
      </c>
      <c r="AK76">
        <f>(Цены!AL76-Цены!AL$2)/Цены!AL$2</f>
        <v>-0.12591938805531025</v>
      </c>
      <c r="AL76">
        <f>(Цены!AM76-Цены!AM$2)/Цены!AM$2</f>
        <v>-0.15006100040666936</v>
      </c>
      <c r="AM76">
        <f>(Цены!AN76-Цены!AN$2)/Цены!AN$2</f>
        <v>8.4860828241683645E-2</v>
      </c>
      <c r="AN76">
        <f>(Цены!AO76-Цены!AO$2)/Цены!AO$2</f>
        <v>-0.29395604395604397</v>
      </c>
      <c r="AO76">
        <f>(Цены!AP76-Цены!AP$2)/Цены!AP$2</f>
        <v>0.42891859052247872</v>
      </c>
      <c r="AP76">
        <f>(Цены!AQ76-Цены!AQ$2)/Цены!AQ$2</f>
        <v>-0.15325077399380804</v>
      </c>
      <c r="AQ76">
        <f>(Цены!AR76-Цены!AR$2)/Цены!AR$2</f>
        <v>0.21330517423442452</v>
      </c>
      <c r="AR76">
        <f>(Цены!AS76-Цены!AS$2)/Цены!AS$2</f>
        <v>-0.15084047795854988</v>
      </c>
      <c r="AS76">
        <f>(Цены!AU76-Цены!AU$2)/Цены!AU$2</f>
        <v>9.7249508840864501E-2</v>
      </c>
      <c r="AT76">
        <f>(Цены!AV76-Цены!AV$2)/Цены!AV$2</f>
        <v>-0.23485595355460631</v>
      </c>
      <c r="AU76">
        <f>(Цены!AW76-Цены!AW$2)/Цены!AW$2</f>
        <v>-0.33368851003374189</v>
      </c>
      <c r="AV76">
        <f>(Цены!AX76-Цены!AX$2)/Цены!AX$2</f>
        <v>-1.5894039735099338E-2</v>
      </c>
    </row>
    <row r="77" spans="1:48" x14ac:dyDescent="0.2">
      <c r="A77" s="1" t="s">
        <v>140</v>
      </c>
      <c r="B77" s="2">
        <v>75</v>
      </c>
      <c r="C77">
        <f>(Цены!B77-Цены!B$2)/Цены!B$2</f>
        <v>-0.10340444197767373</v>
      </c>
      <c r="D77">
        <f>(Цены!C77-Цены!C$2)/Цены!C$2</f>
        <v>-1.861397479954181E-2</v>
      </c>
      <c r="E77">
        <f>(Цены!D77-Цены!D$2)/Цены!D$2</f>
        <v>-0.12798408488063667</v>
      </c>
      <c r="F77">
        <f>(Цены!E77-Цены!E$2)/Цены!E$2</f>
        <v>-0.15610328638497653</v>
      </c>
      <c r="G77">
        <f>(Цены!F77-Цены!F$2)/Цены!F$2</f>
        <v>-0.12709783053622595</v>
      </c>
      <c r="H77">
        <f>(Цены!G77-Цены!G$2)/Цены!G$2</f>
        <v>-0.1149068322981366</v>
      </c>
      <c r="I77">
        <f>(Цены!H77-Цены!H$2)/Цены!H$2</f>
        <v>-0.12441824387216874</v>
      </c>
      <c r="J77">
        <f>(Цены!J77-Цены!J$2)/Цены!J$2</f>
        <v>-8.1947743467933487E-2</v>
      </c>
      <c r="K77">
        <f>(Цены!K77-Цены!K$2)/Цены!K$2</f>
        <v>-0.21265664160401007</v>
      </c>
      <c r="L77">
        <f>(Цены!L77-Цены!L$2)/Цены!L$2</f>
        <v>-4.6233182685023175E-2</v>
      </c>
      <c r="M77">
        <f>(Цены!M77-Цены!M$2)/Цены!M$2</f>
        <v>-0.10801519811832828</v>
      </c>
      <c r="N77">
        <f>(Цены!N77-Цены!N$2)/Цены!N$2</f>
        <v>-0.1992647058823529</v>
      </c>
      <c r="O77">
        <f>(Цены!O77-Цены!O$2)/Цены!O$2</f>
        <v>-8.8669950738915256E-3</v>
      </c>
      <c r="P77">
        <f>(Цены!P77-Цены!P$2)/Цены!P$2</f>
        <v>-9.3101369391094674E-2</v>
      </c>
      <c r="Q77">
        <f>(Цены!Q77-Цены!Q$2)/Цены!Q$2</f>
        <v>-0.14410642850497718</v>
      </c>
      <c r="R77">
        <f>(Цены!R77-Цены!R$2)/Цены!R$2</f>
        <v>-0.23631273330568228</v>
      </c>
      <c r="S77">
        <f>(Цены!S77-Цены!S$2)/Цены!S$2</f>
        <v>-4.0345821325648366E-2</v>
      </c>
      <c r="T77">
        <f>(Цены!T77-Цены!T$2)/Цены!T$2</f>
        <v>-0.10059880239520964</v>
      </c>
      <c r="U77">
        <f>(Цены!U77-Цены!U$2)/Цены!U$2</f>
        <v>-0.17394341599720572</v>
      </c>
      <c r="V77">
        <f>(Цены!V77-Цены!V$2)/Цены!V$2</f>
        <v>-0.46454918032786885</v>
      </c>
      <c r="W77">
        <f>(Цены!W77-Цены!W$2)/Цены!W$2</f>
        <v>-0.12723684210526318</v>
      </c>
      <c r="X77">
        <f>(Цены!X77-Цены!X$2)/Цены!X$2</f>
        <v>3.1053733426378145E-2</v>
      </c>
      <c r="Y77">
        <f>(Цены!Y77-Цены!Y$2)/Цены!Y$2</f>
        <v>-0.16774132372463488</v>
      </c>
      <c r="Z77">
        <f>(Цены!Z77-Цены!Z$2)/Цены!Z$2</f>
        <v>-0.19616051418664643</v>
      </c>
      <c r="AA77">
        <f>(Цены!AA77-Цены!AA$2)/Цены!AA$2</f>
        <v>6.4365125804564077E-2</v>
      </c>
      <c r="AB77">
        <f>(Цены!AB77-Цены!AB$2)/Цены!AB$2</f>
        <v>-0.11955977988994497</v>
      </c>
      <c r="AC77">
        <f>(Цены!AD77-Цены!AD$2)/Цены!AD$2</f>
        <v>-0.10028449502133714</v>
      </c>
      <c r="AD77">
        <f>(Цены!AE77-Цены!AE$2)/Цены!AE$2</f>
        <v>-0.24607329842931938</v>
      </c>
      <c r="AE77">
        <f>(Цены!AF77-Цены!AF$2)/Цены!AF$2</f>
        <v>6.2810782517664938E-3</v>
      </c>
      <c r="AF77">
        <f>(Цены!AG77-Цены!AG$2)/Цены!AG$2</f>
        <v>-9.6622436670687636E-2</v>
      </c>
      <c r="AG77">
        <f>(Цены!AH77-Цены!AH$2)/Цены!AH$2</f>
        <v>-0.15691489361702127</v>
      </c>
      <c r="AH77">
        <f>(Цены!AI77-Цены!AI$2)/Цены!AI$2</f>
        <v>4.0845070422535219E-2</v>
      </c>
      <c r="AI77">
        <f>(Цены!AJ77-Цены!AJ$2)/Цены!AJ$2</f>
        <v>-6.6475644699140399E-2</v>
      </c>
      <c r="AJ77">
        <f>(Цены!AK77-Цены!AK$2)/Цены!AK$2</f>
        <v>-0.1733008864940031</v>
      </c>
      <c r="AK77">
        <f>(Цены!AL77-Цены!AL$2)/Цены!AL$2</f>
        <v>-0.15975286849073245</v>
      </c>
      <c r="AL77">
        <f>(Цены!AM77-Цены!AM$2)/Цены!AM$2</f>
        <v>-0.13270977362071304</v>
      </c>
      <c r="AM77">
        <f>(Цены!AN77-Цены!AN$2)/Цены!AN$2</f>
        <v>7.1961982348947726E-2</v>
      </c>
      <c r="AN77">
        <f>(Цены!AO77-Цены!AO$2)/Цены!AO$2</f>
        <v>-0.29120879120879117</v>
      </c>
      <c r="AO77">
        <f>(Цены!AP77-Цены!AP$2)/Цены!AP$2</f>
        <v>0.42162818955042525</v>
      </c>
      <c r="AP77">
        <f>(Цены!AQ77-Цены!AQ$2)/Цены!AQ$2</f>
        <v>-0.17801857585139319</v>
      </c>
      <c r="AQ77">
        <f>(Цены!AR77-Цены!AR$2)/Цены!AR$2</f>
        <v>0.20908130939809921</v>
      </c>
      <c r="AR77">
        <f>(Цены!AS77-Цены!AS$2)/Цены!AS$2</f>
        <v>-0.14020117464389389</v>
      </c>
      <c r="AS77">
        <f>(Цены!AU77-Цены!AU$2)/Цены!AU$2</f>
        <v>0.10609037328094301</v>
      </c>
      <c r="AT77">
        <f>(Цены!AV77-Цены!AV$2)/Цены!AV$2</f>
        <v>-0.2485485814437508</v>
      </c>
      <c r="AU77">
        <f>(Цены!AW77-Цены!AW$2)/Цены!AW$2</f>
        <v>-0.33830580713905173</v>
      </c>
      <c r="AV77">
        <f>(Цены!AX77-Цены!AX$2)/Цены!AX$2</f>
        <v>-1.5894039735099338E-2</v>
      </c>
    </row>
    <row r="78" spans="1:48" x14ac:dyDescent="0.2">
      <c r="A78" s="1" t="s">
        <v>141</v>
      </c>
      <c r="B78" s="2">
        <v>76</v>
      </c>
      <c r="C78">
        <f>(Цены!B78-Цены!B$2)/Цены!B$2</f>
        <v>-0.10796100512949047</v>
      </c>
      <c r="D78">
        <f>(Цены!C78-Цены!C$2)/Цены!C$2</f>
        <v>-2.256586483390606E-2</v>
      </c>
      <c r="E78">
        <f>(Цены!D78-Цены!D$2)/Цены!D$2</f>
        <v>-0.13043766578249347</v>
      </c>
      <c r="F78">
        <f>(Цены!E78-Цены!E$2)/Цены!E$2</f>
        <v>-0.15184859154929578</v>
      </c>
      <c r="G78">
        <f>(Цены!F78-Цены!F$2)/Цены!F$2</f>
        <v>-0.14019647973802701</v>
      </c>
      <c r="H78">
        <f>(Цены!G78-Цены!G$2)/Цены!G$2</f>
        <v>-0.12254140786749475</v>
      </c>
      <c r="I78">
        <f>(Цены!H78-Цены!H$2)/Цены!H$2</f>
        <v>-0.12891715792739677</v>
      </c>
      <c r="J78">
        <f>(Цены!J78-Цены!J$2)/Цены!J$2</f>
        <v>-8.7885985748218529E-2</v>
      </c>
      <c r="K78">
        <f>(Цены!K78-Цены!K$2)/Цены!K$2</f>
        <v>-0.21578947368421059</v>
      </c>
      <c r="L78">
        <f>(Цены!L78-Цены!L$2)/Цены!L$2</f>
        <v>-4.0207946916063705E-2</v>
      </c>
      <c r="M78">
        <f>(Цены!M78-Цены!M$2)/Цены!M$2</f>
        <v>-0.12628912610819623</v>
      </c>
      <c r="N78">
        <f>(Цены!N78-Цены!N$2)/Цены!N$2</f>
        <v>-0.2254411764705882</v>
      </c>
      <c r="O78">
        <f>(Цены!O78-Цены!O$2)/Цены!O$2</f>
        <v>-2.4630541871921097E-2</v>
      </c>
      <c r="P78">
        <f>(Цены!P78-Цены!P$2)/Цены!P$2</f>
        <v>-5.0124881577814084E-2</v>
      </c>
      <c r="Q78">
        <f>(Цены!Q78-Цены!Q$2)/Цены!Q$2</f>
        <v>-0.16736440599125496</v>
      </c>
      <c r="R78">
        <f>(Цены!R78-Цены!R$2)/Цены!R$2</f>
        <v>-0.22957279137287431</v>
      </c>
      <c r="S78">
        <f>(Цены!S78-Цены!S$2)/Цены!S$2</f>
        <v>-3.4582132564841488E-2</v>
      </c>
      <c r="T78">
        <f>(Цены!T78-Цены!T$2)/Цены!T$2</f>
        <v>-0.11317365269461081</v>
      </c>
      <c r="U78">
        <f>(Цены!U78-Цены!U$2)/Цены!U$2</f>
        <v>-0.16486203283269299</v>
      </c>
      <c r="V78">
        <f>(Цены!V78-Цены!V$2)/Цены!V$2</f>
        <v>-0.47254098360655739</v>
      </c>
      <c r="W78">
        <f>(Цены!W78-Цены!W$2)/Цены!W$2</f>
        <v>-0.14473684210526316</v>
      </c>
      <c r="X78">
        <f>(Цены!X78-Цены!X$2)/Цены!X$2</f>
        <v>2.5819958129797545E-2</v>
      </c>
      <c r="Y78">
        <f>(Цены!Y78-Цены!Y$2)/Цены!Y$2</f>
        <v>-0.17997344964915604</v>
      </c>
      <c r="Z78">
        <f>(Цены!Z78-Цены!Z$2)/Цены!Z$2</f>
        <v>-0.22237726753773943</v>
      </c>
      <c r="AA78">
        <f>(Цены!AA78-Цены!AA$2)/Цены!AA$2</f>
        <v>7.8993563487419538E-2</v>
      </c>
      <c r="AB78">
        <f>(Цены!AB78-Цены!AB$2)/Цены!AB$2</f>
        <v>-0.11805902951475739</v>
      </c>
      <c r="AC78">
        <f>(Цены!AD78-Цены!AD$2)/Цены!AD$2</f>
        <v>-0.10988620199146505</v>
      </c>
      <c r="AD78">
        <f>(Цены!AE78-Цены!AE$2)/Цены!AE$2</f>
        <v>-0.24712041884816754</v>
      </c>
      <c r="AE78">
        <f>(Цены!AF78-Цены!AF$2)/Цены!AF$2</f>
        <v>5.7576550641193101E-3</v>
      </c>
      <c r="AF78">
        <f>(Цены!AG78-Цены!AG$2)/Цены!AG$2</f>
        <v>-9.5174909529553681E-2</v>
      </c>
      <c r="AG78">
        <f>(Цены!AH78-Цены!AH$2)/Цены!AH$2</f>
        <v>-0.17234042553191492</v>
      </c>
      <c r="AH78">
        <f>(Цены!AI78-Цены!AI$2)/Цены!AI$2</f>
        <v>3.8732394366197236E-2</v>
      </c>
      <c r="AI78">
        <f>(Цены!AJ78-Цены!AJ$2)/Цены!AJ$2</f>
        <v>-6.1031518624641831E-2</v>
      </c>
      <c r="AJ78">
        <f>(Цены!AK78-Цены!AK$2)/Цены!AK$2</f>
        <v>-0.17608204415087778</v>
      </c>
      <c r="AK78">
        <f>(Цены!AL78-Цены!AL$2)/Цены!AL$2</f>
        <v>-0.15386878493674597</v>
      </c>
      <c r="AL78">
        <f>(Цены!AM78-Цены!AM$2)/Цены!AM$2</f>
        <v>-0.15304324251050563</v>
      </c>
      <c r="AM78">
        <f>(Цены!AN78-Цены!AN$2)/Цены!AN$2</f>
        <v>5.0916496945010187E-2</v>
      </c>
      <c r="AN78">
        <f>(Цены!AO78-Цены!AO$2)/Цены!AO$2</f>
        <v>-0.28296703296703291</v>
      </c>
      <c r="AO78">
        <f>(Цены!AP78-Цены!AP$2)/Цены!AP$2</f>
        <v>0.41190765492102066</v>
      </c>
      <c r="AP78">
        <f>(Цены!AQ78-Цены!AQ$2)/Цены!AQ$2</f>
        <v>-0.1609907120743034</v>
      </c>
      <c r="AQ78">
        <f>(Цены!AR78-Цены!AR$2)/Цены!AR$2</f>
        <v>0.19007391763463569</v>
      </c>
      <c r="AR78">
        <f>(Цены!AS78-Цены!AS$2)/Цены!AS$2</f>
        <v>-0.1561466279619253</v>
      </c>
      <c r="AS78">
        <f>(Цены!AU78-Цены!AU$2)/Цены!AU$2</f>
        <v>8.0550098231827141E-2</v>
      </c>
      <c r="AT78">
        <f>(Цены!AV78-Цены!AV$2)/Цены!AV$2</f>
        <v>-0.23211742797677742</v>
      </c>
      <c r="AU78">
        <f>(Цены!AW78-Цены!AW$2)/Цены!AW$2</f>
        <v>-0.34665245959865038</v>
      </c>
      <c r="AV78">
        <f>(Цены!AX78-Цены!AX$2)/Цены!AX$2</f>
        <v>-1.5894039735099338E-2</v>
      </c>
    </row>
    <row r="79" spans="1:48" x14ac:dyDescent="0.2">
      <c r="A79" s="1" t="s">
        <v>142</v>
      </c>
      <c r="B79" s="2">
        <v>77</v>
      </c>
      <c r="C79">
        <f>(Цены!B79-Цены!B$2)/Цены!B$2</f>
        <v>-0.10732988980099724</v>
      </c>
      <c r="D79">
        <f>(Цены!C79-Цены!C$2)/Цены!C$2</f>
        <v>-3.0698739977090408E-2</v>
      </c>
      <c r="E79">
        <f>(Цены!D79-Цены!D$2)/Цены!D$2</f>
        <v>-0.12420424403183035</v>
      </c>
      <c r="F79">
        <f>(Цены!E79-Цены!E$2)/Цены!E$2</f>
        <v>-0.15786384976525822</v>
      </c>
      <c r="G79">
        <f>(Цены!F79-Цены!F$2)/Цены!F$2</f>
        <v>-0.14326647564469913</v>
      </c>
      <c r="H79">
        <f>(Цены!G79-Цены!G$2)/Цены!G$2</f>
        <v>-0.11335403726708064</v>
      </c>
      <c r="I79">
        <f>(Цены!H79-Цены!H$2)/Цены!H$2</f>
        <v>-0.12348743406763876</v>
      </c>
      <c r="J79">
        <f>(Цены!J79-Цены!J$2)/Цены!J$2</f>
        <v>-6.5320665083135387E-2</v>
      </c>
      <c r="K79">
        <f>(Цены!K79-Цены!K$2)/Цены!K$2</f>
        <v>-0.21917293233082705</v>
      </c>
      <c r="L79">
        <f>(Цены!L79-Цены!L$2)/Цены!L$2</f>
        <v>-1.9220982784294315E-2</v>
      </c>
      <c r="M79">
        <f>(Цены!M79-Цены!M$2)/Цены!M$2</f>
        <v>-0.11814727700379965</v>
      </c>
      <c r="N79">
        <f>(Цены!N79-Цены!N$2)/Цены!N$2</f>
        <v>-0.21286764705882355</v>
      </c>
      <c r="O79">
        <f>(Цены!O79-Цены!O$2)/Цены!O$2</f>
        <v>-4.532019704433491E-2</v>
      </c>
      <c r="P79">
        <f>(Цены!P79-Цены!P$2)/Цены!P$2</f>
        <v>-4.7282749117216388E-2</v>
      </c>
      <c r="Q79">
        <f>(Цены!Q79-Цены!Q$2)/Цены!Q$2</f>
        <v>-0.158154246906689</v>
      </c>
      <c r="R79">
        <f>(Цены!R79-Цены!R$2)/Цены!R$2</f>
        <v>-0.22729158025715465</v>
      </c>
      <c r="S79">
        <f>(Цены!S79-Цены!S$2)/Цены!S$2</f>
        <v>-4.0345821325648366E-2</v>
      </c>
      <c r="T79">
        <f>(Цены!T79-Цены!T$2)/Цены!T$2</f>
        <v>-0.11473053892215566</v>
      </c>
      <c r="U79">
        <f>(Цены!U79-Цены!U$2)/Цены!U$2</f>
        <v>-0.17010129235068111</v>
      </c>
      <c r="V79">
        <f>(Цены!V79-Цены!V$2)/Цены!V$2</f>
        <v>-0.46352459016393438</v>
      </c>
      <c r="W79">
        <f>(Цены!W79-Цены!W$2)/Цены!W$2</f>
        <v>-0.16394736842105265</v>
      </c>
      <c r="X79">
        <f>(Цены!X79-Цены!X$2)/Цены!X$2</f>
        <v>1.5003489183530894E-2</v>
      </c>
      <c r="Y79">
        <f>(Цены!Y79-Цены!Y$2)/Цены!Y$2</f>
        <v>-0.19220557557367721</v>
      </c>
      <c r="Z79">
        <f>(Цены!Z79-Цены!Z$2)/Цены!Z$2</f>
        <v>-0.19277770730263444</v>
      </c>
      <c r="AA79">
        <f>(Цены!AA79-Цены!AA$2)/Цены!AA$2</f>
        <v>8.835576360444701E-2</v>
      </c>
      <c r="AB79">
        <f>(Цены!AB79-Цены!AB$2)/Цены!AB$2</f>
        <v>-9.6048024012006003E-2</v>
      </c>
      <c r="AC79">
        <f>(Цены!AD79-Цены!AD$2)/Цены!AD$2</f>
        <v>-8.8904694167852072E-2</v>
      </c>
      <c r="AD79">
        <f>(Цены!AE79-Цены!AE$2)/Цены!AE$2</f>
        <v>-0.2356020942408377</v>
      </c>
      <c r="AE79">
        <f>(Цены!AF79-Цены!AF$2)/Цены!AF$2</f>
        <v>7.8513478147081914E-3</v>
      </c>
      <c r="AF79">
        <f>(Цены!AG79-Цены!AG$2)/Цены!AG$2</f>
        <v>-0.10410132689987948</v>
      </c>
      <c r="AG79">
        <f>(Цены!AH79-Цены!AH$2)/Цены!AH$2</f>
        <v>-0.18111702127659582</v>
      </c>
      <c r="AH79">
        <f>(Цены!AI79-Цены!AI$2)/Цены!AI$2</f>
        <v>2.7464788732394406E-2</v>
      </c>
      <c r="AI79">
        <f>(Цены!AJ79-Цены!AJ$2)/Цены!AJ$2</f>
        <v>-6.8767908309455589E-2</v>
      </c>
      <c r="AJ79">
        <f>(Цены!AK79-Цены!AK$2)/Цены!AK$2</f>
        <v>-0.17938466886841647</v>
      </c>
      <c r="AK79">
        <f>(Цены!AL79-Цены!AL$2)/Цены!AL$2</f>
        <v>-0.16269491026772567</v>
      </c>
      <c r="AL79">
        <f>(Цены!AM79-Цены!AM$2)/Цены!AM$2</f>
        <v>-0.17852785685237901</v>
      </c>
      <c r="AM79">
        <f>(Цены!AN79-Цены!AN$2)/Цены!AN$2</f>
        <v>6.313645621181263E-2</v>
      </c>
      <c r="AN79">
        <f>(Цены!AO79-Цены!AO$2)/Цены!AO$2</f>
        <v>-0.2857142857142857</v>
      </c>
      <c r="AO79">
        <f>(Цены!AP79-Цены!AP$2)/Цены!AP$2</f>
        <v>0.40583232077764275</v>
      </c>
      <c r="AP79">
        <f>(Цены!AQ79-Цены!AQ$2)/Цены!AQ$2</f>
        <v>-0.14860681114551083</v>
      </c>
      <c r="AQ79">
        <f>(Цены!AR79-Цены!AR$2)/Цены!AR$2</f>
        <v>0.1752903907074973</v>
      </c>
      <c r="AR79">
        <f>(Цены!AS79-Цены!AS$2)/Цены!AS$2</f>
        <v>-0.16544926753527295</v>
      </c>
      <c r="AS79">
        <f>(Цены!AU79-Цены!AU$2)/Цены!AU$2</f>
        <v>8.5461689587426351E-2</v>
      </c>
      <c r="AT79">
        <f>(Цены!AV79-Цены!AV$2)/Цены!AV$2</f>
        <v>-0.23649906890130357</v>
      </c>
      <c r="AU79">
        <f>(Цены!AW79-Цены!AW$2)/Цены!AW$2</f>
        <v>-0.35233528680518561</v>
      </c>
      <c r="AV79">
        <f>(Цены!AX79-Цены!AX$2)/Цены!AX$2</f>
        <v>-1.7218543046357615E-2</v>
      </c>
    </row>
    <row r="80" spans="1:48" x14ac:dyDescent="0.2">
      <c r="A80" s="1" t="s">
        <v>143</v>
      </c>
      <c r="B80" s="2">
        <v>78</v>
      </c>
      <c r="C80">
        <f>(Цены!B80-Цены!B$2)/Цены!B$2</f>
        <v>-0.11927632108999427</v>
      </c>
      <c r="D80">
        <f>(Цены!C80-Цены!C$2)/Цены!C$2</f>
        <v>-4.6391752577319555E-2</v>
      </c>
      <c r="E80">
        <f>(Цены!D80-Цены!D$2)/Цены!D$2</f>
        <v>-0.15848806366047749</v>
      </c>
      <c r="F80">
        <f>(Цены!E80-Цены!E$2)/Цены!E$2</f>
        <v>-0.15580985915492956</v>
      </c>
      <c r="G80">
        <f>(Цены!F80-Цены!F$2)/Цены!F$2</f>
        <v>-0.13835448219402374</v>
      </c>
      <c r="H80">
        <f>(Цены!G80-Цены!G$2)/Цены!G$2</f>
        <v>-0.12305900621118002</v>
      </c>
      <c r="I80">
        <f>(Цены!H80-Цены!H$2)/Цены!H$2</f>
        <v>-0.13620850139621463</v>
      </c>
      <c r="J80">
        <f>(Цены!J80-Цены!J$2)/Цены!J$2</f>
        <v>-6.6983372921615172E-2</v>
      </c>
      <c r="K80">
        <f>(Цены!K80-Цены!K$2)/Цены!K$2</f>
        <v>-0.23558897243107768</v>
      </c>
      <c r="L80">
        <f>(Цены!L80-Цены!L$2)/Цены!L$2</f>
        <v>-3.84409206092114E-2</v>
      </c>
      <c r="M80">
        <f>(Цены!M80-Цены!M$2)/Цены!M$2</f>
        <v>-0.11615704722272488</v>
      </c>
      <c r="N80">
        <f>(Цены!N80-Цены!N$2)/Цены!N$2</f>
        <v>-0.22242647058823528</v>
      </c>
      <c r="O80">
        <f>(Цены!O80-Цены!O$2)/Цены!O$2</f>
        <v>-5.5172413793103392E-2</v>
      </c>
      <c r="P80">
        <f>(Цены!P80-Цены!P$2)/Цены!P$2</f>
        <v>-6.3818792524330342E-2</v>
      </c>
      <c r="Q80">
        <f>(Цены!Q80-Цены!Q$2)/Цены!Q$2</f>
        <v>-0.16364312959345045</v>
      </c>
      <c r="R80">
        <f>(Цены!R80-Цены!R$2)/Цены!R$2</f>
        <v>-0.23849025300705101</v>
      </c>
      <c r="S80">
        <f>(Цены!S80-Цены!S$2)/Цены!S$2</f>
        <v>-5.5648414985590838E-2</v>
      </c>
      <c r="T80">
        <f>(Цены!T80-Цены!T$2)/Цены!T$2</f>
        <v>-0.11880239520958086</v>
      </c>
      <c r="U80">
        <f>(Цены!U80-Цены!U$2)/Цены!U$2</f>
        <v>-0.1617184771219001</v>
      </c>
      <c r="V80">
        <f>(Цены!V80-Цены!V$2)/Цены!V$2</f>
        <v>-0.46680327868852456</v>
      </c>
      <c r="W80">
        <f>(Цены!W80-Цены!W$2)/Цены!W$2</f>
        <v>-0.1534210526315789</v>
      </c>
      <c r="X80">
        <f>(Цены!X80-Цены!X$2)/Цены!X$2</f>
        <v>-1.4305652477320385E-2</v>
      </c>
      <c r="Y80">
        <f>(Цены!Y80-Цены!Y$2)/Цены!Y$2</f>
        <v>-0.2210316707756495</v>
      </c>
      <c r="Z80">
        <f>(Цены!Z80-Цены!Z$2)/Цены!Z$2</f>
        <v>-0.20588608397818095</v>
      </c>
      <c r="AA80">
        <f>(Цены!AA80-Цены!AA$2)/Цены!AA$2</f>
        <v>0.1076653013458163</v>
      </c>
      <c r="AB80">
        <f>(Цены!AB80-Цены!AB$2)/Цены!AB$2</f>
        <v>-9.8549274637318662E-2</v>
      </c>
      <c r="AC80">
        <f>(Цены!AD80-Цены!AD$2)/Цены!AD$2</f>
        <v>-9.2105263157894704E-2</v>
      </c>
      <c r="AD80">
        <f>(Цены!AE80-Цены!AE$2)/Цены!AE$2</f>
        <v>-0.2356020942408377</v>
      </c>
      <c r="AE80">
        <f>(Цены!AF80-Цены!AF$2)/Цены!AF$2</f>
        <v>1.1253598534414955E-2</v>
      </c>
      <c r="AF80">
        <f>(Цены!AG80-Цены!AG$2)/Цены!AG$2</f>
        <v>-9.7708082026538093E-2</v>
      </c>
      <c r="AG80">
        <f>(Цены!AH80-Цены!AH$2)/Цены!AH$2</f>
        <v>-0.21196808510638296</v>
      </c>
      <c r="AH80">
        <f>(Цены!AI80-Цены!AI$2)/Цены!AI$2</f>
        <v>2.6056338028169087E-2</v>
      </c>
      <c r="AI80">
        <f>(Цены!AJ80-Цены!AJ$2)/Цены!AJ$2</f>
        <v>-6.9054441260744989E-2</v>
      </c>
      <c r="AJ80">
        <f>(Цены!AK80-Цены!AK$2)/Цены!AK$2</f>
        <v>-0.21988527724665385</v>
      </c>
      <c r="AK80">
        <f>(Цены!AL80-Цены!AL$2)/Цены!AL$2</f>
        <v>-0.16240070609002646</v>
      </c>
      <c r="AL80">
        <f>(Цены!AM80-Цены!AM$2)/Цены!AM$2</f>
        <v>-0.20265690660159957</v>
      </c>
      <c r="AM80">
        <f>(Цены!AN80-Цены!AN$2)/Цены!AN$2</f>
        <v>5.9063136456211814E-2</v>
      </c>
      <c r="AN80">
        <f>(Цены!AO80-Цены!AO$2)/Цены!AO$2</f>
        <v>-0.2788461538461538</v>
      </c>
      <c r="AO80">
        <f>(Цены!AP80-Цены!AP$2)/Цены!AP$2</f>
        <v>0.39854191980558928</v>
      </c>
      <c r="AP80">
        <f>(Цены!AQ80-Цены!AQ$2)/Цены!AQ$2</f>
        <v>-0.1826625386996904</v>
      </c>
      <c r="AQ80">
        <f>(Цены!AR80-Цены!AR$2)/Цены!AR$2</f>
        <v>0.15733896515311502</v>
      </c>
      <c r="AR80">
        <f>(Цены!AS80-Цены!AS$2)/Цены!AS$2</f>
        <v>-0.18273138459461263</v>
      </c>
      <c r="AS80">
        <f>(Цены!AU80-Цены!AU$2)/Цены!AU$2</f>
        <v>5.7956777996070782E-2</v>
      </c>
      <c r="AT80">
        <f>(Цены!AV80-Цены!AV$2)/Цены!AV$2</f>
        <v>-0.26826596560411881</v>
      </c>
      <c r="AU80">
        <f>(Цены!AW80-Цены!AW$2)/Цены!AW$2</f>
        <v>-0.37204759367785473</v>
      </c>
      <c r="AV80">
        <f>(Цены!AX80-Цены!AX$2)/Цены!AX$2</f>
        <v>-1.456953642384106E-2</v>
      </c>
    </row>
    <row r="81" spans="1:48" x14ac:dyDescent="0.2">
      <c r="A81" s="1" t="s">
        <v>144</v>
      </c>
      <c r="B81" s="2">
        <v>79</v>
      </c>
      <c r="C81">
        <f>(Цены!B81-Цены!B$2)/Цены!B$2</f>
        <v>-0.12163069458494087</v>
      </c>
      <c r="D81">
        <f>(Цены!C81-Цены!C$2)/Цены!C$2</f>
        <v>-3.2817869415807506E-2</v>
      </c>
      <c r="E81">
        <f>(Цены!D81-Цены!D$2)/Цены!D$2</f>
        <v>-0.17645888594164463</v>
      </c>
      <c r="F81">
        <f>(Цены!E81-Цены!E$2)/Цены!E$2</f>
        <v>-0.16373239436619719</v>
      </c>
      <c r="G81">
        <f>(Цены!F81-Цены!F$2)/Цены!F$2</f>
        <v>-0.15012279983626689</v>
      </c>
      <c r="H81">
        <f>(Цены!G81-Цены!G$2)/Цены!G$2</f>
        <v>-0.11438923395445132</v>
      </c>
      <c r="I81">
        <f>(Цены!H81-Цены!H$2)/Цены!H$2</f>
        <v>-0.15451442755197012</v>
      </c>
      <c r="J81">
        <f>(Цены!J81-Цены!J$2)/Цены!J$2</f>
        <v>-6.8289786223277915E-2</v>
      </c>
      <c r="K81">
        <f>(Цены!K81-Цены!K$2)/Цены!K$2</f>
        <v>-0.2328320802005012</v>
      </c>
      <c r="L81">
        <f>(Цены!L81-Цены!L$2)/Цены!L$2</f>
        <v>-4.5194493064082131E-2</v>
      </c>
      <c r="M81">
        <f>(Цены!M81-Цены!M$2)/Цены!M$2</f>
        <v>-0.12285145648633984</v>
      </c>
      <c r="N81">
        <f>(Цены!N81-Цены!N$2)/Цены!N$2</f>
        <v>-0.24632352941176472</v>
      </c>
      <c r="O81">
        <f>(Цены!O81-Цены!O$2)/Цены!O$2</f>
        <v>-3.9408866995073823E-2</v>
      </c>
      <c r="P81">
        <f>(Цены!P81-Цены!P$2)/Цены!P$2</f>
        <v>-6.123503574196882E-2</v>
      </c>
      <c r="Q81">
        <f>(Цены!Q81-Цены!Q$2)/Цены!Q$2</f>
        <v>-0.16215461903432871</v>
      </c>
      <c r="R81">
        <f>(Цены!R81-Цены!R$2)/Цены!R$2</f>
        <v>-0.23724595603484028</v>
      </c>
      <c r="S81">
        <f>(Цены!S81-Цены!S$2)/Цены!S$2</f>
        <v>-4.3400576368876093E-2</v>
      </c>
      <c r="T81">
        <f>(Цены!T81-Цены!T$2)/Цены!T$2</f>
        <v>-0.12323353293413181</v>
      </c>
      <c r="U81">
        <f>(Цены!U81-Цены!U$2)/Цены!U$2</f>
        <v>-0.18023052741879148</v>
      </c>
      <c r="V81">
        <f>(Цены!V81-Цены!V$2)/Цены!V$2</f>
        <v>-0.45901639344262296</v>
      </c>
      <c r="W81">
        <f>(Цены!W81-Цены!W$2)/Цены!W$2</f>
        <v>-0.1552631578947368</v>
      </c>
      <c r="X81">
        <f>(Цены!X81-Цены!X$2)/Цены!X$2</f>
        <v>1.3956734124214139E-3</v>
      </c>
      <c r="Y81">
        <f>(Цены!Y81-Цены!Y$2)/Цены!Y$2</f>
        <v>-0.22719514507870286</v>
      </c>
      <c r="Z81">
        <f>(Цены!Z81-Цены!Z$2)/Цены!Z$2</f>
        <v>-0.22280011839824099</v>
      </c>
      <c r="AA81">
        <f>(Цены!AA81-Цены!AA$2)/Цены!AA$2</f>
        <v>0.10649502633118776</v>
      </c>
      <c r="AB81">
        <f>(Цены!AB81-Цены!AB$2)/Цены!AB$2</f>
        <v>-9.304652326163082E-2</v>
      </c>
      <c r="AC81">
        <f>(Цены!AD81-Цены!AD$2)/Цены!AD$2</f>
        <v>-0.11024182076813659</v>
      </c>
      <c r="AD81">
        <f>(Цены!AE81-Цены!AE$2)/Цены!AE$2</f>
        <v>-0.24921465968586387</v>
      </c>
      <c r="AE81">
        <f>(Цены!AF81-Цены!AF$2)/Цены!AF$2</f>
        <v>1.3870714472651018E-2</v>
      </c>
      <c r="AF81">
        <f>(Цены!AG81-Цены!AG$2)/Цены!AG$2</f>
        <v>-9.4330518697225654E-2</v>
      </c>
      <c r="AG81">
        <f>(Цены!AH81-Цены!AH$2)/Цены!AH$2</f>
        <v>-0.20930851063829783</v>
      </c>
      <c r="AH81">
        <f>(Цены!AI81-Цены!AI$2)/Цены!AI$2</f>
        <v>4.5070422535211312E-2</v>
      </c>
      <c r="AI81">
        <f>(Цены!AJ81-Цены!AJ$2)/Цены!AJ$2</f>
        <v>-8.4813753581661891E-2</v>
      </c>
      <c r="AJ81">
        <f>(Цены!AK81-Цены!AK$2)/Цены!AK$2</f>
        <v>-0.19607161480966454</v>
      </c>
      <c r="AK81">
        <f>(Цены!AL81-Цены!AL$2)/Цены!AL$2</f>
        <v>-0.16710797293321553</v>
      </c>
      <c r="AL81">
        <f>(Цены!AM81-Цены!AM$2)/Цены!AM$2</f>
        <v>-0.20021689033482445</v>
      </c>
      <c r="AM81">
        <f>(Цены!AN81-Цены!AN$2)/Цены!AN$2</f>
        <v>7.8750848608282423E-2</v>
      </c>
      <c r="AN81">
        <f>(Цены!AO81-Цены!AO$2)/Цены!AO$2</f>
        <v>-0.27609890109890101</v>
      </c>
      <c r="AO81">
        <f>(Цены!AP81-Цены!AP$2)/Цены!AP$2</f>
        <v>0.44592952612393683</v>
      </c>
      <c r="AP81">
        <f>(Цены!AQ81-Цены!AQ$2)/Цены!AQ$2</f>
        <v>-0.18575851393188855</v>
      </c>
      <c r="AQ81">
        <f>(Цены!AR81-Цены!AR$2)/Цены!AR$2</f>
        <v>0.16050686378035905</v>
      </c>
      <c r="AR81">
        <f>(Цены!AS81-Цены!AS$2)/Цены!AS$2</f>
        <v>-0.18605279146695472</v>
      </c>
      <c r="AS81">
        <f>(Цены!AU81-Цены!AU$2)/Цены!AU$2</f>
        <v>3.9292730844793712E-2</v>
      </c>
      <c r="AT81">
        <f>(Цены!AV81-Цены!AV$2)/Цены!AV$2</f>
        <v>-0.26771826048855307</v>
      </c>
      <c r="AU81">
        <f>(Цены!AW81-Цены!AW$2)/Цены!AW$2</f>
        <v>-0.38234771798969991</v>
      </c>
      <c r="AV81">
        <f>(Цены!AX81-Цены!AX$2)/Цены!AX$2</f>
        <v>-1.456953642384106E-2</v>
      </c>
    </row>
    <row r="82" spans="1:48" x14ac:dyDescent="0.2">
      <c r="A82" s="1" t="s">
        <v>145</v>
      </c>
      <c r="B82" s="2">
        <v>80</v>
      </c>
      <c r="C82">
        <f>(Цены!B82-Цены!B$2)/Цены!B$2</f>
        <v>-0.12695265292237726</v>
      </c>
      <c r="D82">
        <f>(Цены!C82-Цены!C$2)/Цены!C$2</f>
        <v>-3.7628865979381407E-2</v>
      </c>
      <c r="E82">
        <f>(Цены!D82-Цены!D$2)/Цены!D$2</f>
        <v>-0.18753315649867383</v>
      </c>
      <c r="F82">
        <f>(Цены!E82-Цены!E$2)/Цены!E$2</f>
        <v>-0.17517605633802816</v>
      </c>
      <c r="G82">
        <f>(Цены!F82-Цены!F$2)/Цены!F$2</f>
        <v>-0.15319279574293901</v>
      </c>
      <c r="H82">
        <f>(Цены!G82-Цены!G$2)/Цены!G$2</f>
        <v>-0.12008281573498959</v>
      </c>
      <c r="I82">
        <f>(Цены!H82-Цены!H$2)/Цены!H$2</f>
        <v>-0.16537387527148614</v>
      </c>
      <c r="J82">
        <f>(Цены!J82-Цены!J$2)/Цены!J$2</f>
        <v>-7.5178147268408491E-2</v>
      </c>
      <c r="K82">
        <f>(Цены!K82-Цены!K$2)/Цены!K$2</f>
        <v>-0.22982456140350874</v>
      </c>
      <c r="L82">
        <f>(Цены!L82-Цены!L$2)/Цены!L$2</f>
        <v>-2.2025653752710431E-2</v>
      </c>
      <c r="M82">
        <f>(Цены!M82-Цены!M$2)/Цены!M$2</f>
        <v>-0.11850913696399502</v>
      </c>
      <c r="N82">
        <f>(Цены!N82-Цены!N$2)/Цены!N$2</f>
        <v>-0.25404411764705881</v>
      </c>
      <c r="O82">
        <f>(Цены!O82-Цены!O$2)/Цены!O$2</f>
        <v>-5.3694581280788065E-2</v>
      </c>
      <c r="P82">
        <f>(Цены!P82-Цены!P$2)/Цены!P$2</f>
        <v>-7.5962449401429627E-2</v>
      </c>
      <c r="Q82">
        <f>(Цены!Q82-Цены!Q$2)/Цены!Q$2</f>
        <v>-0.17024839519955343</v>
      </c>
      <c r="R82">
        <f>(Цены!R82-Цены!R$2)/Цены!R$2</f>
        <v>-0.24761509746992943</v>
      </c>
      <c r="S82">
        <f>(Цены!S82-Цены!S$2)/Цены!S$2</f>
        <v>-5.4034582132564887E-2</v>
      </c>
      <c r="T82">
        <f>(Цены!T82-Цены!T$2)/Цены!T$2</f>
        <v>-0.12874251497005987</v>
      </c>
      <c r="U82">
        <f>(Цены!U82-Цены!U$2)/Цены!U$2</f>
        <v>-0.19070904645476772</v>
      </c>
      <c r="V82">
        <f>(Цены!V82-Цены!V$2)/Цены!V$2</f>
        <v>-0.45696721311475408</v>
      </c>
      <c r="W82">
        <f>(Цены!W82-Цены!W$2)/Цены!W$2</f>
        <v>-0.18407894736842109</v>
      </c>
      <c r="X82">
        <f>(Цены!X82-Цены!X$2)/Цены!X$2</f>
        <v>-1.4654570830425838E-2</v>
      </c>
      <c r="Y82">
        <f>(Цены!Y82-Цены!Y$2)/Цены!Y$2</f>
        <v>-0.2509008154750616</v>
      </c>
      <c r="Z82">
        <f>(Цены!Z82-Цены!Z$2)/Цены!Z$2</f>
        <v>-0.24986257347033702</v>
      </c>
      <c r="AA82">
        <f>(Цены!AA82-Цены!AA$2)/Цены!AA$2</f>
        <v>0.11351667641895849</v>
      </c>
      <c r="AB82">
        <f>(Цены!AB82-Цены!AB$2)/Цены!AB$2</f>
        <v>-9.304652326163082E-2</v>
      </c>
      <c r="AC82">
        <f>(Цены!AD82-Цены!AD$2)/Цены!AD$2</f>
        <v>-0.10633001422475105</v>
      </c>
      <c r="AD82">
        <f>(Цены!AE82-Цены!AE$2)/Цены!AE$2</f>
        <v>-0.23769633507853402</v>
      </c>
      <c r="AE82">
        <f>(Цены!AF82-Цены!AF$2)/Цены!AF$2</f>
        <v>1.230044490970947E-2</v>
      </c>
      <c r="AF82">
        <f>(Цены!AG82-Цены!AG$2)/Цены!AG$2</f>
        <v>-8.8057901085645485E-2</v>
      </c>
      <c r="AG82">
        <f>(Цены!AH82-Цены!AH$2)/Цены!AH$2</f>
        <v>-0.22021276595744685</v>
      </c>
      <c r="AH82">
        <f>(Цены!AI82-Цены!AI$2)/Цены!AI$2</f>
        <v>6.549295774647873E-2</v>
      </c>
      <c r="AI82">
        <f>(Цены!AJ82-Цены!AJ$2)/Цены!AJ$2</f>
        <v>-9.7994269340974216E-2</v>
      </c>
      <c r="AJ82">
        <f>(Цены!AK82-Цены!AK$2)/Цены!AK$2</f>
        <v>-0.21067269250825651</v>
      </c>
      <c r="AK82">
        <f>(Цены!AL82-Цены!AL$2)/Цены!AL$2</f>
        <v>-0.16975581053250954</v>
      </c>
      <c r="AL82">
        <f>(Цены!AM82-Цены!AM$2)/Цены!AM$2</f>
        <v>-0.20536803578690524</v>
      </c>
      <c r="AM82">
        <f>(Цены!AN82-Цены!AN$2)/Цены!AN$2</f>
        <v>6.042090970807875E-2</v>
      </c>
      <c r="AN82">
        <f>(Цены!AO82-Цены!AO$2)/Цены!AO$2</f>
        <v>-0.28021978021978022</v>
      </c>
      <c r="AO82">
        <f>(Цены!AP82-Цены!AP$2)/Цены!AP$2</f>
        <v>0.46172539489671932</v>
      </c>
      <c r="AP82">
        <f>(Цены!AQ82-Цены!AQ$2)/Цены!AQ$2</f>
        <v>-0.18575851393188855</v>
      </c>
      <c r="AQ82">
        <f>(Цены!AR82-Цены!AR$2)/Цены!AR$2</f>
        <v>0.16895459345300951</v>
      </c>
      <c r="AR82">
        <f>(Цены!AS82-Цены!AS$2)/Цены!AS$2</f>
        <v>-0.20399648956997227</v>
      </c>
      <c r="AS82">
        <f>(Цены!AU82-Цены!AU$2)/Цены!AU$2</f>
        <v>5.2062868369351645E-2</v>
      </c>
      <c r="AT82">
        <f>(Цены!AV82-Цены!AV$2)/Цены!AV$2</f>
        <v>-0.30463358527768658</v>
      </c>
      <c r="AU82">
        <f>(Цены!AW82-Цены!AW$2)/Цены!AW$2</f>
        <v>-0.39495649085419998</v>
      </c>
      <c r="AV82">
        <f>(Цены!AX82-Цены!AX$2)/Цены!AX$2</f>
        <v>-1.456953642384106E-2</v>
      </c>
    </row>
    <row r="83" spans="1:48" x14ac:dyDescent="0.2">
      <c r="A83" s="1" t="s">
        <v>146</v>
      </c>
      <c r="B83" s="2">
        <v>81</v>
      </c>
      <c r="C83">
        <f>(Цены!B83-Цены!B$2)/Цены!B$2</f>
        <v>-0.12263331751815007</v>
      </c>
      <c r="D83">
        <f>(Цены!C83-Цены!C$2)/Цены!C$2</f>
        <v>-4.7479954180985065E-2</v>
      </c>
      <c r="E83">
        <f>(Цены!D83-Цены!D$2)/Цены!D$2</f>
        <v>-0.1828249336870027</v>
      </c>
      <c r="F83">
        <f>(Цены!E83-Цены!E$2)/Цены!E$2</f>
        <v>-0.1710680751173709</v>
      </c>
      <c r="G83">
        <f>(Цены!F83-Цены!F$2)/Цены!F$2</f>
        <v>-0.14459680720425705</v>
      </c>
      <c r="H83">
        <f>(Цены!G83-Цены!G$2)/Цены!G$2</f>
        <v>-0.11878881987577634</v>
      </c>
      <c r="I83">
        <f>(Цены!H83-Цены!H$2)/Цены!H$2</f>
        <v>-0.1371393112007446</v>
      </c>
      <c r="J83">
        <f>(Цены!J83-Цены!J$2)/Цены!J$2</f>
        <v>-6.8883610451306407E-2</v>
      </c>
      <c r="K83">
        <f>(Цены!K83-Цены!K$2)/Цены!K$2</f>
        <v>-0.21704260651629079</v>
      </c>
      <c r="L83">
        <f>(Цены!L83-Цены!L$2)/Цены!L$2</f>
        <v>-3.5844196556858901E-2</v>
      </c>
      <c r="M83">
        <f>(Цены!M83-Цены!M$2)/Цены!M$2</f>
        <v>-0.10837705807852366</v>
      </c>
      <c r="N83">
        <f>(Цены!N83-Цены!N$2)/Цены!N$2</f>
        <v>-0.23948529411764702</v>
      </c>
      <c r="O83">
        <f>(Цены!O83-Цены!O$2)/Цены!O$2</f>
        <v>-2.6724137931034439E-2</v>
      </c>
      <c r="P83">
        <f>(Цены!P83-Цены!P$2)/Цены!P$2</f>
        <v>-7.2948066488674523E-2</v>
      </c>
      <c r="Q83">
        <f>(Цены!Q83-Цены!Q$2)/Цены!Q$2</f>
        <v>-0.151455949390641</v>
      </c>
      <c r="R83">
        <f>(Цены!R83-Цены!R$2)/Цены!R$2</f>
        <v>-0.22625466611364572</v>
      </c>
      <c r="S83">
        <f>(Цены!S83-Цены!S$2)/Цены!S$2</f>
        <v>-3.1512968299711938E-2</v>
      </c>
      <c r="T83">
        <f>(Цены!T83-Цены!T$2)/Цены!T$2</f>
        <v>-0.12898203592814367</v>
      </c>
      <c r="U83">
        <f>(Цены!U83-Цены!U$2)/Цены!U$2</f>
        <v>-0.1854697869367796</v>
      </c>
      <c r="V83">
        <f>(Цены!V83-Цены!V$2)/Цены!V$2</f>
        <v>-0.44282786885245895</v>
      </c>
      <c r="W83">
        <f>(Цены!W83-Цены!W$2)/Цены!W$2</f>
        <v>-0.15500000000000003</v>
      </c>
      <c r="X83">
        <f>(Цены!X83-Цены!X$2)/Цены!X$2</f>
        <v>-7.327285415212919E-3</v>
      </c>
      <c r="Y83">
        <f>(Цены!Y83-Цены!Y$2)/Цены!Y$2</f>
        <v>-0.22738479044187371</v>
      </c>
      <c r="Z83">
        <f>(Цены!Z83-Цены!Z$2)/Цены!Z$2</f>
        <v>-0.23675419679479051</v>
      </c>
      <c r="AA83">
        <f>(Цены!AA83-Цены!AA$2)/Цены!AA$2</f>
        <v>0.14101813926272672</v>
      </c>
      <c r="AB83">
        <f>(Цены!AB83-Цены!AB$2)/Цены!AB$2</f>
        <v>-9.1545772886443222E-2</v>
      </c>
      <c r="AC83">
        <f>(Цены!AD83-Цены!AD$2)/Цены!AD$2</f>
        <v>-9.1394025604551815E-2</v>
      </c>
      <c r="AD83">
        <f>(Цены!AE83-Цены!AE$2)/Цены!AE$2</f>
        <v>-0.23664921465968586</v>
      </c>
      <c r="AE83">
        <f>(Цены!AF83-Цены!AF$2)/Цены!AF$2</f>
        <v>1.2823868097356653E-2</v>
      </c>
      <c r="AF83">
        <f>(Цены!AG83-Цены!AG$2)/Цены!AG$2</f>
        <v>-5.7901085645355982E-2</v>
      </c>
      <c r="AG83">
        <f>(Цены!AH83-Цены!AH$2)/Цены!AH$2</f>
        <v>-0.16489361702127658</v>
      </c>
      <c r="AH83">
        <f>(Цены!AI83-Цены!AI$2)/Цены!AI$2</f>
        <v>8.7323943661971853E-2</v>
      </c>
      <c r="AI83">
        <f>(Цены!AJ83-Цены!AJ$2)/Цены!AJ$2</f>
        <v>-0.10114613180515759</v>
      </c>
      <c r="AJ83">
        <f>(Цены!AK83-Цены!AK$2)/Цены!AK$2</f>
        <v>-0.18129671475751785</v>
      </c>
      <c r="AK83">
        <f>(Цены!AL83-Цены!AL$2)/Цены!AL$2</f>
        <v>-0.16946160635481014</v>
      </c>
      <c r="AL83">
        <f>(Цены!AM83-Цены!AM$2)/Цены!AM$2</f>
        <v>-0.19642130947539652</v>
      </c>
      <c r="AM83">
        <f>(Цены!AN83-Цены!AN$2)/Цены!AN$2</f>
        <v>7.128309572301425E-2</v>
      </c>
      <c r="AN83">
        <f>(Цены!AO83-Цены!AO$2)/Цены!AO$2</f>
        <v>-0.27335164835164832</v>
      </c>
      <c r="AO83">
        <f>(Цены!AP83-Цены!AP$2)/Цены!AP$2</f>
        <v>0.50303766707168895</v>
      </c>
      <c r="AP83">
        <f>(Цены!AQ83-Цены!AQ$2)/Цены!AQ$2</f>
        <v>-0.19349845201238391</v>
      </c>
      <c r="AQ83">
        <f>(Цены!AR83-Цены!AR$2)/Цены!AR$2</f>
        <v>0.1615628299894403</v>
      </c>
      <c r="AR83">
        <f>(Цены!AS83-Цены!AS$2)/Цены!AS$2</f>
        <v>-0.20731789644231416</v>
      </c>
      <c r="AS83">
        <f>(Цены!AU83-Цены!AU$2)/Цены!AU$2</f>
        <v>8.8408644400785857E-2</v>
      </c>
      <c r="AT83">
        <f>(Цены!AV83-Цены!AV$2)/Цены!AV$2</f>
        <v>-0.27527659108336083</v>
      </c>
      <c r="AU83">
        <f>(Цены!AW83-Цены!AW$2)/Цены!AW$2</f>
        <v>-0.38376842479133377</v>
      </c>
      <c r="AV83">
        <f>(Цены!AX83-Цены!AX$2)/Цены!AX$2</f>
        <v>-1.456953642384106E-2</v>
      </c>
    </row>
    <row r="84" spans="1:48" x14ac:dyDescent="0.2">
      <c r="A84" s="1" t="s">
        <v>147</v>
      </c>
      <c r="B84" s="2">
        <v>82</v>
      </c>
      <c r="C84">
        <f>(Цены!B84-Цены!B$2)/Цены!B$2</f>
        <v>-0.12629468162245869</v>
      </c>
      <c r="D84">
        <f>(Цены!C84-Цены!C$2)/Цены!C$2</f>
        <v>-5.0973654066437606E-2</v>
      </c>
      <c r="E84">
        <f>(Цены!D84-Цены!D$2)/Цены!D$2</f>
        <v>-0.19098143236074278</v>
      </c>
      <c r="F84">
        <f>(Цены!E84-Цены!E$2)/Цены!E$2</f>
        <v>-0.17723004694835681</v>
      </c>
      <c r="G84">
        <f>(Цены!F84-Цены!F$2)/Цены!F$2</f>
        <v>-0.14050347932869423</v>
      </c>
      <c r="H84">
        <f>(Цены!G84-Цены!G$2)/Цены!G$2</f>
        <v>-0.11102484472049684</v>
      </c>
      <c r="I84">
        <f>(Цены!H84-Цены!H$2)/Цены!H$2</f>
        <v>-0.14070741545144266</v>
      </c>
      <c r="J84">
        <f>(Цены!J84-Цены!J$2)/Цены!J$2</f>
        <v>-4.9881235154394299E-2</v>
      </c>
      <c r="K84">
        <f>(Цены!K84-Цены!K$2)/Цены!K$2</f>
        <v>-0.23057644110275688</v>
      </c>
      <c r="L84">
        <f>(Цены!L84-Цены!L$2)/Цены!L$2</f>
        <v>-4.3636458632670669E-2</v>
      </c>
      <c r="M84">
        <f>(Цены!M84-Цены!M$2)/Цены!M$2</f>
        <v>-0.12049936674506968</v>
      </c>
      <c r="N84">
        <f>(Цены!N84-Цены!N$2)/Цены!N$2</f>
        <v>-0.24632352941176472</v>
      </c>
      <c r="O84">
        <f>(Цены!O84-Цены!O$2)/Цены!O$2</f>
        <v>-9.8522167487684834E-3</v>
      </c>
      <c r="P84">
        <f>(Цены!P84-Цены!P$2)/Цены!P$2</f>
        <v>-6.7263801567479131E-2</v>
      </c>
      <c r="Q84">
        <f>(Цены!Q84-Цены!Q$2)/Цены!Q$2</f>
        <v>-0.1429900455856358</v>
      </c>
      <c r="R84">
        <f>(Цены!R84-Цены!R$2)/Цены!R$2</f>
        <v>-0.20987142264620487</v>
      </c>
      <c r="S84">
        <f>(Цены!S84-Цены!S$2)/Цены!S$2</f>
        <v>-3.4308357348703085E-2</v>
      </c>
      <c r="T84">
        <f>(Цены!T84-Цены!T$2)/Цены!T$2</f>
        <v>-0.13401197604790416</v>
      </c>
      <c r="U84">
        <f>(Цены!U84-Цены!U$2)/Цены!U$2</f>
        <v>-0.19664687390848759</v>
      </c>
      <c r="V84">
        <f>(Цены!V84-Цены!V$2)/Цены!V$2</f>
        <v>-0.5</v>
      </c>
      <c r="W84">
        <f>(Цены!W84-Цены!W$2)/Цены!W$2</f>
        <v>-0.15815789473684214</v>
      </c>
      <c r="X84">
        <f>(Цены!X84-Цены!X$2)/Цены!X$2</f>
        <v>1.8841591067690081E-2</v>
      </c>
      <c r="Y84">
        <f>(Цены!Y84-Цены!Y$2)/Цены!Y$2</f>
        <v>-0.21486819647259628</v>
      </c>
      <c r="Z84">
        <f>(Цены!Z84-Цены!Z$2)/Цены!Z$2</f>
        <v>-0.22618292528225298</v>
      </c>
      <c r="AA84">
        <f>(Цены!AA84-Цены!AA$2)/Цены!AA$2</f>
        <v>0.13399648917495616</v>
      </c>
      <c r="AB84">
        <f>(Цены!AB84-Цены!AB$2)/Цены!AB$2</f>
        <v>-9.0545272636318161E-2</v>
      </c>
      <c r="AC84">
        <f>(Цены!AD84-Цены!AD$2)/Цены!AD$2</f>
        <v>-0.10312944523470841</v>
      </c>
      <c r="AD84">
        <f>(Цены!AE84-Цены!AE$2)/Цены!AE$2</f>
        <v>-0.24921465968586387</v>
      </c>
      <c r="AE84">
        <f>(Цены!AF84-Цены!AF$2)/Цены!AF$2</f>
        <v>1.230044490970947E-2</v>
      </c>
      <c r="AF84">
        <f>(Цены!AG84-Цены!AG$2)/Цены!AG$2</f>
        <v>-5.7297949336550059E-2</v>
      </c>
      <c r="AG84">
        <f>(Цены!AH84-Цены!AH$2)/Цены!AH$2</f>
        <v>-0.19175531914893623</v>
      </c>
      <c r="AH84">
        <f>(Цены!AI84-Цены!AI$2)/Цены!AI$2</f>
        <v>0.10140845070422545</v>
      </c>
      <c r="AI84">
        <f>(Цены!AJ84-Цены!AJ$2)/Цены!AJ$2</f>
        <v>-0.10773638968481375</v>
      </c>
      <c r="AJ84">
        <f>(Цены!AK84-Цены!AK$2)/Цены!AK$2</f>
        <v>-0.17086737354423787</v>
      </c>
      <c r="AK84">
        <f>(Цены!AL84-Цены!AL$2)/Цены!AL$2</f>
        <v>-0.16622536040011771</v>
      </c>
      <c r="AL84">
        <f>(Цены!AM84-Цены!AM$2)/Цены!AM$2</f>
        <v>-0.21648366544665854</v>
      </c>
      <c r="AM84">
        <f>(Цены!AN84-Цены!AN$2)/Цены!AN$2</f>
        <v>7.1961982348947726E-2</v>
      </c>
      <c r="AN84">
        <f>(Цены!AO84-Цены!AO$2)/Цены!AO$2</f>
        <v>-0.28296703296703291</v>
      </c>
      <c r="AO84">
        <f>(Цены!AP84-Цены!AP$2)/Цены!AP$2</f>
        <v>0.47995139732685299</v>
      </c>
      <c r="AP84">
        <f>(Цены!AQ84-Цены!AQ$2)/Цены!AQ$2</f>
        <v>-0.19504643962848298</v>
      </c>
      <c r="AQ84">
        <f>(Цены!AR84-Цены!AR$2)/Цены!AR$2</f>
        <v>0.15733896515311502</v>
      </c>
      <c r="AR84">
        <f>(Цены!AS84-Цены!AS$2)/Цены!AS$2</f>
        <v>-0.17741173293728482</v>
      </c>
      <c r="AS84">
        <f>(Цены!AU84-Цены!AU$2)/Цены!AU$2</f>
        <v>7.2691552062868425E-2</v>
      </c>
      <c r="AT84">
        <f>(Цены!AV84-Цены!AV$2)/Цены!AV$2</f>
        <v>-0.2873261036258079</v>
      </c>
      <c r="AU84">
        <f>(Цены!AW84-Цены!AW$2)/Цены!AW$2</f>
        <v>-0.3807494228378619</v>
      </c>
      <c r="AV84">
        <f>(Цены!AX84-Цены!AX$2)/Цены!AX$2</f>
        <v>-7.9470198675496689E-3</v>
      </c>
    </row>
    <row r="85" spans="1:48" x14ac:dyDescent="0.2">
      <c r="A85" s="1" t="s">
        <v>148</v>
      </c>
      <c r="B85" s="2">
        <v>83</v>
      </c>
      <c r="C85">
        <f>(Цены!B85-Цены!B$2)/Цены!B$2</f>
        <v>-0.12840735137457809</v>
      </c>
      <c r="D85">
        <f>(Цены!C85-Цены!C$2)/Цены!C$2</f>
        <v>-6.0423825887743317E-2</v>
      </c>
      <c r="E85">
        <f>(Цены!D85-Цены!D$2)/Цены!D$2</f>
        <v>-0.1935676392572945</v>
      </c>
      <c r="F85">
        <f>(Цены!E85-Цены!E$2)/Цены!E$2</f>
        <v>-0.1789906103286385</v>
      </c>
      <c r="G85">
        <f>(Цены!F85-Цены!F$2)/Цены!F$2</f>
        <v>-0.1581047891936144</v>
      </c>
      <c r="H85">
        <f>(Цены!G85-Цены!G$2)/Цены!G$2</f>
        <v>-0.11995341614906824</v>
      </c>
      <c r="I85">
        <f>(Цены!H85-Цены!H$2)/Цены!H$2</f>
        <v>-8.9047471300030961E-2</v>
      </c>
      <c r="J85">
        <f>(Цены!J85-Цены!J$2)/Цены!J$2</f>
        <v>-7.4821852731591448E-2</v>
      </c>
      <c r="K85">
        <f>(Цены!K85-Цены!K$2)/Цены!K$2</f>
        <v>-0.23208020050125319</v>
      </c>
      <c r="L85">
        <f>(Цены!L85-Цены!L$2)/Цены!L$2</f>
        <v>-2.7636040648919703E-2</v>
      </c>
      <c r="M85">
        <f>(Цены!M85-Цены!M$2)/Цены!M$2</f>
        <v>-0.12429889632712147</v>
      </c>
      <c r="N85">
        <f>(Цены!N85-Цены!N$2)/Цены!N$2</f>
        <v>-0.26617647058823529</v>
      </c>
      <c r="O85">
        <f>(Цены!O85-Цены!O$2)/Цены!O$2</f>
        <v>0</v>
      </c>
      <c r="P85">
        <f>(Цены!P85-Цены!P$2)/Цены!P$2</f>
        <v>-7.7254327792610447E-2</v>
      </c>
      <c r="Q85">
        <f>(Цены!Q85-Цены!Q$2)/Цены!Q$2</f>
        <v>-0.16559679970229788</v>
      </c>
      <c r="R85">
        <f>(Цены!R85-Цены!R$2)/Цены!R$2</f>
        <v>-0.21194525093322272</v>
      </c>
      <c r="S85">
        <f>(Цены!S85-Цены!S$2)/Цены!S$2</f>
        <v>-3.5475504322766652E-2</v>
      </c>
      <c r="T85">
        <f>(Цены!T85-Цены!T$2)/Цены!T$2</f>
        <v>-0.13568862275449101</v>
      </c>
      <c r="U85">
        <f>(Цены!U85-Цены!U$2)/Цены!U$2</f>
        <v>-0.18861334264757249</v>
      </c>
      <c r="V85">
        <f>(Цены!V85-Цены!V$2)/Цены!V$2</f>
        <v>-0.50799180327868843</v>
      </c>
      <c r="W85">
        <f>(Цены!W85-Цены!W$2)/Цены!W$2</f>
        <v>-0.15000000000000008</v>
      </c>
      <c r="X85">
        <f>(Цены!X85-Цены!X$2)/Цены!X$2</f>
        <v>2.2330774598743813E-2</v>
      </c>
      <c r="Y85">
        <f>(Цены!Y85-Цены!Y$2)/Цены!Y$2</f>
        <v>-0.2052911056324673</v>
      </c>
      <c r="Z85">
        <f>(Цены!Z85-Цены!Z$2)/Цены!Z$2</f>
        <v>-0.25620533637785953</v>
      </c>
      <c r="AA85">
        <f>(Цены!AA85-Цены!AA$2)/Цены!AA$2</f>
        <v>0.14189584552369808</v>
      </c>
      <c r="AB85">
        <f>(Цены!AB85-Цены!AB$2)/Цены!AB$2</f>
        <v>-8.1540770385192599E-2</v>
      </c>
      <c r="AC85">
        <f>(Цены!AD85-Цены!AD$2)/Цены!AD$2</f>
        <v>-0.10739687055476531</v>
      </c>
      <c r="AD85">
        <f>(Цены!AE85-Цены!AE$2)/Цены!AE$2</f>
        <v>-0.25863874345549737</v>
      </c>
      <c r="AE85">
        <f>(Цены!AF85-Цены!AF$2)/Цены!AF$2</f>
        <v>1.2562156503532988E-2</v>
      </c>
      <c r="AF85">
        <f>(Цены!AG85-Цены!AG$2)/Цены!AG$2</f>
        <v>-2.171290711700858E-2</v>
      </c>
      <c r="AG85">
        <f>(Цены!AH85-Цены!AH$2)/Цены!AH$2</f>
        <v>-0.19228723404255321</v>
      </c>
      <c r="AH85">
        <f>(Цены!AI85-Цены!AI$2)/Цены!AI$2</f>
        <v>8.6619718309859192E-2</v>
      </c>
      <c r="AI85">
        <f>(Цены!AJ85-Цены!AJ$2)/Цены!AJ$2</f>
        <v>-0.10744985673352435</v>
      </c>
      <c r="AJ85">
        <f>(Цены!AK85-Цены!AK$2)/Цены!AK$2</f>
        <v>-0.16686945941248044</v>
      </c>
      <c r="AK85">
        <f>(Цены!AL85-Цены!AL$2)/Цены!AL$2</f>
        <v>-0.17005001471020875</v>
      </c>
      <c r="AL85">
        <f>(Цены!AM85-Цены!AM$2)/Цены!AM$2</f>
        <v>-0.20835027789074148</v>
      </c>
      <c r="AM85">
        <f>(Цены!AN85-Цены!AN$2)/Цены!AN$2</f>
        <v>6.5173116089613028E-2</v>
      </c>
      <c r="AN85">
        <f>(Цены!AO85-Цены!AO$2)/Цены!AO$2</f>
        <v>-0.27335164835164832</v>
      </c>
      <c r="AO85">
        <f>(Цены!AP85-Цены!AP$2)/Цены!AP$2</f>
        <v>0.50911300121506686</v>
      </c>
      <c r="AP85">
        <f>(Цены!AQ85-Цены!AQ$2)/Цены!AQ$2</f>
        <v>-0.20588235294117646</v>
      </c>
      <c r="AQ85">
        <f>(Цены!AR85-Цены!AR$2)/Цены!AR$2</f>
        <v>0.1615628299894403</v>
      </c>
      <c r="AR85">
        <f>(Цены!AS85-Цены!AS$2)/Цены!AS$2</f>
        <v>-0.136879767771552</v>
      </c>
      <c r="AS85">
        <f>(Цены!AU85-Цены!AU$2)/Цены!AU$2</f>
        <v>6.0903732809430282E-2</v>
      </c>
      <c r="AT85">
        <f>(Цены!AV85-Цены!AV$2)/Цены!AV$2</f>
        <v>-0.27746741154562393</v>
      </c>
      <c r="AU85">
        <f>(Цены!AW85-Цены!AW$2)/Цены!AW$2</f>
        <v>-0.35872846741253783</v>
      </c>
      <c r="AV85">
        <f>(Цены!AX85-Цены!AX$2)/Цены!AX$2</f>
        <v>-1.5231788079470199E-2</v>
      </c>
    </row>
    <row r="86" spans="1:48" x14ac:dyDescent="0.2">
      <c r="A86" s="1" t="s">
        <v>149</v>
      </c>
      <c r="B86" s="2">
        <v>84</v>
      </c>
      <c r="C86">
        <f>(Цены!B86-Цены!B$2)/Цены!B$2</f>
        <v>-0.134230621178619</v>
      </c>
      <c r="D86">
        <f>(Цены!C86-Цены!C$2)/Цены!C$2</f>
        <v>-7.9610538373425008E-2</v>
      </c>
      <c r="E86">
        <f>(Цены!D86-Цены!D$2)/Цены!D$2</f>
        <v>-0.18965517241379315</v>
      </c>
      <c r="F86">
        <f>(Цены!E86-Цены!E$2)/Цены!E$2</f>
        <v>-0.17943075117370891</v>
      </c>
      <c r="G86">
        <f>(Цены!F86-Цены!F$2)/Цены!F$2</f>
        <v>-0.16086778550961933</v>
      </c>
      <c r="H86">
        <f>(Цены!G86-Цены!G$2)/Цены!G$2</f>
        <v>-0.14829192546583839</v>
      </c>
      <c r="I86">
        <f>(Цены!H86-Цены!H$2)/Цены!H$2</f>
        <v>-7.8343158547936664E-2</v>
      </c>
      <c r="J86">
        <f>(Цены!J86-Цены!J$2)/Цены!J$2</f>
        <v>-7.8384798099762468E-2</v>
      </c>
      <c r="K86">
        <f>(Цены!K86-Цены!K$2)/Цены!K$2</f>
        <v>-0.23809523809523808</v>
      </c>
      <c r="L86">
        <f>(Цены!L86-Цены!L$2)/Цены!L$2</f>
        <v>-1.8181248203976048E-2</v>
      </c>
      <c r="M86">
        <f>(Цены!M86-Цены!M$2)/Цены!M$2</f>
        <v>-0.12049936674506968</v>
      </c>
      <c r="N86">
        <f>(Цены!N86-Цены!N$2)/Цены!N$2</f>
        <v>-0.28250000000000003</v>
      </c>
      <c r="O86">
        <f>(Цены!O86-Цены!O$2)/Цены!O$2</f>
        <v>9.8522167487684834E-3</v>
      </c>
      <c r="P86">
        <f>(Цены!P86-Цены!P$2)/Цены!P$2</f>
        <v>-6.5541297045904737E-2</v>
      </c>
      <c r="Q86">
        <f>(Цены!Q86-Цены!Q$2)/Цены!Q$2</f>
        <v>-0.164852544422737</v>
      </c>
      <c r="R86">
        <f>(Цены!R86-Цены!R$2)/Цены!R$2</f>
        <v>-0.22335130651182081</v>
      </c>
      <c r="S86">
        <f>(Цены!S86-Цены!S$2)/Цены!S$2</f>
        <v>-4.3674351585014294E-2</v>
      </c>
      <c r="T86">
        <f>(Цены!T86-Цены!T$2)/Цены!T$2</f>
        <v>-0.13413173652694615</v>
      </c>
      <c r="U86">
        <f>(Цены!U86-Цены!U$2)/Цены!U$2</f>
        <v>-0.17743625567586449</v>
      </c>
      <c r="V86">
        <f>(Цены!V86-Цены!V$2)/Цены!V$2</f>
        <v>-0.49610655737704917</v>
      </c>
      <c r="W86">
        <f>(Цены!W86-Цены!W$2)/Цены!W$2</f>
        <v>-0.17447368421052628</v>
      </c>
      <c r="X86">
        <f>(Цены!X86-Цены!X$2)/Цены!X$2</f>
        <v>7.5366364270760516E-2</v>
      </c>
      <c r="Y86">
        <f>(Цены!Y86-Цены!Y$2)/Цены!Y$2</f>
        <v>-0.21297174284088757</v>
      </c>
      <c r="Z86">
        <f>(Цены!Z86-Цены!Z$2)/Цены!Z$2</f>
        <v>-0.25979956869212228</v>
      </c>
      <c r="AA86">
        <f>(Цены!AA86-Цены!AA$2)/Цены!AA$2</f>
        <v>0.11234640140432994</v>
      </c>
      <c r="AB86">
        <f>(Цены!AB86-Цены!AB$2)/Цены!AB$2</f>
        <v>-8.4542271135567781E-2</v>
      </c>
      <c r="AC86">
        <f>(Цены!AD86-Цены!AD$2)/Цены!AD$2</f>
        <v>-0.11806543385490749</v>
      </c>
      <c r="AD86">
        <f>(Цены!AE86-Цены!AE$2)/Цены!AE$2</f>
        <v>-0.26387434554973821</v>
      </c>
      <c r="AE86">
        <f>(Цены!AF86-Цены!AF$2)/Цены!AF$2</f>
        <v>1.3609002878827502E-2</v>
      </c>
      <c r="AF86">
        <f>(Цены!AG86-Цены!AG$2)/Цены!AG$2</f>
        <v>1.3027744270205045E-2</v>
      </c>
      <c r="AG86">
        <f>(Цены!AH86-Цены!AH$2)/Цены!AH$2</f>
        <v>-0.21329787234042549</v>
      </c>
      <c r="AH86">
        <f>(Цены!AI86-Цены!AI$2)/Цены!AI$2</f>
        <v>-5.633802816901414E-3</v>
      </c>
      <c r="AI86">
        <f>(Цены!AJ86-Цены!AJ$2)/Цены!AJ$2</f>
        <v>-0.10744985673352435</v>
      </c>
      <c r="AJ86">
        <f>(Цены!AK86-Цены!AK$2)/Цены!AK$2</f>
        <v>-0.18007995828263523</v>
      </c>
      <c r="AK86">
        <f>(Цены!AL86-Цены!AL$2)/Цены!AL$2</f>
        <v>-0.17828773168578985</v>
      </c>
      <c r="AL86">
        <f>(Цены!AM86-Цены!AM$2)/Цены!AM$2</f>
        <v>-0.19045682526772401</v>
      </c>
      <c r="AM86">
        <f>(Цены!AN86-Цены!AN$2)/Цены!AN$2</f>
        <v>6.5852002715546504E-2</v>
      </c>
      <c r="AN86">
        <f>(Цены!AO86-Цены!AO$2)/Цены!AO$2</f>
        <v>-0.28708791208791207</v>
      </c>
      <c r="AO86">
        <f>(Цены!AP86-Цены!AP$2)/Цены!AP$2</f>
        <v>0.48602673147023084</v>
      </c>
      <c r="AP86">
        <f>(Цены!AQ86-Цены!AQ$2)/Цены!AQ$2</f>
        <v>-0.20588235294117646</v>
      </c>
      <c r="AQ86">
        <f>(Цены!AR86-Цены!AR$2)/Цены!AR$2</f>
        <v>0.15945089757127764</v>
      </c>
      <c r="AR86">
        <f>(Цены!AS86-Цены!AS$2)/Цены!AS$2</f>
        <v>-0.17675015189360699</v>
      </c>
      <c r="AS86">
        <f>(Цены!AU86-Цены!AU$2)/Цены!AU$2</f>
        <v>7.1709233791748497E-2</v>
      </c>
      <c r="AT86">
        <f>(Цены!AV86-Цены!AV$2)/Цены!AV$2</f>
        <v>-0.29126958045788148</v>
      </c>
      <c r="AU86">
        <f>(Цены!AW86-Цены!AW$2)/Цены!AW$2</f>
        <v>-0.34825075475048844</v>
      </c>
      <c r="AV86">
        <f>(Цены!AX86-Цены!AX$2)/Цены!AX$2</f>
        <v>-9.2715231788079479E-3</v>
      </c>
    </row>
    <row r="87" spans="1:48" x14ac:dyDescent="0.2">
      <c r="A87" s="1" t="s">
        <v>150</v>
      </c>
      <c r="B87" s="2">
        <v>85</v>
      </c>
      <c r="C87">
        <f>(Цены!B87-Цены!B$2)/Цены!B$2</f>
        <v>-0.13131227228374226</v>
      </c>
      <c r="D87">
        <f>(Цены!C87-Цены!C$2)/Цены!C$2</f>
        <v>-6.128293241695297E-2</v>
      </c>
      <c r="E87">
        <f>(Цены!D87-Цены!D$2)/Цены!D$2</f>
        <v>-0.18362068965517248</v>
      </c>
      <c r="F87">
        <f>(Цены!E87-Цены!E$2)/Цены!E$2</f>
        <v>-0.18001760563380281</v>
      </c>
      <c r="G87">
        <f>(Цены!F87-Цены!F$2)/Цены!F$2</f>
        <v>-0.16670077773229636</v>
      </c>
      <c r="H87">
        <f>(Цены!G87-Цены!G$2)/Цены!G$2</f>
        <v>-0.15890269151138711</v>
      </c>
      <c r="I87">
        <f>(Цены!H87-Цены!H$2)/Цены!H$2</f>
        <v>-3.8473471920570851E-2</v>
      </c>
      <c r="J87">
        <f>(Цены!J87-Цены!J$2)/Цены!J$2</f>
        <v>-7.6484560570071233E-2</v>
      </c>
      <c r="K87">
        <f>(Цены!K87-Цены!K$2)/Цены!K$2</f>
        <v>-0.22994987468671679</v>
      </c>
      <c r="L87">
        <f>(Цены!L87-Цены!L$2)/Цены!L$2</f>
        <v>-3.3765772355599591E-2</v>
      </c>
      <c r="M87">
        <f>(Цены!M87-Цены!M$2)/Цены!M$2</f>
        <v>-0.12068029672516743</v>
      </c>
      <c r="N87">
        <f>(Цены!N87-Цены!N$2)/Цены!N$2</f>
        <v>-0.25955882352941173</v>
      </c>
      <c r="O87">
        <f>(Цены!O87-Цены!O$2)/Цены!O$2</f>
        <v>-2.3152709359605769E-2</v>
      </c>
      <c r="P87">
        <f>(Цены!P87-Цены!P$2)/Цены!P$2</f>
        <v>-4.5560244595642119E-2</v>
      </c>
      <c r="Q87">
        <f>(Цены!Q87-Цены!Q$2)/Цены!Q$2</f>
        <v>-0.15992185319564609</v>
      </c>
      <c r="R87">
        <f>(Цены!R87-Цены!R$2)/Цены!R$2</f>
        <v>-0.21951472418083776</v>
      </c>
      <c r="S87">
        <f>(Цены!S87-Цены!S$2)/Цены!S$2</f>
        <v>-4.8991354466858789E-2</v>
      </c>
      <c r="T87">
        <f>(Цены!T87-Цены!T$2)/Цены!T$2</f>
        <v>-0.13185628742514977</v>
      </c>
      <c r="U87">
        <f>(Цены!U87-Цены!U$2)/Цены!U$2</f>
        <v>-0.1868669228082431</v>
      </c>
      <c r="V87">
        <f>(Цены!V87-Цены!V$2)/Цены!V$2</f>
        <v>-0.51065573770491801</v>
      </c>
      <c r="W87">
        <f>(Цены!W87-Цены!W$2)/Цены!W$2</f>
        <v>-0.18421052631578946</v>
      </c>
      <c r="X87">
        <f>(Цены!X87-Цены!X$2)/Цены!X$2</f>
        <v>7.0132588974179913E-2</v>
      </c>
      <c r="Y87">
        <f>(Цены!Y87-Цены!Y$2)/Цены!Y$2</f>
        <v>-0.22150578418357675</v>
      </c>
      <c r="Z87">
        <f>(Цены!Z87-Цены!Z$2)/Цены!Z$2</f>
        <v>-0.28115353714744806</v>
      </c>
      <c r="AA87">
        <f>(Цены!AA87-Цены!AA$2)/Цены!AA$2</f>
        <v>0.10883557636044466</v>
      </c>
      <c r="AB87">
        <f>(Цены!AB87-Цены!AB$2)/Цены!AB$2</f>
        <v>-8.604302151075538E-2</v>
      </c>
      <c r="AC87">
        <f>(Цены!AD87-Цены!AD$2)/Цены!AD$2</f>
        <v>-0.1173541963015646</v>
      </c>
      <c r="AD87">
        <f>(Цены!AE87-Цены!AE$2)/Цены!AE$2</f>
        <v>-0.27120418848167538</v>
      </c>
      <c r="AE87">
        <f>(Цены!AF87-Цены!AF$2)/Цены!AF$2</f>
        <v>1.3347291285003835E-2</v>
      </c>
      <c r="AF87">
        <f>(Цены!AG87-Цены!AG$2)/Цены!AG$2</f>
        <v>-1.7008443908323411E-2</v>
      </c>
      <c r="AG87">
        <f>(Цены!AH87-Цены!AH$2)/Цены!AH$2</f>
        <v>-0.20026595744680853</v>
      </c>
      <c r="AH87">
        <f>(Цены!AI87-Цены!AI$2)/Цены!AI$2</f>
        <v>-9.1549295774647193E-3</v>
      </c>
      <c r="AI87">
        <f>(Цены!AJ87-Цены!AJ$2)/Цены!AJ$2</f>
        <v>-0.11661891117478509</v>
      </c>
      <c r="AJ87">
        <f>(Цены!AK87-Цены!AK$2)/Цены!AK$2</f>
        <v>-0.19259516773857127</v>
      </c>
      <c r="AK87">
        <f>(Цены!AL87-Цены!AL$2)/Цены!AL$2</f>
        <v>-0.19064430714916139</v>
      </c>
      <c r="AL87">
        <f>(Цены!AM87-Цены!AM$2)/Цены!AM$2</f>
        <v>-0.19235461569743798</v>
      </c>
      <c r="AM87">
        <f>(Цены!AN87-Цены!AN$2)/Цены!AN$2</f>
        <v>8.1466395112016296E-2</v>
      </c>
      <c r="AN87">
        <f>(Цены!AO87-Цены!AO$2)/Цены!AO$2</f>
        <v>-0.28708791208791207</v>
      </c>
      <c r="AO87">
        <f>(Цены!AP87-Цены!AP$2)/Цены!AP$2</f>
        <v>0.45808019441069259</v>
      </c>
      <c r="AP87">
        <f>(Цены!AQ87-Цены!AQ$2)/Цены!AQ$2</f>
        <v>-0.2043343653250774</v>
      </c>
      <c r="AQ87">
        <f>(Цены!AR87-Цены!AR$2)/Цены!AR$2</f>
        <v>0.15733896515311502</v>
      </c>
      <c r="AR87">
        <f>(Цены!AS87-Цены!AS$2)/Цены!AS$2</f>
        <v>-0.18937419833929672</v>
      </c>
      <c r="AS87">
        <f>(Цены!AU87-Цены!AU$2)/Цены!AU$2</f>
        <v>7.2691552062868425E-2</v>
      </c>
      <c r="AT87">
        <f>(Цены!AV87-Цены!AV$2)/Цены!AV$2</f>
        <v>-0.30233322379231031</v>
      </c>
      <c r="AU87">
        <f>(Цены!AW87-Цены!AW$2)/Цены!AW$2</f>
        <v>-0.32711774107618541</v>
      </c>
      <c r="AV87">
        <f>(Цены!AX87-Цены!AX$2)/Цены!AX$2</f>
        <v>-1.9205298013245033E-2</v>
      </c>
    </row>
    <row r="88" spans="1:48" x14ac:dyDescent="0.2">
      <c r="A88" s="1" t="s">
        <v>151</v>
      </c>
      <c r="B88" s="2">
        <v>86</v>
      </c>
      <c r="C88">
        <f>(Цены!B88-Цены!B$2)/Цены!B$2</f>
        <v>-0.13483040454044948</v>
      </c>
      <c r="D88">
        <f>(Цены!C88-Цены!C$2)/Цены!C$2</f>
        <v>-7.4226804123711382E-2</v>
      </c>
      <c r="E88">
        <f>(Цены!D88-Цены!D$2)/Цены!D$2</f>
        <v>-0.19031830238726799</v>
      </c>
      <c r="F88">
        <f>(Цены!E88-Цены!E$2)/Цены!E$2</f>
        <v>-0.1710680751173709</v>
      </c>
      <c r="G88">
        <f>(Цены!F88-Цены!F$2)/Цены!F$2</f>
        <v>-0.17621776504297995</v>
      </c>
      <c r="H88">
        <f>(Цены!G88-Цены!G$2)/Цены!G$2</f>
        <v>-0.15812629399585915</v>
      </c>
      <c r="I88">
        <f>(Цены!H88-Цены!H$2)/Цены!H$2</f>
        <v>-3.2578343158547851E-2</v>
      </c>
      <c r="J88">
        <f>(Цены!J88-Цены!J$2)/Цены!J$2</f>
        <v>-8.076009501187649E-2</v>
      </c>
      <c r="K88">
        <f>(Цены!K88-Цены!K$2)/Цены!K$2</f>
        <v>-0.23558897243107768</v>
      </c>
      <c r="L88">
        <f>(Цены!L88-Цены!L$2)/Цены!L$2</f>
        <v>-4.0000000000000091E-2</v>
      </c>
      <c r="M88">
        <f>(Цены!M88-Цены!M$2)/Цены!M$2</f>
        <v>-0.10964356793920756</v>
      </c>
      <c r="N88">
        <f>(Цены!N88-Цены!N$2)/Цены!N$2</f>
        <v>-0.2619117647058824</v>
      </c>
      <c r="O88">
        <f>(Цены!O88-Цены!O$2)/Цены!O$2</f>
        <v>-1.4778325123152615E-2</v>
      </c>
      <c r="P88">
        <f>(Цены!P88-Цены!P$2)/Цены!P$2</f>
        <v>-6.5024545689432417E-2</v>
      </c>
      <c r="Q88">
        <f>(Цены!Q88-Цены!Q$2)/Цены!Q$2</f>
        <v>-0.16931807610010224</v>
      </c>
      <c r="R88">
        <f>(Цены!R88-Цены!R$2)/Цены!R$2</f>
        <v>-0.21505599336374948</v>
      </c>
      <c r="S88">
        <f>(Цены!S88-Цены!S$2)/Цены!S$2</f>
        <v>-4.988472622478396E-2</v>
      </c>
      <c r="T88">
        <f>(Цены!T88-Цены!T$2)/Цены!T$2</f>
        <v>-0.13940119760479042</v>
      </c>
      <c r="U88">
        <f>(Цены!U88-Цены!U$2)/Цены!U$2</f>
        <v>-0.19105833042263359</v>
      </c>
      <c r="V88">
        <f>(Цены!V88-Цены!V$2)/Цены!V$2</f>
        <v>-0.49077868852459011</v>
      </c>
      <c r="W88">
        <f>(Цены!W88-Цены!W$2)/Цены!W$2</f>
        <v>-0.17</v>
      </c>
      <c r="X88">
        <f>(Цены!X88-Цены!X$2)/Цены!X$2</f>
        <v>6.071179344033488E-2</v>
      </c>
      <c r="Y88">
        <f>(Цены!Y88-Цены!Y$2)/Цены!Y$2</f>
        <v>-0.21771287692015934</v>
      </c>
      <c r="Z88">
        <f>(Цены!Z88-Цены!Z$2)/Цены!Z$2</f>
        <v>-0.26994798934415837</v>
      </c>
      <c r="AA88">
        <f>(Цены!AA88-Цены!AA$2)/Цены!AA$2</f>
        <v>0.11790520772381513</v>
      </c>
      <c r="AB88">
        <f>(Цены!AB88-Цены!AB$2)/Цены!AB$2</f>
        <v>-8.5542771385692842E-2</v>
      </c>
      <c r="AC88">
        <f>(Цены!AD88-Цены!AD$2)/Цены!AD$2</f>
        <v>-0.10953058321479368</v>
      </c>
      <c r="AD88">
        <f>(Цены!AE88-Цены!AE$2)/Цены!AE$2</f>
        <v>-0.26701570680628273</v>
      </c>
      <c r="AE88">
        <f>(Цены!AF88-Цены!AF$2)/Цены!AF$2</f>
        <v>1.439413766029835E-2</v>
      </c>
      <c r="AF88">
        <f>(Цены!AG88-Цены!AG$2)/Цены!AG$2</f>
        <v>-2.0506634499396898E-2</v>
      </c>
      <c r="AG88">
        <f>(Цены!AH88-Цены!AH$2)/Цены!AH$2</f>
        <v>-0.22154255319148938</v>
      </c>
      <c r="AH88">
        <f>(Цены!AI88-Цены!AI$2)/Цены!AI$2</f>
        <v>-4.2957746478873203E-2</v>
      </c>
      <c r="AI88">
        <f>(Цены!AJ88-Цены!AJ$2)/Цены!AJ$2</f>
        <v>-0.12063037249283667</v>
      </c>
      <c r="AJ88">
        <f>(Цены!AK88-Цены!AK$2)/Цены!AK$2</f>
        <v>-0.16860768294802708</v>
      </c>
      <c r="AK88">
        <f>(Цены!AL88-Цены!AL$2)/Цены!AL$2</f>
        <v>-0.19152691968225941</v>
      </c>
      <c r="AL88">
        <f>(Цены!AM88-Цены!AM$2)/Цены!AM$2</f>
        <v>-0.20699471329808866</v>
      </c>
      <c r="AM88">
        <f>(Цены!AN88-Цены!AN$2)/Цены!AN$2</f>
        <v>8.4181941615750169E-2</v>
      </c>
      <c r="AN88">
        <f>(Цены!AO88-Цены!AO$2)/Цены!AO$2</f>
        <v>-0.28708791208791207</v>
      </c>
      <c r="AO88">
        <f>(Цены!AP88-Цены!AP$2)/Цены!AP$2</f>
        <v>0.50668286755771563</v>
      </c>
      <c r="AP88">
        <f>(Цены!AQ88-Цены!AQ$2)/Цены!AQ$2</f>
        <v>-0.21207430340557276</v>
      </c>
      <c r="AQ88">
        <f>(Цены!AR88-Цены!AR$2)/Цены!AR$2</f>
        <v>0.14572333685322067</v>
      </c>
      <c r="AR88">
        <f>(Цены!AS88-Цены!AS$2)/Цены!AS$2</f>
        <v>-0.18922568014581786</v>
      </c>
      <c r="AS88">
        <f>(Цены!AU88-Цены!AU$2)/Цены!AU$2</f>
        <v>6.0903732809430282E-2</v>
      </c>
      <c r="AT88">
        <f>(Цены!AV88-Цены!AV$2)/Цены!AV$2</f>
        <v>-0.29904699309891558</v>
      </c>
      <c r="AU88">
        <f>(Цены!AW88-Цены!AW$2)/Цены!AW$2</f>
        <v>-0.30847096430474163</v>
      </c>
      <c r="AV88">
        <f>(Цены!AX88-Цены!AX$2)/Цены!AX$2</f>
        <v>-1.7218543046357615E-2</v>
      </c>
    </row>
    <row r="89" spans="1:48" x14ac:dyDescent="0.2">
      <c r="A89" s="1" t="s">
        <v>152</v>
      </c>
      <c r="B89" s="2">
        <v>87</v>
      </c>
      <c r="C89">
        <f>(Цены!B89-Цены!B$2)/Цены!B$2</f>
        <v>-0.14939081704817056</v>
      </c>
      <c r="D89">
        <f>(Цены!C89-Цены!C$2)/Цены!C$2</f>
        <v>-0.10693012600229088</v>
      </c>
      <c r="E89">
        <f>(Цены!D89-Цены!D$2)/Цены!D$2</f>
        <v>-0.20238726790450934</v>
      </c>
      <c r="F89">
        <f>(Цены!E89-Цены!E$2)/Цены!E$2</f>
        <v>-0.19219483568075119</v>
      </c>
      <c r="G89">
        <f>(Цены!F89-Цены!F$2)/Цены!F$2</f>
        <v>-0.19136307818256243</v>
      </c>
      <c r="H89">
        <f>(Цены!G89-Цены!G$2)/Цены!G$2</f>
        <v>-0.17054865424430637</v>
      </c>
      <c r="I89">
        <f>(Цены!H89-Цены!H$2)/Цены!H$2</f>
        <v>-6.0502637294446042E-2</v>
      </c>
      <c r="J89">
        <f>(Цены!J89-Цены!J$2)/Цены!J$2</f>
        <v>-8.6698337292161518E-2</v>
      </c>
      <c r="K89">
        <f>(Цены!K89-Цены!K$2)/Цены!K$2</f>
        <v>-0.24423558897243106</v>
      </c>
      <c r="L89">
        <f>(Цены!L89-Цены!L$2)/Цены!L$2</f>
        <v>-4.4467201337548092E-2</v>
      </c>
      <c r="M89">
        <f>(Цены!M89-Цены!M$2)/Цены!M$2</f>
        <v>-0.14420119413786872</v>
      </c>
      <c r="N89">
        <f>(Цены!N89-Цены!N$2)/Цены!N$2</f>
        <v>-0.25735294117647056</v>
      </c>
      <c r="O89">
        <f>(Цены!O89-Цены!O$2)/Цены!O$2</f>
        <v>-1.7487684729063976E-2</v>
      </c>
      <c r="P89">
        <f>(Цены!P89-Цены!P$2)/Цены!P$2</f>
        <v>-5.2536387908018213E-3</v>
      </c>
      <c r="Q89">
        <f>(Цены!Q89-Цены!Q$2)/Цены!Q$2</f>
        <v>-0.17806307563494281</v>
      </c>
      <c r="R89">
        <f>(Цены!R89-Цены!R$2)/Цены!R$2</f>
        <v>-0.23423890501866443</v>
      </c>
      <c r="S89">
        <f>(Цены!S89-Цены!S$2)/Цены!S$2</f>
        <v>-4.6829971181556233E-2</v>
      </c>
      <c r="T89">
        <f>(Цены!T89-Цены!T$2)/Цены!T$2</f>
        <v>-0.1437125748502994</v>
      </c>
      <c r="U89">
        <f>(Цены!U89-Цены!U$2)/Цены!U$2</f>
        <v>-0.19420188613342648</v>
      </c>
      <c r="V89">
        <f>(Цены!V89-Цены!V$2)/Цены!V$2</f>
        <v>-0.48954918032786882</v>
      </c>
      <c r="W89">
        <f>(Цены!W89-Цены!W$2)/Цены!W$2</f>
        <v>-0.18171052631578952</v>
      </c>
      <c r="X89">
        <f>(Цены!X89-Цены!X$2)/Цены!X$2</f>
        <v>5.3733426378227409E-2</v>
      </c>
      <c r="Y89">
        <f>(Цены!Y89-Цены!Y$2)/Цены!Y$2</f>
        <v>-0.26038308363360513</v>
      </c>
      <c r="Z89">
        <f>(Цены!Z89-Цены!Z$2)/Цены!Z$2</f>
        <v>-0.30610173791703671</v>
      </c>
      <c r="AA89">
        <f>(Цены!AA89-Цены!AA$2)/Цены!AA$2</f>
        <v>0.10356933879461666</v>
      </c>
      <c r="AB89">
        <f>(Цены!AB89-Цены!AB$2)/Цены!AB$2</f>
        <v>-9.304652326163082E-2</v>
      </c>
      <c r="AC89">
        <f>(Цены!AD89-Цены!AD$2)/Цены!AD$2</f>
        <v>-7.6458036984352731E-2</v>
      </c>
      <c r="AD89">
        <f>(Цены!AE89-Цены!AE$2)/Цены!AE$2</f>
        <v>-0.27329842931937171</v>
      </c>
      <c r="AE89">
        <f>(Цены!AF89-Цены!AF$2)/Цены!AF$2</f>
        <v>1.2823868097356653E-2</v>
      </c>
      <c r="AF89">
        <f>(Цены!AG89-Цены!AG$2)/Цены!AG$2</f>
        <v>-1.097708082026551E-2</v>
      </c>
      <c r="AG89">
        <f>(Цены!AH89-Цены!AH$2)/Цены!AH$2</f>
        <v>-0.17367021276595748</v>
      </c>
      <c r="AH89">
        <f>(Цены!AI89-Цены!AI$2)/Цены!AI$2</f>
        <v>-2.8169014084506942E-2</v>
      </c>
      <c r="AI89">
        <f>(Цены!AJ89-Цены!AJ$2)/Цены!AJ$2</f>
        <v>-0.15472779369627507</v>
      </c>
      <c r="AJ89">
        <f>(Цены!AK89-Цены!AK$2)/Цены!AK$2</f>
        <v>-0.19972188423431253</v>
      </c>
      <c r="AK89">
        <f>(Цены!AL89-Цены!AL$2)/Цены!AL$2</f>
        <v>-0.20388349514563095</v>
      </c>
      <c r="AL89">
        <f>(Цены!AM89-Цены!AM$2)/Цены!AM$2</f>
        <v>-0.25254168361122409</v>
      </c>
      <c r="AM89">
        <f>(Цены!AN89-Цены!AN$2)/Цены!AN$2</f>
        <v>8.2145281737949757E-2</v>
      </c>
      <c r="AN89">
        <f>(Цены!AO89-Цены!AO$2)/Цены!AO$2</f>
        <v>-0.29945054945054944</v>
      </c>
      <c r="AO89">
        <f>(Цены!AP89-Цены!AP$2)/Цены!AP$2</f>
        <v>0.51640340218712033</v>
      </c>
      <c r="AP89">
        <f>(Цены!AQ89-Цены!AQ$2)/Цены!AQ$2</f>
        <v>-0.22136222910216719</v>
      </c>
      <c r="AQ89">
        <f>(Цены!AR89-Цены!AR$2)/Цены!AR$2</f>
        <v>0.13938753959873287</v>
      </c>
      <c r="AR89">
        <f>(Цены!AS89-Цены!AS$2)/Цены!AS$2</f>
        <v>-0.17369877810031722</v>
      </c>
      <c r="AS89">
        <f>(Цены!AU89-Цены!AU$2)/Цены!AU$2</f>
        <v>4.6168958742632639E-2</v>
      </c>
      <c r="AT89">
        <f>(Цены!AV89-Цены!AV$2)/Цены!AV$2</f>
        <v>-0.29828020593712345</v>
      </c>
      <c r="AU89">
        <f>(Цены!AW89-Цены!AW$2)/Цены!AW$2</f>
        <v>-0.32214526727046716</v>
      </c>
      <c r="AV89">
        <f>(Цены!AX89-Цены!AX$2)/Цены!AX$2</f>
        <v>-1.5894039735099338E-2</v>
      </c>
    </row>
    <row r="90" spans="1:48" x14ac:dyDescent="0.2">
      <c r="A90" s="1" t="s">
        <v>153</v>
      </c>
      <c r="B90" s="2">
        <v>88</v>
      </c>
      <c r="C90">
        <f>(Цены!B90-Цены!B$2)/Цены!B$2</f>
        <v>-0.16314107441789674</v>
      </c>
      <c r="D90">
        <f>(Цены!C90-Цены!C$2)/Цены!C$2</f>
        <v>-0.12371134020618554</v>
      </c>
      <c r="E90">
        <f>(Цены!D90-Цены!D$2)/Цены!D$2</f>
        <v>-0.2175066312997348</v>
      </c>
      <c r="F90">
        <f>(Цены!E90-Цены!E$2)/Цены!E$2</f>
        <v>-0.20774647887323944</v>
      </c>
      <c r="G90">
        <f>(Цены!F90-Цены!F$2)/Цены!F$2</f>
        <v>-0.20272206303724929</v>
      </c>
      <c r="H90">
        <f>(Цены!G90-Цены!G$2)/Цены!G$2</f>
        <v>-0.19164078674948229</v>
      </c>
      <c r="I90">
        <f>(Цены!H90-Цены!H$2)/Цены!H$2</f>
        <v>-0.1576171269004033</v>
      </c>
      <c r="J90">
        <f>(Цены!J90-Цены!J$2)/Цены!J$2</f>
        <v>-0.10106888361045133</v>
      </c>
      <c r="K90">
        <f>(Цены!K90-Цены!K$2)/Цены!K$2</f>
        <v>-0.24448621553884714</v>
      </c>
      <c r="L90">
        <f>(Цены!L90-Цены!L$2)/Цены!L$2</f>
        <v>-5.7661903393505527E-2</v>
      </c>
      <c r="M90">
        <f>(Цены!M90-Цены!M$2)/Цены!M$2</f>
        <v>-0.12773656594897778</v>
      </c>
      <c r="N90">
        <f>(Цены!N90-Цены!N$2)/Цены!N$2</f>
        <v>-0.25882352941176473</v>
      </c>
      <c r="O90">
        <f>(Цены!O90-Цены!O$2)/Цены!O$2</f>
        <v>-1.2315270935960548E-2</v>
      </c>
      <c r="P90">
        <f>(Цены!P90-Цены!P$2)/Цены!P$2</f>
        <v>-6.0373783481181685E-2</v>
      </c>
      <c r="Q90">
        <f>(Цены!Q90-Цены!Q$2)/Цены!Q$2</f>
        <v>-0.18308679877197873</v>
      </c>
      <c r="R90">
        <f>(Цены!R90-Цены!R$2)/Цены!R$2</f>
        <v>-0.2409788469514724</v>
      </c>
      <c r="S90">
        <f>(Цены!S90-Цены!S$2)/Цены!S$2</f>
        <v>-6.7276657060518816E-2</v>
      </c>
      <c r="T90">
        <f>(Цены!T90-Цены!T$2)/Цены!T$2</f>
        <v>-0.14826347305389215</v>
      </c>
      <c r="U90">
        <f>(Цены!U90-Цены!U$2)/Цены!U$2</f>
        <v>-0.19734544184421934</v>
      </c>
      <c r="V90">
        <f>(Цены!V90-Цены!V$2)/Цены!V$2</f>
        <v>-0.48975409836065575</v>
      </c>
      <c r="W90">
        <f>(Цены!W90-Цены!W$2)/Цены!W$2</f>
        <v>-0.19473684210526312</v>
      </c>
      <c r="X90">
        <f>(Цены!X90-Цены!X$2)/Цены!X$2</f>
        <v>7.5366364270760516E-2</v>
      </c>
      <c r="Y90">
        <f>(Цены!Y90-Цены!Y$2)/Цены!Y$2</f>
        <v>-0.21297174284088757</v>
      </c>
      <c r="Z90">
        <f>(Цены!Z90-Цены!Z$2)/Цены!Z$2</f>
        <v>-0.31075309738255319</v>
      </c>
      <c r="AA90">
        <f>(Цены!AA90-Цены!AA$2)/Цены!AA$2</f>
        <v>0.10122878876535976</v>
      </c>
      <c r="AB90">
        <f>(Цены!AB90-Цены!AB$2)/Цены!AB$2</f>
        <v>-8.5042521260630319E-2</v>
      </c>
      <c r="AC90">
        <f>(Цены!AD90-Цены!AD$2)/Цены!AD$2</f>
        <v>-7.6102418207681363E-2</v>
      </c>
      <c r="AD90">
        <f>(Цены!AE90-Цены!AE$2)/Цены!AE$2</f>
        <v>-0.27853403141361255</v>
      </c>
      <c r="AE90">
        <f>(Цены!AF90-Цены!AF$2)/Цены!AF$2</f>
        <v>1.4655849254121868E-2</v>
      </c>
      <c r="AF90">
        <f>(Цены!AG90-Цены!AG$2)/Цены!AG$2</f>
        <v>-1.085645355850429E-2</v>
      </c>
      <c r="AG90">
        <f>(Цены!AH90-Цены!AH$2)/Цены!AH$2</f>
        <v>-0.20425531914893619</v>
      </c>
      <c r="AH90">
        <f>(Цены!AI90-Цены!AI$2)/Цены!AI$2</f>
        <v>-2.3943661971830978E-2</v>
      </c>
      <c r="AI90">
        <f>(Цены!AJ90-Цены!AJ$2)/Цены!AJ$2</f>
        <v>-0.13753581661891118</v>
      </c>
      <c r="AJ90">
        <f>(Цены!AK90-Цены!AK$2)/Цены!AK$2</f>
        <v>-0.17764644533286986</v>
      </c>
      <c r="AK90">
        <f>(Цены!AL90-Цены!AL$2)/Цены!AL$2</f>
        <v>-0.23242130038246545</v>
      </c>
      <c r="AL90">
        <f>(Цены!AM90-Цены!AM$2)/Цены!AM$2</f>
        <v>-0.24359495729971534</v>
      </c>
      <c r="AM90">
        <f>(Цены!AN90-Цены!AN$2)/Цены!AN$2</f>
        <v>7.8071961982348947E-2</v>
      </c>
      <c r="AN90">
        <f>(Цены!AO90-Цены!AO$2)/Цены!AO$2</f>
        <v>-0.30219780219780223</v>
      </c>
      <c r="AO90">
        <f>(Цены!AP90-Цены!AP$2)/Цены!AP$2</f>
        <v>0.50911300121506686</v>
      </c>
      <c r="AP90">
        <f>(Цены!AQ90-Цены!AQ$2)/Цены!AQ$2</f>
        <v>-0.19504643962848298</v>
      </c>
      <c r="AQ90">
        <f>(Цены!AR90-Цены!AR$2)/Цены!AR$2</f>
        <v>0.13833157338965146</v>
      </c>
      <c r="AR90">
        <f>(Цены!AS90-Цены!AS$2)/Цены!AS$2</f>
        <v>-0.17977452237899141</v>
      </c>
      <c r="AS90">
        <f>(Цены!AU90-Цены!AU$2)/Цены!AU$2</f>
        <v>3.4381139489194502E-2</v>
      </c>
      <c r="AT90">
        <f>(Цены!AV90-Цены!AV$2)/Цены!AV$2</f>
        <v>-0.32884215138569395</v>
      </c>
      <c r="AU90">
        <f>(Цены!AW90-Цены!AW$2)/Цены!AW$2</f>
        <v>-0.32765050612679814</v>
      </c>
      <c r="AV90">
        <f>(Цены!AX90-Цены!AX$2)/Цены!AX$2</f>
        <v>-1.7218543046357615E-2</v>
      </c>
    </row>
    <row r="91" spans="1:48" x14ac:dyDescent="0.2">
      <c r="A91" s="1" t="s">
        <v>154</v>
      </c>
      <c r="B91" s="2">
        <v>89</v>
      </c>
      <c r="C91">
        <f>(Цены!B91-Цены!B$2)/Цены!B$2</f>
        <v>-0.15767588423285916</v>
      </c>
      <c r="D91">
        <f>(Цены!C91-Цены!C$2)/Цены!C$2</f>
        <v>-0.10000000000000005</v>
      </c>
      <c r="E91">
        <f>(Цены!D91-Цены!D$2)/Цены!D$2</f>
        <v>-0.20629973474801069</v>
      </c>
      <c r="F91">
        <f>(Цены!E91-Цены!E$2)/Цены!E$2</f>
        <v>-0.19776995305164319</v>
      </c>
      <c r="G91">
        <f>(Цены!F91-Цены!F$2)/Цены!F$2</f>
        <v>-0.19883340155546458</v>
      </c>
      <c r="H91">
        <f>(Цены!G91-Цены!G$2)/Цены!G$2</f>
        <v>-0.20419254658385089</v>
      </c>
      <c r="I91">
        <f>(Цены!H91-Цены!H$2)/Цены!H$2</f>
        <v>-0.17406143344709887</v>
      </c>
      <c r="J91">
        <f>(Цены!J91-Цены!J$2)/Цены!J$2</f>
        <v>-9.6674584323040352E-2</v>
      </c>
      <c r="K91">
        <f>(Цены!K91-Цены!K$2)/Цены!K$2</f>
        <v>-0.24561403508771928</v>
      </c>
      <c r="L91">
        <f>(Цены!L91-Цены!L$2)/Цены!L$2</f>
        <v>-7.7921575798740872E-2</v>
      </c>
      <c r="M91">
        <f>(Цены!M91-Цены!M$2)/Цены!M$2</f>
        <v>-9.969241903383394E-2</v>
      </c>
      <c r="N91">
        <f>(Цены!N91-Цены!N$2)/Цены!N$2</f>
        <v>-0.250735294117647</v>
      </c>
      <c r="O91">
        <f>(Цены!O91-Цены!O$2)/Цены!O$2</f>
        <v>-2.8325123152709304E-2</v>
      </c>
      <c r="P91">
        <f>(Цены!P91-Цены!P$2)/Цены!P$2</f>
        <v>-6.4680044785117602E-2</v>
      </c>
      <c r="Q91">
        <f>(Цены!Q91-Цены!Q$2)/Цены!Q$2</f>
        <v>-0.17834217136477815</v>
      </c>
      <c r="R91">
        <f>(Цены!R91-Цены!R$2)/Цены!R$2</f>
        <v>-0.24678556615512237</v>
      </c>
      <c r="S91">
        <f>(Цены!S91-Цены!S$2)/Цены!S$2</f>
        <v>-6.0518731988472754E-2</v>
      </c>
      <c r="T91">
        <f>(Цены!T91-Цены!T$2)/Цены!T$2</f>
        <v>-0.15089820359281431</v>
      </c>
      <c r="U91">
        <f>(Цены!U91-Цены!U$2)/Цены!U$2</f>
        <v>-0.20747467691232974</v>
      </c>
      <c r="V91">
        <f>(Цены!V91-Цены!V$2)/Цены!V$2</f>
        <v>-0.44651639344262289</v>
      </c>
      <c r="W91">
        <f>(Цены!W91-Цены!W$2)/Цены!W$2</f>
        <v>-0.18684210526315792</v>
      </c>
      <c r="X91">
        <f>(Цены!X91-Цены!X$2)/Цены!X$2</f>
        <v>4.8499651081646812E-2</v>
      </c>
      <c r="Y91">
        <f>(Цены!Y91-Цены!Y$2)/Цены!Y$2</f>
        <v>-0.21297174284088757</v>
      </c>
      <c r="Z91">
        <f>(Цены!Z91-Цены!Z$2)/Цены!Z$2</f>
        <v>-0.30250750560277384</v>
      </c>
      <c r="AA91">
        <f>(Цены!AA91-Цены!AA$2)/Цены!AA$2</f>
        <v>8.7185488589818644E-2</v>
      </c>
      <c r="AB91">
        <f>(Цены!AB91-Цены!AB$2)/Цены!AB$2</f>
        <v>-0.10705352676338169</v>
      </c>
      <c r="AC91">
        <f>(Цены!AD91-Цены!AD$2)/Цены!AD$2</f>
        <v>-6.5078236130867648E-2</v>
      </c>
      <c r="AD91">
        <f>(Цены!AE91-Цены!AE$2)/Цены!AE$2</f>
        <v>-0.27643979057591622</v>
      </c>
      <c r="AE91">
        <f>(Цены!AF91-Цены!AF$2)/Цены!AF$2</f>
        <v>1.7272965192357933E-2</v>
      </c>
      <c r="AF91">
        <f>(Цены!AG91-Цены!AG$2)/Цены!AG$2</f>
        <v>-7.8407720144753387E-3</v>
      </c>
      <c r="AG91">
        <f>(Цены!AH91-Цены!AH$2)/Цены!AH$2</f>
        <v>-0.21595744680851062</v>
      </c>
      <c r="AH91">
        <f>(Цены!AI91-Цены!AI$2)/Цены!AI$2</f>
        <v>-2.8169014084506942E-2</v>
      </c>
      <c r="AI91">
        <f>(Цены!AJ91-Цены!AJ$2)/Цены!AJ$2</f>
        <v>-0.13925501432664755</v>
      </c>
      <c r="AJ91">
        <f>(Цены!AK91-Цены!AK$2)/Цены!AK$2</f>
        <v>-0.19624543716321927</v>
      </c>
      <c r="AK91">
        <f>(Цены!AL91-Цены!AL$2)/Цены!AL$2</f>
        <v>-0.23771697558105312</v>
      </c>
      <c r="AL91">
        <f>(Цены!AM91-Цены!AM$2)/Цены!AM$2</f>
        <v>-0.2834485563237088</v>
      </c>
      <c r="AM91">
        <f>(Цены!AN91-Цены!AN$2)/Цены!AN$2</f>
        <v>-2.8513238289205704E-2</v>
      </c>
      <c r="AN91">
        <f>(Цены!AO91-Цены!AO$2)/Цены!AO$2</f>
        <v>-0.30769230769230771</v>
      </c>
      <c r="AO91">
        <f>(Цены!AP91-Цены!AP$2)/Цены!AP$2</f>
        <v>0.50668286755771563</v>
      </c>
      <c r="AP91">
        <f>(Цены!AQ91-Цены!AQ$2)/Цены!AQ$2</f>
        <v>-0.14705882352941177</v>
      </c>
      <c r="AQ91">
        <f>(Цены!AR91-Цены!AR$2)/Цены!AR$2</f>
        <v>0.14994720168954595</v>
      </c>
      <c r="AR91">
        <f>(Цены!AS91-Цены!AS$2)/Цены!AS$2</f>
        <v>-0.18247485316951328</v>
      </c>
      <c r="AS91">
        <f>(Цены!AU91-Цены!AU$2)/Цены!AU$2</f>
        <v>3.3398821218074713E-2</v>
      </c>
      <c r="AT91">
        <f>(Цены!AV91-Цены!AV$2)/Цены!AV$2</f>
        <v>-0.35710373534888823</v>
      </c>
      <c r="AU91">
        <f>(Цены!AW91-Цены!AW$2)/Цены!AW$2</f>
        <v>-0.31681761676434034</v>
      </c>
      <c r="AV91">
        <f>(Цены!AX91-Цены!AX$2)/Цены!AX$2</f>
        <v>-1.8543046357615896E-2</v>
      </c>
    </row>
    <row r="92" spans="1:48" x14ac:dyDescent="0.2">
      <c r="A92" s="1" t="s">
        <v>155</v>
      </c>
      <c r="B92" s="2">
        <v>90</v>
      </c>
      <c r="C92">
        <f>(Цены!B92-Цены!B$2)/Цены!B$2</f>
        <v>-0.15954685024215126</v>
      </c>
      <c r="D92">
        <f>(Цены!C92-Цены!C$2)/Цены!C$2</f>
        <v>-0.11397479954180989</v>
      </c>
      <c r="E92">
        <f>(Цены!D92-Цены!D$2)/Цены!D$2</f>
        <v>-0.21087533156498681</v>
      </c>
      <c r="F92">
        <f>(Цены!E92-Цены!E$2)/Цены!E$2</f>
        <v>-0.19762323943661972</v>
      </c>
      <c r="G92">
        <f>(Цены!F92-Цены!F$2)/Цены!F$2</f>
        <v>-0.19289807613589849</v>
      </c>
      <c r="H92">
        <f>(Цены!G92-Цены!G$2)/Цены!G$2</f>
        <v>-0.21195652173913038</v>
      </c>
      <c r="I92">
        <f>(Цены!H92-Цены!H$2)/Цены!H$2</f>
        <v>-0.16273658082531797</v>
      </c>
      <c r="J92">
        <f>(Цены!J92-Цены!J$2)/Цены!J$2</f>
        <v>-0.10617577197149641</v>
      </c>
      <c r="K92">
        <f>(Цены!K92-Цены!K$2)/Цены!K$2</f>
        <v>-0.23558897243107768</v>
      </c>
      <c r="L92">
        <f>(Цены!L92-Цены!L$2)/Цены!L$2</f>
        <v>-6.6078006217508325E-2</v>
      </c>
      <c r="M92">
        <f>(Цены!M92-Цены!M$2)/Цены!M$2</f>
        <v>-0.10005427899402942</v>
      </c>
      <c r="N92">
        <f>(Цены!N92-Цены!N$2)/Цены!N$2</f>
        <v>-0.24161764705882352</v>
      </c>
      <c r="O92">
        <f>(Цены!O92-Цены!O$2)/Цены!O$2</f>
        <v>-3.9408866995073823E-2</v>
      </c>
      <c r="P92">
        <f>(Цены!P92-Цены!P$2)/Цены!P$2</f>
        <v>-7.3723193523383024E-2</v>
      </c>
      <c r="Q92">
        <f>(Цены!Q92-Цены!Q$2)/Цены!Q$2</f>
        <v>-0.18271467113219836</v>
      </c>
      <c r="R92">
        <f>(Цены!R92-Цены!R$2)/Цены!R$2</f>
        <v>-0.25124429697221068</v>
      </c>
      <c r="S92">
        <f>(Цены!S92-Цены!S$2)/Цены!S$2</f>
        <v>-6.2680115273775303E-2</v>
      </c>
      <c r="T92">
        <f>(Цены!T92-Цены!T$2)/Цены!T$2</f>
        <v>-0.14802395209580838</v>
      </c>
      <c r="U92">
        <f>(Цены!U92-Цены!U$2)/Цены!U$2</f>
        <v>-0.20817324484806146</v>
      </c>
      <c r="V92">
        <f>(Цены!V92-Цены!V$2)/Цены!V$2</f>
        <v>-0.41967213114754093</v>
      </c>
      <c r="W92">
        <f>(Цены!W92-Цены!W$2)/Цены!W$2</f>
        <v>-0.2155263157894737</v>
      </c>
      <c r="X92">
        <f>(Цены!X92-Цены!X$2)/Цены!X$2</f>
        <v>7.1179344033496073E-2</v>
      </c>
      <c r="Y92">
        <f>(Цены!Y92-Цены!Y$2)/Цены!Y$2</f>
        <v>-0.2224540109994311</v>
      </c>
      <c r="Z92">
        <f>(Цены!Z92-Цены!Z$2)/Цены!Z$2</f>
        <v>-0.30758171592879191</v>
      </c>
      <c r="AA92">
        <f>(Цены!AA92-Цены!AA$2)/Цены!AA$2</f>
        <v>0.10620245757753075</v>
      </c>
      <c r="AB92">
        <f>(Цены!AB92-Цены!AB$2)/Цены!AB$2</f>
        <v>-0.10605302651325663</v>
      </c>
      <c r="AC92">
        <f>(Цены!AD92-Цены!AD$2)/Цены!AD$2</f>
        <v>-6.2944523470839286E-2</v>
      </c>
      <c r="AD92">
        <f>(Цены!AE92-Цены!AE$2)/Цены!AE$2</f>
        <v>-0.26596858638743454</v>
      </c>
      <c r="AE92">
        <f>(Цены!AF92-Цены!AF$2)/Цены!AF$2</f>
        <v>1.7011253598534413E-2</v>
      </c>
      <c r="AF92">
        <f>(Цены!AG92-Цены!AG$2)/Цены!AG$2</f>
        <v>-9.4089264173703394E-3</v>
      </c>
      <c r="AG92">
        <f>(Цены!AH92-Цены!AH$2)/Цены!AH$2</f>
        <v>-0.21276595744680851</v>
      </c>
      <c r="AH92">
        <f>(Цены!AI92-Цены!AI$2)/Цены!AI$2</f>
        <v>-2.183098591549287E-2</v>
      </c>
      <c r="AI92">
        <f>(Цены!AJ92-Цены!AJ$2)/Цены!AJ$2</f>
        <v>-0.13151862464183381</v>
      </c>
      <c r="AJ92">
        <f>(Цены!AK92-Цены!AK$2)/Цены!AK$2</f>
        <v>-0.17260559707978451</v>
      </c>
      <c r="AK92">
        <f>(Цены!AL92-Цены!AL$2)/Цены!AL$2</f>
        <v>-0.24213003824654297</v>
      </c>
      <c r="AL92">
        <f>(Цены!AM92-Цены!AM$2)/Цены!AM$2</f>
        <v>-0.29103971804256473</v>
      </c>
      <c r="AM92">
        <f>(Цены!AN92-Цены!AN$2)/Цены!AN$2</f>
        <v>1.3577732518669382E-3</v>
      </c>
      <c r="AN92">
        <f>(Цены!AO92-Цены!AO$2)/Цены!AO$2</f>
        <v>-0.33241758241758235</v>
      </c>
      <c r="AO92">
        <f>(Цены!AP92-Цены!AP$2)/Цены!AP$2</f>
        <v>0.50668286755771563</v>
      </c>
      <c r="AP92">
        <f>(Цены!AQ92-Цены!AQ$2)/Цены!AQ$2</f>
        <v>-0.17182662538699692</v>
      </c>
      <c r="AQ92">
        <f>(Цены!AR92-Цены!AR$2)/Цены!AR$2</f>
        <v>0.15100316789862722</v>
      </c>
      <c r="AR92">
        <f>(Цены!AS92-Цены!AS$2)/Цены!AS$2</f>
        <v>-0.18247485316951328</v>
      </c>
      <c r="AS92">
        <f>(Цены!AU92-Цены!AU$2)/Цены!AU$2</f>
        <v>3.7328094302554002E-2</v>
      </c>
      <c r="AT92">
        <f>(Цены!AV92-Цены!AV$2)/Цены!AV$2</f>
        <v>-0.34702596122247786</v>
      </c>
      <c r="AU92">
        <f>(Цены!AW92-Цены!AW$2)/Цены!AW$2</f>
        <v>-0.30935890605576277</v>
      </c>
      <c r="AV92">
        <f>(Цены!AX92-Цены!AX$2)/Цены!AX$2</f>
        <v>-1.7218543046357615E-2</v>
      </c>
    </row>
    <row r="93" spans="1:48" x14ac:dyDescent="0.2">
      <c r="A93" s="1" t="s">
        <v>156</v>
      </c>
      <c r="B93" s="2">
        <v>91</v>
      </c>
      <c r="C93">
        <f>(Цены!B93-Цены!B$2)/Цены!B$2</f>
        <v>-0.16297098659887022</v>
      </c>
      <c r="D93">
        <f>(Цены!C93-Цены!C$2)/Цены!C$2</f>
        <v>-0.12485681557846497</v>
      </c>
      <c r="E93">
        <f>(Цены!D93-Цены!D$2)/Цены!D$2</f>
        <v>-0.21054376657824941</v>
      </c>
      <c r="F93">
        <f>(Цены!E93-Цены!E$2)/Цены!E$2</f>
        <v>-0.20143779342723006</v>
      </c>
      <c r="G93">
        <f>(Цены!F93-Цены!F$2)/Цены!F$2</f>
        <v>-0.19177241097011871</v>
      </c>
      <c r="H93">
        <f>(Цены!G93-Цены!G$2)/Цены!G$2</f>
        <v>-0.20031055900621114</v>
      </c>
      <c r="I93">
        <f>(Цены!H93-Цены!H$2)/Цены!H$2</f>
        <v>-0.16801116971765423</v>
      </c>
      <c r="J93">
        <f>(Цены!J93-Цены!J$2)/Цены!J$2</f>
        <v>-0.13681710213776727</v>
      </c>
      <c r="K93">
        <f>(Цены!K93-Цены!K$2)/Цены!K$2</f>
        <v>-0.24172932330827065</v>
      </c>
      <c r="L93">
        <f>(Цены!L93-Цены!L$2)/Цены!L$2</f>
        <v>-5.9427884740980604E-2</v>
      </c>
      <c r="M93">
        <f>(Цены!M93-Цены!M$2)/Цены!M$2</f>
        <v>-0.10240636873529947</v>
      </c>
      <c r="N93">
        <f>(Цены!N93-Цены!N$2)/Цены!N$2</f>
        <v>-0.25036764705882353</v>
      </c>
      <c r="O93">
        <f>(Цены!O93-Цены!O$2)/Цены!O$2</f>
        <v>-2.9556650246305338E-2</v>
      </c>
      <c r="P93">
        <f>(Цены!P93-Цены!P$2)/Цены!P$2</f>
        <v>-6.9072431315132174E-2</v>
      </c>
      <c r="Q93">
        <f>(Цены!Q93-Цены!Q$2)/Цены!Q$2</f>
        <v>-0.18466834124104564</v>
      </c>
      <c r="R93">
        <f>(Цены!R93-Цены!R$2)/Цены!R$2</f>
        <v>-0.26171712982165074</v>
      </c>
      <c r="S93">
        <f>(Цены!S93-Цены!S$2)/Цены!S$2</f>
        <v>-7.2766570605187306E-2</v>
      </c>
      <c r="T93">
        <f>(Цены!T93-Цены!T$2)/Цены!T$2</f>
        <v>-0.16526946107784427</v>
      </c>
      <c r="U93">
        <f>(Цены!U93-Цены!U$2)/Цены!U$2</f>
        <v>-0.20922109675165909</v>
      </c>
      <c r="V93">
        <f>(Цены!V93-Цены!V$2)/Цены!V$2</f>
        <v>-0.46290983606557373</v>
      </c>
      <c r="W93">
        <f>(Цены!W93-Цены!W$2)/Цены!W$2</f>
        <v>-0.22434210526315787</v>
      </c>
      <c r="X93">
        <f>(Цены!X93-Цены!X$2)/Цены!X$2</f>
        <v>7.4668527564549808E-2</v>
      </c>
      <c r="Y93">
        <f>(Цены!Y93-Цены!Y$2)/Цены!Y$2</f>
        <v>-0.21211833870661864</v>
      </c>
      <c r="Z93">
        <f>(Цены!Z93-Цены!Z$2)/Цены!Z$2</f>
        <v>-0.30398748361452921</v>
      </c>
      <c r="AA93">
        <f>(Цены!AA93-Цены!AA$2)/Цены!AA$2</f>
        <v>0.11176126389701577</v>
      </c>
      <c r="AB93">
        <f>(Цены!AB93-Цены!AB$2)/Цены!AB$2</f>
        <v>-0.11305652826413207</v>
      </c>
      <c r="AC93">
        <f>(Цены!AD93-Цены!AD$2)/Цены!AD$2</f>
        <v>-5.7965860597439481E-2</v>
      </c>
      <c r="AD93">
        <f>(Цены!AE93-Цены!AE$2)/Цены!AE$2</f>
        <v>-0.2743455497382199</v>
      </c>
      <c r="AE93">
        <f>(Цены!AF93-Цены!AF$2)/Цены!AF$2</f>
        <v>1.7534676786181598E-2</v>
      </c>
      <c r="AF93">
        <f>(Цены!AG93-Цены!AG$2)/Цены!AG$2</f>
        <v>-1.8094089264173701E-2</v>
      </c>
      <c r="AG93">
        <f>(Цены!AH93-Цены!AH$2)/Цены!AH$2</f>
        <v>-0.20957446808510641</v>
      </c>
      <c r="AH93">
        <f>(Цены!AI93-Цены!AI$2)/Цены!AI$2</f>
        <v>-3.7323943661971788E-2</v>
      </c>
      <c r="AI93">
        <f>(Цены!AJ93-Цены!AJ$2)/Цены!AJ$2</f>
        <v>-0.12722063037249284</v>
      </c>
      <c r="AJ93">
        <f>(Цены!AK93-Цены!AK$2)/Цены!AK$2</f>
        <v>-0.1958977924561098</v>
      </c>
      <c r="AK93">
        <f>(Цены!AL93-Цены!AL$2)/Цены!AL$2</f>
        <v>-0.24271844660194175</v>
      </c>
      <c r="AL93">
        <f>(Цены!AM93-Цены!AM$2)/Цены!AM$2</f>
        <v>-0.26826623288599699</v>
      </c>
      <c r="AM93">
        <f>(Цены!AN93-Цены!AN$2)/Цены!AN$2</f>
        <v>-1.2898845892735914E-2</v>
      </c>
      <c r="AN93">
        <f>(Цены!AO93-Цены!AO$2)/Цены!AO$2</f>
        <v>-0.32417582417582413</v>
      </c>
      <c r="AO93">
        <f>(Цены!AP93-Цены!AP$2)/Цены!AP$2</f>
        <v>0.51154313487241798</v>
      </c>
      <c r="AP93">
        <f>(Цены!AQ93-Цены!AQ$2)/Цены!AQ$2</f>
        <v>-0.16563467492260062</v>
      </c>
      <c r="AQ93">
        <f>(Цены!AR93-Цены!AR$2)/Цены!AR$2</f>
        <v>0.15205913410770847</v>
      </c>
      <c r="AR93">
        <f>(Цены!AS93-Цены!AS$2)/Цены!AS$2</f>
        <v>-0.18855059744818736</v>
      </c>
      <c r="AS93">
        <f>(Цены!AU93-Цены!AU$2)/Цены!AU$2</f>
        <v>3.6345776031434213E-2</v>
      </c>
      <c r="AT93">
        <f>(Цены!AV93-Цены!AV$2)/Цены!AV$2</f>
        <v>-0.36214262241209338</v>
      </c>
      <c r="AU93">
        <f>(Цены!AW93-Цены!AW$2)/Цены!AW$2</f>
        <v>-0.30971408275617129</v>
      </c>
      <c r="AV93">
        <f>(Цены!AX93-Цены!AX$2)/Цены!AX$2</f>
        <v>-2.3841059602649008E-2</v>
      </c>
    </row>
    <row r="94" spans="1:48" x14ac:dyDescent="0.2">
      <c r="A94" s="1" t="s">
        <v>157</v>
      </c>
      <c r="B94" s="2">
        <v>92</v>
      </c>
      <c r="C94">
        <f>(Цены!B94-Цены!B$2)/Цены!B$2</f>
        <v>-0.16369609782735184</v>
      </c>
      <c r="D94">
        <f>(Цены!C94-Цены!C$2)/Цены!C$2</f>
        <v>-0.12474226804123713</v>
      </c>
      <c r="E94">
        <f>(Цены!D94-Цены!D$2)/Цены!D$2</f>
        <v>-0.21140583554376663</v>
      </c>
      <c r="F94">
        <f>(Цены!E94-Цены!E$2)/Цены!E$2</f>
        <v>-0.20627934272300469</v>
      </c>
      <c r="G94">
        <f>(Цены!F94-Цены!F$2)/Цены!F$2</f>
        <v>-0.19514940646745804</v>
      </c>
      <c r="H94">
        <f>(Цены!G94-Цены!G$2)/Цены!G$2</f>
        <v>-0.20419254658385089</v>
      </c>
      <c r="I94">
        <f>(Цены!H94-Цены!H$2)/Цены!H$2</f>
        <v>-0.18212845175302508</v>
      </c>
      <c r="J94">
        <f>(Цены!J94-Цены!J$2)/Цены!J$2</f>
        <v>-0.1496437054631829</v>
      </c>
      <c r="K94">
        <f>(Цены!K94-Цены!K$2)/Цены!K$2</f>
        <v>-0.22807017543859648</v>
      </c>
      <c r="L94">
        <f>(Цены!L94-Цены!L$2)/Цены!L$2</f>
        <v>-4.3739909611013865E-2</v>
      </c>
      <c r="M94">
        <f>(Цены!M94-Цены!M$2)/Цены!M$2</f>
        <v>-9.5350099511489123E-2</v>
      </c>
      <c r="N94">
        <f>(Цены!N94-Цены!N$2)/Цены!N$2</f>
        <v>-0.23610294117647057</v>
      </c>
      <c r="O94">
        <f>(Цены!O94-Цены!O$2)/Цены!O$2</f>
        <v>-4.9014778325123007E-2</v>
      </c>
      <c r="P94">
        <f>(Цены!P94-Цены!P$2)/Цены!P$2</f>
        <v>-5.5034019464301101E-2</v>
      </c>
      <c r="Q94">
        <f>(Цены!Q94-Цены!Q$2)/Цены!Q$2</f>
        <v>-0.19657642571401987</v>
      </c>
      <c r="R94">
        <f>(Цены!R94-Цены!R$2)/Цены!R$2</f>
        <v>-0.25020738282870175</v>
      </c>
      <c r="S94">
        <f>(Цены!S94-Цены!S$2)/Цены!S$2</f>
        <v>-7.6181556195965408E-2</v>
      </c>
      <c r="T94">
        <f>(Цены!T94-Цены!T$2)/Цены!T$2</f>
        <v>-0.16431137724550895</v>
      </c>
      <c r="U94">
        <f>(Цены!U94-Цены!U$2)/Цены!U$2</f>
        <v>-0.20537897310513448</v>
      </c>
      <c r="V94">
        <f>(Цены!V94-Цены!V$2)/Цены!V$2</f>
        <v>-0.4782786885245901</v>
      </c>
      <c r="W94">
        <f>(Цены!W94-Цены!W$2)/Цены!W$2</f>
        <v>-0.22105263157894733</v>
      </c>
      <c r="X94">
        <f>(Цены!X94-Цены!X$2)/Цены!X$2</f>
        <v>5.966503838101872E-2</v>
      </c>
      <c r="Y94">
        <f>(Цены!Y94-Цены!Y$2)/Цены!Y$2</f>
        <v>-0.2224540109994311</v>
      </c>
      <c r="Z94">
        <f>(Цены!Z94-Цены!Z$2)/Цены!Z$2</f>
        <v>-0.314347329696816</v>
      </c>
      <c r="AA94">
        <f>(Цены!AA94-Цены!AA$2)/Цены!AA$2</f>
        <v>0.10590988882387357</v>
      </c>
      <c r="AB94">
        <f>(Цены!AB94-Цены!AB$2)/Цены!AB$2</f>
        <v>-0.10955477738869435</v>
      </c>
      <c r="AC94">
        <f>(Цены!AD94-Цены!AD$2)/Цены!AD$2</f>
        <v>-6.6856330014224655E-2</v>
      </c>
      <c r="AD94">
        <f>(Цены!AE94-Цены!AE$2)/Цены!AE$2</f>
        <v>-0.27329842931937171</v>
      </c>
      <c r="AE94">
        <f>(Цены!AF94-Цены!AF$2)/Цены!AF$2</f>
        <v>1.7011253598534413E-2</v>
      </c>
      <c r="AF94">
        <f>(Цены!AG94-Цены!AG$2)/Цены!AG$2</f>
        <v>-6.0796139927623713E-2</v>
      </c>
      <c r="AG94">
        <f>(Цены!AH94-Цены!AH$2)/Цены!AH$2</f>
        <v>-0.22021276595744685</v>
      </c>
      <c r="AH94">
        <f>(Цены!AI94-Цены!AI$2)/Цены!AI$2</f>
        <v>-4.0140845070422433E-2</v>
      </c>
      <c r="AI94">
        <f>(Цены!AJ94-Цены!AJ$2)/Цены!AJ$2</f>
        <v>-0.13209169054441261</v>
      </c>
      <c r="AJ94">
        <f>(Цены!AK94-Цены!AK$2)/Цены!AK$2</f>
        <v>-0.20146010776985918</v>
      </c>
      <c r="AK94">
        <f>(Цены!AL94-Цены!AL$2)/Цены!AL$2</f>
        <v>-0.24301265077964099</v>
      </c>
      <c r="AL94">
        <f>(Цены!AM94-Цены!AM$2)/Цены!AM$2</f>
        <v>-0.29429307306493152</v>
      </c>
      <c r="AM94">
        <f>(Цены!AN94-Цены!AN$2)/Цены!AN$2</f>
        <v>-1.9687712152070606E-2</v>
      </c>
      <c r="AN94">
        <f>(Цены!AO94-Цены!AO$2)/Цены!AO$2</f>
        <v>-0.31456043956043955</v>
      </c>
      <c r="AO94">
        <f>(Цены!AP94-Цены!AP$2)/Цены!AP$2</f>
        <v>0.50546780072904007</v>
      </c>
      <c r="AP94">
        <f>(Цены!AQ94-Цены!AQ$2)/Цены!AQ$2</f>
        <v>-0.17182662538699692</v>
      </c>
      <c r="AQ94">
        <f>(Цены!AR94-Цены!AR$2)/Цены!AR$2</f>
        <v>0.15100316789862722</v>
      </c>
      <c r="AR94">
        <f>(Цены!AS94-Цены!AS$2)/Цены!AS$2</f>
        <v>-0.19935192061027476</v>
      </c>
      <c r="AS94">
        <f>(Цены!AU94-Цены!AU$2)/Цены!AU$2</f>
        <v>1.9646365422397137E-3</v>
      </c>
      <c r="AT94">
        <f>(Цены!AV94-Цены!AV$2)/Цены!AV$2</f>
        <v>-0.37276810165406954</v>
      </c>
      <c r="AU94">
        <f>(Цены!AW94-Цены!AW$2)/Цены!AW$2</f>
        <v>-0.33084709643047416</v>
      </c>
      <c r="AV94">
        <f>(Цены!AX94-Цены!AX$2)/Цены!AX$2</f>
        <v>-1.5231788079470199E-2</v>
      </c>
    </row>
    <row r="95" spans="1:48" x14ac:dyDescent="0.2">
      <c r="A95" s="1" t="s">
        <v>158</v>
      </c>
      <c r="B95" s="2">
        <v>93</v>
      </c>
      <c r="C95">
        <f>(Цены!B95-Цены!B$2)/Цены!B$2</f>
        <v>-0.16110449658481557</v>
      </c>
      <c r="D95">
        <f>(Цены!C95-Цены!C$2)/Цены!C$2</f>
        <v>-0.1298396334478808</v>
      </c>
      <c r="E95">
        <f>(Цены!D95-Цены!D$2)/Цены!D$2</f>
        <v>-0.20888594164456242</v>
      </c>
      <c r="F95">
        <f>(Цены!E95-Цены!E$2)/Цены!E$2</f>
        <v>-0.19747652582159625</v>
      </c>
      <c r="G95">
        <f>(Цены!F95-Цены!F$2)/Цены!F$2</f>
        <v>-0.18000409332787556</v>
      </c>
      <c r="H95">
        <f>(Цены!G95-Цены!G$2)/Цены!G$2</f>
        <v>-0.19177018633540366</v>
      </c>
      <c r="I95">
        <f>(Цены!H95-Цены!H$2)/Цены!H$2</f>
        <v>-0.18724790567793972</v>
      </c>
      <c r="J95">
        <f>(Цены!J95-Цены!J$2)/Цены!J$2</f>
        <v>-0.14513064133016632</v>
      </c>
      <c r="K95">
        <f>(Цены!K95-Цены!K$2)/Цены!K$2</f>
        <v>-0.22932330827067668</v>
      </c>
      <c r="L95">
        <f>(Цены!L95-Цены!L$2)/Цены!L$2</f>
        <v>-3.6882886177799744E-2</v>
      </c>
      <c r="M95">
        <f>(Цены!M95-Цены!M$2)/Цены!M$2</f>
        <v>-9.8968699113443165E-2</v>
      </c>
      <c r="N95">
        <f>(Цены!N95-Цены!N$2)/Цены!N$2</f>
        <v>-0.23529411764705882</v>
      </c>
      <c r="O95">
        <f>(Цены!O95-Цены!O$2)/Цены!O$2</f>
        <v>-3.0418719211822539E-2</v>
      </c>
      <c r="P95">
        <f>(Цены!P95-Цены!P$2)/Цены!P$2</f>
        <v>-6.1321160968047579E-2</v>
      </c>
      <c r="Q95">
        <f>(Цены!Q95-Цены!Q$2)/Цены!Q$2</f>
        <v>-0.19769280863336125</v>
      </c>
      <c r="R95">
        <f>(Цены!R95-Цены!R$2)/Цены!R$2</f>
        <v>-0.23890501866445457</v>
      </c>
      <c r="S95">
        <f>(Цены!S95-Цены!S$2)/Цены!S$2</f>
        <v>-7.0605187319884744E-2</v>
      </c>
      <c r="T95">
        <f>(Цены!T95-Цены!T$2)/Цены!T$2</f>
        <v>-0.16323353293413168</v>
      </c>
      <c r="U95">
        <f>(Цены!U95-Цены!U$2)/Цены!U$2</f>
        <v>-0.2106182326231226</v>
      </c>
      <c r="V95">
        <f>(Цены!V95-Цены!V$2)/Цены!V$2</f>
        <v>-0.47950819672131145</v>
      </c>
      <c r="W95">
        <f>(Цены!W95-Цены!W$2)/Цены!W$2</f>
        <v>-0.22631578947368425</v>
      </c>
      <c r="X95">
        <f>(Цены!X95-Цены!X$2)/Цены!X$2</f>
        <v>6.4200976971388615E-2</v>
      </c>
      <c r="Y95">
        <f>(Цены!Y95-Цены!Y$2)/Цены!Y$2</f>
        <v>-0.25004741134079267</v>
      </c>
      <c r="Z95">
        <f>(Цены!Z95-Цены!Z$2)/Цены!Z$2</f>
        <v>-0.32914710981436845</v>
      </c>
      <c r="AA95">
        <f>(Цены!AA95-Цены!AA$2)/Цены!AA$2</f>
        <v>0.12404915155061433</v>
      </c>
      <c r="AB95">
        <f>(Цены!AB95-Цены!AB$2)/Цены!AB$2</f>
        <v>-0.10805402701350675</v>
      </c>
      <c r="AC95">
        <f>(Цены!AD95-Цены!AD$2)/Цены!AD$2</f>
        <v>-7.6813655761024099E-2</v>
      </c>
      <c r="AD95">
        <f>(Цены!AE95-Цены!AE$2)/Цены!AE$2</f>
        <v>-0.28900523560209423</v>
      </c>
      <c r="AE95">
        <f>(Цены!AF95-Цены!AF$2)/Цены!AF$2</f>
        <v>1.8581523161475964E-2</v>
      </c>
      <c r="AF95">
        <f>(Цены!AG95-Цены!AG$2)/Цены!AG$2</f>
        <v>-1.5681544028950677E-2</v>
      </c>
      <c r="AG95">
        <f>(Цены!AH95-Цены!AH$2)/Цены!AH$2</f>
        <v>-0.26196808510638298</v>
      </c>
      <c r="AH95">
        <f>(Цены!AI95-Цены!AI$2)/Цены!AI$2</f>
        <v>-2.2535211267605531E-2</v>
      </c>
      <c r="AI95">
        <f>(Цены!AJ95-Цены!AJ$2)/Цены!AJ$2</f>
        <v>-0.13209169054441261</v>
      </c>
      <c r="AJ95">
        <f>(Цены!AK95-Цены!AK$2)/Цены!AK$2</f>
        <v>-0.20059099600208585</v>
      </c>
      <c r="AK95">
        <f>(Цены!AL95-Цены!AL$2)/Цены!AL$2</f>
        <v>-0.23536334215945867</v>
      </c>
      <c r="AL95">
        <f>(Цены!AM95-Цены!AM$2)/Цены!AM$2</f>
        <v>-0.29646197641317606</v>
      </c>
      <c r="AM95">
        <f>(Цены!AN95-Цены!AN$2)/Цены!AN$2</f>
        <v>-1.8329938900203666E-2</v>
      </c>
      <c r="AN95">
        <f>(Цены!AO95-Цены!AO$2)/Цены!AO$2</f>
        <v>-0.3282967032967033</v>
      </c>
      <c r="AO95">
        <f>(Цены!AP95-Цены!AP$2)/Цены!AP$2</f>
        <v>0.49939246658566222</v>
      </c>
      <c r="AP95">
        <f>(Цены!AQ95-Цены!AQ$2)/Цены!AQ$2</f>
        <v>-0.16253869969040247</v>
      </c>
      <c r="AQ95">
        <f>(Цены!AR95-Цены!AR$2)/Цены!AR$2</f>
        <v>0.13621964097148881</v>
      </c>
      <c r="AR95">
        <f>(Цены!AS95-Цены!AS$2)/Цены!AS$2</f>
        <v>-0.21690407074866669</v>
      </c>
      <c r="AS95">
        <f>(Цены!AU95-Цены!AU$2)/Цены!AU$2</f>
        <v>-7.8585461689587143E-3</v>
      </c>
      <c r="AT95">
        <f>(Цены!AV95-Цены!AV$2)/Цены!AV$2</f>
        <v>-0.39369043706868223</v>
      </c>
      <c r="AU95">
        <f>(Цены!AW95-Цены!AW$2)/Цены!AW$2</f>
        <v>-0.34025927899129821</v>
      </c>
      <c r="AV95">
        <f>(Цены!AX95-Цены!AX$2)/Цены!AX$2</f>
        <v>-1.8543046357615896E-2</v>
      </c>
    </row>
    <row r="96" spans="1:48" x14ac:dyDescent="0.2">
      <c r="A96" s="1" t="s">
        <v>159</v>
      </c>
      <c r="B96" s="2">
        <v>94</v>
      </c>
      <c r="C96">
        <f>(Цены!B96-Цены!B$2)/Цены!B$2</f>
        <v>-0.15701791293294062</v>
      </c>
      <c r="D96">
        <f>(Цены!C96-Цены!C$2)/Цены!C$2</f>
        <v>-0.14014891179839634</v>
      </c>
      <c r="E96">
        <f>(Цены!D96-Цены!D$2)/Цены!D$2</f>
        <v>-0.20092838196286478</v>
      </c>
      <c r="F96">
        <f>(Цены!E96-Цены!E$2)/Цены!E$2</f>
        <v>-0.18603286384976525</v>
      </c>
      <c r="G96">
        <f>(Цены!F96-Цены!F$2)/Цены!F$2</f>
        <v>-0.17110110519852639</v>
      </c>
      <c r="H96">
        <f>(Цены!G96-Цены!G$2)/Цены!G$2</f>
        <v>-0.1792184265010352</v>
      </c>
      <c r="I96">
        <f>(Цены!H96-Цены!H$2)/Цены!H$2</f>
        <v>-0.18616196090598811</v>
      </c>
      <c r="J96">
        <f>(Цены!J96-Цены!J$2)/Цены!J$2</f>
        <v>-0.14489311163895488</v>
      </c>
      <c r="K96">
        <f>(Цены!K96-Цены!K$2)/Цены!K$2</f>
        <v>-0.23308270676691728</v>
      </c>
      <c r="L96">
        <f>(Цены!L96-Цены!L$2)/Цены!L$2</f>
        <v>-1.9740327594764739E-2</v>
      </c>
      <c r="M96">
        <f>(Цены!M96-Цены!M$2)/Цены!M$2</f>
        <v>-8.7208250407092527E-2</v>
      </c>
      <c r="N96">
        <f>(Цены!N96-Цены!N$2)/Цены!N$2</f>
        <v>-0.21948529411764703</v>
      </c>
      <c r="O96">
        <f>(Цены!O96-Цены!O$2)/Цены!O$2</f>
        <v>-1.7857142857142808E-2</v>
      </c>
      <c r="P96">
        <f>(Цены!P96-Цены!P$2)/Цены!P$2</f>
        <v>-5.9598656446473185E-2</v>
      </c>
      <c r="Q96">
        <f>(Цены!Q96-Цены!Q$2)/Цены!Q$2</f>
        <v>-0.20169318076100096</v>
      </c>
      <c r="R96">
        <f>(Цены!R96-Цены!R$2)/Цены!R$2</f>
        <v>-0.24066777270841977</v>
      </c>
      <c r="S96">
        <f>(Цены!S96-Цены!S$2)/Цены!S$2</f>
        <v>-5.9798270893371766E-2</v>
      </c>
      <c r="T96">
        <f>(Цены!T96-Цены!T$2)/Цены!T$2</f>
        <v>-0.15089820359281431</v>
      </c>
      <c r="U96">
        <f>(Цены!U96-Цены!U$2)/Цены!U$2</f>
        <v>-0.2106182326231226</v>
      </c>
      <c r="V96">
        <f>(Цены!V96-Цены!V$2)/Цены!V$2</f>
        <v>-0.47336065573770492</v>
      </c>
      <c r="W96">
        <f>(Цены!W96-Цены!W$2)/Цены!W$2</f>
        <v>-0.21671052631578946</v>
      </c>
      <c r="X96">
        <f>(Цены!X96-Цены!X$2)/Цены!X$2</f>
        <v>6.1060711793440331E-2</v>
      </c>
      <c r="Y96">
        <f>(Цены!Y96-Цены!Y$2)/Цены!Y$2</f>
        <v>-0.24720273089322961</v>
      </c>
      <c r="Z96">
        <f>(Цены!Z96-Цены!Z$2)/Цены!Z$2</f>
        <v>-0.31202164996405762</v>
      </c>
      <c r="AA96">
        <f>(Цены!AA96-Цены!AA$2)/Цены!AA$2</f>
        <v>0.12843768285547097</v>
      </c>
      <c r="AB96">
        <f>(Цены!AB96-Цены!AB$2)/Цены!AB$2</f>
        <v>-0.11605802901450725</v>
      </c>
      <c r="AC96">
        <f>(Цены!AD96-Цены!AD$2)/Цены!AD$2</f>
        <v>-7.539118065433846E-2</v>
      </c>
      <c r="AD96">
        <f>(Цены!AE96-Цены!AE$2)/Цены!AE$2</f>
        <v>-0.30471204188481676</v>
      </c>
      <c r="AE96">
        <f>(Цены!AF96-Цены!AF$2)/Цены!AF$2</f>
        <v>1.9104946349123145E-2</v>
      </c>
      <c r="AF96">
        <f>(Цены!AG96-Цены!AG$2)/Цены!AG$2</f>
        <v>-2.2919179734620092E-2</v>
      </c>
      <c r="AG96">
        <f>(Цены!AH96-Цены!AH$2)/Цены!AH$2</f>
        <v>-0.25585106382978723</v>
      </c>
      <c r="AH96">
        <f>(Цены!AI96-Цены!AI$2)/Цены!AI$2</f>
        <v>-3.4507042253521018E-2</v>
      </c>
      <c r="AI96">
        <f>(Цены!AJ96-Цены!AJ$2)/Цены!AJ$2</f>
        <v>-0.13696275071633238</v>
      </c>
      <c r="AJ96">
        <f>(Цены!AK96-Цены!AK$2)/Цены!AK$2</f>
        <v>-0.19120458891013392</v>
      </c>
      <c r="AK96">
        <f>(Цены!AL96-Цены!AL$2)/Цены!AL$2</f>
        <v>-0.2350691379817593</v>
      </c>
      <c r="AL96">
        <f>(Цены!AM96-Цены!AM$2)/Цены!AM$2</f>
        <v>-0.28832858885725904</v>
      </c>
      <c r="AM96">
        <f>(Цены!AN96-Цены!AN$2)/Цены!AN$2</f>
        <v>-1.9008825526137134E-2</v>
      </c>
      <c r="AN96">
        <f>(Цены!AO96-Цены!AO$2)/Цены!AO$2</f>
        <v>-0.33241758241758235</v>
      </c>
      <c r="AO96">
        <f>(Цены!AP96-Цены!AP$2)/Цены!AP$2</f>
        <v>0.49331713244228431</v>
      </c>
      <c r="AP96">
        <f>(Цены!AQ96-Цены!AQ$2)/Цены!AQ$2</f>
        <v>-0.15479876160990713</v>
      </c>
      <c r="AQ96">
        <f>(Цены!AR96-Цены!AR$2)/Цены!AR$2</f>
        <v>0.13516367476240757</v>
      </c>
      <c r="AR96">
        <f>(Цены!AS96-Цены!AS$2)/Цены!AS$2</f>
        <v>-0.2034024167960575</v>
      </c>
      <c r="AS96">
        <f>(Цены!AU96-Цены!AU$2)/Цены!AU$2</f>
        <v>-3.9292730844792878E-3</v>
      </c>
      <c r="AT96">
        <f>(Цены!AV96-Цены!AV$2)/Цены!AV$2</f>
        <v>-0.3890897140979297</v>
      </c>
      <c r="AU96">
        <f>(Цены!AW96-Цены!AW$2)/Цены!AW$2</f>
        <v>-0.30918131770555857</v>
      </c>
      <c r="AV96">
        <f>(Цены!AX96-Цены!AX$2)/Цены!AX$2</f>
        <v>-1.5894039735099338E-2</v>
      </c>
    </row>
    <row r="97" spans="1:48" x14ac:dyDescent="0.2">
      <c r="A97" s="1" t="s">
        <v>160</v>
      </c>
      <c r="B97" s="2">
        <v>95</v>
      </c>
      <c r="C97">
        <f>(Цены!B97-Цены!B$2)/Цены!B$2</f>
        <v>-0.15701791293294062</v>
      </c>
      <c r="D97">
        <f>(Цены!C97-Цены!C$2)/Цены!C$2</f>
        <v>-0.14014891179839634</v>
      </c>
      <c r="E97">
        <f>(Цены!D97-Цены!D$2)/Цены!D$2</f>
        <v>-0.20092838196286478</v>
      </c>
      <c r="F97">
        <f>(Цены!E97-Цены!E$2)/Цены!E$2</f>
        <v>-0.18603286384976525</v>
      </c>
      <c r="G97">
        <f>(Цены!F97-Цены!F$2)/Цены!F$2</f>
        <v>-0.17110110519852639</v>
      </c>
      <c r="H97">
        <f>(Цены!G97-Цены!G$2)/Цены!G$2</f>
        <v>-0.1792184265010352</v>
      </c>
      <c r="I97">
        <f>(Цены!H97-Цены!H$2)/Цены!H$2</f>
        <v>-0.18616196090598811</v>
      </c>
      <c r="J97">
        <f>(Цены!J97-Цены!J$2)/Цены!J$2</f>
        <v>-0.14489311163895488</v>
      </c>
      <c r="K97">
        <f>(Цены!K97-Цены!K$2)/Цены!K$2</f>
        <v>-0.23308270676691728</v>
      </c>
      <c r="L97">
        <f>(Цены!L97-Цены!L$2)/Цены!L$2</f>
        <v>-1.9740327594764739E-2</v>
      </c>
      <c r="M97">
        <f>(Цены!M97-Цены!M$2)/Цены!M$2</f>
        <v>-8.7208250407092527E-2</v>
      </c>
      <c r="N97">
        <f>(Цены!N97-Цены!N$2)/Цены!N$2</f>
        <v>-0.21948529411764703</v>
      </c>
      <c r="O97">
        <f>(Цены!O97-Цены!O$2)/Цены!O$2</f>
        <v>-1.7857142857142808E-2</v>
      </c>
      <c r="P97">
        <f>(Цены!P97-Цены!P$2)/Цены!P$2</f>
        <v>-5.9598656446473185E-2</v>
      </c>
      <c r="Q97">
        <f>(Цены!Q97-Цены!Q$2)/Цены!Q$2</f>
        <v>-0.20169318076100096</v>
      </c>
      <c r="R97">
        <f>(Цены!R97-Цены!R$2)/Цены!R$2</f>
        <v>-0.24066777270841977</v>
      </c>
      <c r="S97">
        <f>(Цены!S97-Цены!S$2)/Цены!S$2</f>
        <v>-5.9798270893371766E-2</v>
      </c>
      <c r="T97">
        <f>(Цены!T97-Цены!T$2)/Цены!T$2</f>
        <v>-0.15089820359281431</v>
      </c>
      <c r="U97">
        <f>(Цены!U97-Цены!U$2)/Цены!U$2</f>
        <v>-0.2106182326231226</v>
      </c>
      <c r="V97">
        <f>(Цены!V97-Цены!V$2)/Цены!V$2</f>
        <v>-0.47336065573770492</v>
      </c>
      <c r="W97">
        <f>(Цены!W97-Цены!W$2)/Цены!W$2</f>
        <v>-0.21671052631578946</v>
      </c>
      <c r="X97">
        <f>(Цены!X97-Цены!X$2)/Цены!X$2</f>
        <v>6.1060711793440331E-2</v>
      </c>
      <c r="Y97">
        <f>(Цены!Y97-Цены!Y$2)/Цены!Y$2</f>
        <v>-0.24720273089322961</v>
      </c>
      <c r="Z97">
        <f>(Цены!Z97-Цены!Z$2)/Цены!Z$2</f>
        <v>-0.31202164996405762</v>
      </c>
      <c r="AA97">
        <f>(Цены!AA97-Цены!AA$2)/Цены!AA$2</f>
        <v>0.12843768285547097</v>
      </c>
      <c r="AB97">
        <f>(Цены!AB97-Цены!AB$2)/Цены!AB$2</f>
        <v>-0.11605802901450725</v>
      </c>
      <c r="AC97">
        <f>(Цены!AD97-Цены!AD$2)/Цены!AD$2</f>
        <v>-7.539118065433846E-2</v>
      </c>
      <c r="AD97">
        <f>(Цены!AE97-Цены!AE$2)/Цены!AE$2</f>
        <v>-0.30471204188481676</v>
      </c>
      <c r="AE97">
        <f>(Цены!AF97-Цены!AF$2)/Цены!AF$2</f>
        <v>1.9104946349123145E-2</v>
      </c>
      <c r="AF97">
        <f>(Цены!AG97-Цены!AG$2)/Цены!AG$2</f>
        <v>-2.2919179734620092E-2</v>
      </c>
      <c r="AG97">
        <f>(Цены!AH97-Цены!AH$2)/Цены!AH$2</f>
        <v>-0.25585106382978723</v>
      </c>
      <c r="AH97">
        <f>(Цены!AI97-Цены!AI$2)/Цены!AI$2</f>
        <v>-3.4507042253521018E-2</v>
      </c>
      <c r="AI97">
        <f>(Цены!AJ97-Цены!AJ$2)/Цены!AJ$2</f>
        <v>-0.13696275071633238</v>
      </c>
      <c r="AJ97">
        <f>(Цены!AK97-Цены!AK$2)/Цены!AK$2</f>
        <v>-0.19120458891013392</v>
      </c>
      <c r="AK97">
        <f>(Цены!AL97-Цены!AL$2)/Цены!AL$2</f>
        <v>-0.2350691379817593</v>
      </c>
      <c r="AL97">
        <f>(Цены!AM97-Цены!AM$2)/Цены!AM$2</f>
        <v>-0.28832858885725904</v>
      </c>
      <c r="AM97">
        <f>(Цены!AN97-Цены!AN$2)/Цены!AN$2</f>
        <v>-1.9008825526137134E-2</v>
      </c>
      <c r="AN97">
        <f>(Цены!AO97-Цены!AO$2)/Цены!AO$2</f>
        <v>-0.33241758241758235</v>
      </c>
      <c r="AO97">
        <f>(Цены!AP97-Цены!AP$2)/Цены!AP$2</f>
        <v>0.49331713244228431</v>
      </c>
      <c r="AP97">
        <f>(Цены!AQ97-Цены!AQ$2)/Цены!AQ$2</f>
        <v>-0.15479876160990713</v>
      </c>
      <c r="AQ97">
        <f>(Цены!AR97-Цены!AR$2)/Цены!AR$2</f>
        <v>0.13516367476240757</v>
      </c>
      <c r="AR97">
        <f>(Цены!AS97-Цены!AS$2)/Цены!AS$2</f>
        <v>-0.2034024167960575</v>
      </c>
      <c r="AS97">
        <f>(Цены!AU97-Цены!AU$2)/Цены!AU$2</f>
        <v>-3.9292730844792878E-3</v>
      </c>
      <c r="AT97">
        <f>(Цены!AV97-Цены!AV$2)/Цены!AV$2</f>
        <v>-0.3890897140979297</v>
      </c>
      <c r="AU97">
        <f>(Цены!AW97-Цены!AW$2)/Цены!AW$2</f>
        <v>-0.30918131770555857</v>
      </c>
      <c r="AV97">
        <f>(Цены!AX97-Цены!AX$2)/Цены!AX$2</f>
        <v>-1.5894039735099338E-2</v>
      </c>
    </row>
    <row r="102" spans="1:48" x14ac:dyDescent="0.2">
      <c r="A102" s="3" t="s">
        <v>54</v>
      </c>
      <c r="D102">
        <f>IF(ISERROR(MATCH(D$1,Рекомы_CAPM!$B$2:$B$29,0)),IF(ISERROR(MATCH(D$1,Рекомы_CAPM!$C$2:$C$29,0)),1,0),-1)</f>
        <v>0</v>
      </c>
      <c r="E102">
        <f>IF(ISERROR(MATCH(E$1,Рекомы_CAPM!$B$2:$B$29,0)),IF(ISERROR(MATCH(E$1,Рекомы_CAPM!$C$2:$C$29,0)),1,0),-1)</f>
        <v>1</v>
      </c>
      <c r="F102">
        <f>IF(ISERROR(MATCH(F$1,Рекомы_CAPM!$B$2:$B$29,0)),IF(ISERROR(MATCH(F$1,Рекомы_CAPM!$C$2:$C$29,0)),1,0),-1)</f>
        <v>0</v>
      </c>
      <c r="G102">
        <f>IF(ISERROR(MATCH(G$1,Рекомы_CAPM!$B$2:$B$29,0)),IF(ISERROR(MATCH(G$1,Рекомы_CAPM!$C$2:$C$29,0)),1,0),-1)</f>
        <v>1</v>
      </c>
      <c r="H102">
        <f>IF(ISERROR(MATCH(H$1,Рекомы_CAPM!$B$2:$B$29,0)),IF(ISERROR(MATCH(H$1,Рекомы_CAPM!$C$2:$C$29,0)),1,0),-1)</f>
        <v>1</v>
      </c>
      <c r="I102">
        <f>IF(ISERROR(MATCH(I$1,Рекомы_CAPM!$B$2:$B$29,0)),IF(ISERROR(MATCH(I$1,Рекомы_CAPM!$C$2:$C$29,0)),1,0),-1)</f>
        <v>-1</v>
      </c>
      <c r="J102">
        <f>IF(ISERROR(MATCH(J$1,Рекомы_CAPM!$B$2:$B$29,0)),IF(ISERROR(MATCH(J$1,Рекомы_CAPM!$C$2:$C$29,0)),1,0),-1)</f>
        <v>-1</v>
      </c>
      <c r="K102">
        <f>IF(ISERROR(MATCH(K$1,Рекомы_CAPM!$B$2:$B$29,0)),IF(ISERROR(MATCH(K$1,Рекомы_CAPM!$C$2:$C$29,0)),1,0),-1)</f>
        <v>1</v>
      </c>
      <c r="L102">
        <f>IF(ISERROR(MATCH(L$1,Рекомы_CAPM!$B$2:$B$29,0)),IF(ISERROR(MATCH(L$1,Рекомы_CAPM!$C$2:$C$29,0)),1,0),-1)</f>
        <v>1</v>
      </c>
      <c r="M102">
        <f>IF(ISERROR(MATCH(M$1,Рекомы_CAPM!$B$2:$B$29,0)),IF(ISERROR(MATCH(M$1,Рекомы_CAPM!$C$2:$C$29,0)),1,0),-1)</f>
        <v>-1</v>
      </c>
      <c r="N102">
        <f>IF(ISERROR(MATCH(N$1,Рекомы_CAPM!$B$2:$B$29,0)),IF(ISERROR(MATCH(N$1,Рекомы_CAPM!$C$2:$C$29,0)),1,0),-1)</f>
        <v>-1</v>
      </c>
      <c r="O102">
        <f>IF(ISERROR(MATCH(O$1,Рекомы_CAPM!$B$2:$B$29,0)),IF(ISERROR(MATCH(O$1,Рекомы_CAPM!$C$2:$C$29,0)),1,0),-1)</f>
        <v>-1</v>
      </c>
      <c r="P102">
        <f>IF(ISERROR(MATCH(P$1,Рекомы_CAPM!$B$2:$B$29,0)),IF(ISERROR(MATCH(P$1,Рекомы_CAPM!$C$2:$C$29,0)),1,0),-1)</f>
        <v>-1</v>
      </c>
      <c r="Q102">
        <f>IF(ISERROR(MATCH(Q$1,Рекомы_CAPM!$B$2:$B$29,0)),IF(ISERROR(MATCH(Q$1,Рекомы_CAPM!$C$2:$C$29,0)),1,0),-1)</f>
        <v>-1</v>
      </c>
      <c r="R102">
        <f>IF(ISERROR(MATCH(R$1,Рекомы_CAPM!$B$2:$B$29,0)),IF(ISERROR(MATCH(R$1,Рекомы_CAPM!$C$2:$C$29,0)),1,0),-1)</f>
        <v>-1</v>
      </c>
      <c r="S102">
        <f>IF(ISERROR(MATCH(S$1,Рекомы_CAPM!$B$2:$B$29,0)),IF(ISERROR(MATCH(S$1,Рекомы_CAPM!$C$2:$C$29,0)),1,0),-1)</f>
        <v>1</v>
      </c>
      <c r="T102">
        <f>IF(ISERROR(MATCH(T$1,Рекомы_CAPM!$B$2:$B$29,0)),IF(ISERROR(MATCH(T$1,Рекомы_CAPM!$C$2:$C$29,0)),1,0),-1)</f>
        <v>1</v>
      </c>
      <c r="U102">
        <f>IF(ISERROR(MATCH(U$1,Рекомы_CAPM!$B$2:$B$29,0)),IF(ISERROR(MATCH(U$1,Рекомы_CAPM!$C$2:$C$29,0)),1,0),-1)</f>
        <v>-1</v>
      </c>
      <c r="V102">
        <f>IF(ISERROR(MATCH(V$1,Рекомы_CAPM!$B$2:$B$29,0)),IF(ISERROR(MATCH(V$1,Рекомы_CAPM!$C$2:$C$29,0)),1,0),-1)</f>
        <v>-1</v>
      </c>
      <c r="W102">
        <f>IF(ISERROR(MATCH(W$1,Рекомы_CAPM!$B$2:$B$29,0)),IF(ISERROR(MATCH(W$1,Рекомы_CAPM!$C$2:$C$29,0)),1,0),-1)</f>
        <v>-1</v>
      </c>
      <c r="X102">
        <f>IF(ISERROR(MATCH(X$1,Рекомы_CAPM!$B$2:$B$29,0)),IF(ISERROR(MATCH(X$1,Рекомы_CAPM!$C$2:$C$29,0)),1,0),-1)</f>
        <v>-1</v>
      </c>
      <c r="Y102">
        <f>IF(ISERROR(MATCH(Y$1,Рекомы_CAPM!$B$2:$B$29,0)),IF(ISERROR(MATCH(Y$1,Рекомы_CAPM!$C$2:$C$29,0)),1,0),-1)</f>
        <v>-1</v>
      </c>
      <c r="Z102">
        <f>IF(ISERROR(MATCH(Z$1,Рекомы_CAPM!$B$2:$B$29,0)),IF(ISERROR(MATCH(Z$1,Рекомы_CAPM!$C$2:$C$29,0)),1,0),-1)</f>
        <v>-1</v>
      </c>
      <c r="AA102">
        <f>IF(ISERROR(MATCH(AA$1,Рекомы_CAPM!$B$2:$B$29,0)),IF(ISERROR(MATCH(AA$1,Рекомы_CAPM!$C$2:$C$29,0)),1,0),-1)</f>
        <v>-1</v>
      </c>
      <c r="AB102">
        <f>IF(ISERROR(MATCH(AB$1,Рекомы_CAPM!$B$2:$B$29,0)),IF(ISERROR(MATCH(AB$1,Рекомы_CAPM!$C$2:$C$29,0)),1,0),-1)</f>
        <v>-1</v>
      </c>
      <c r="AC102">
        <f>IF(ISERROR(MATCH(AC$1,Рекомы_CAPM!$B$2:$B$29,0)),IF(ISERROR(MATCH(AC$1,Рекомы_CAPM!$C$2:$C$29,0)),1,0),-1)</f>
        <v>1</v>
      </c>
      <c r="AD102">
        <f>IF(ISERROR(MATCH(AD$1,Рекомы_CAPM!$B$2:$B$29,0)),IF(ISERROR(MATCH(AD$1,Рекомы_CAPM!$C$2:$C$29,0)),1,0),-1)</f>
        <v>1</v>
      </c>
      <c r="AE102">
        <f>IF(ISERROR(MATCH(AE$1,Рекомы_CAPM!$B$2:$B$29,0)),IF(ISERROR(MATCH(AE$1,Рекомы_CAPM!$C$2:$C$29,0)),1,0),-1)</f>
        <v>1</v>
      </c>
      <c r="AF102">
        <f>IF(ISERROR(MATCH(AF$1,Рекомы_CAPM!$B$2:$B$29,0)),IF(ISERROR(MATCH(AF$1,Рекомы_CAPM!$C$2:$C$29,0)),1,0),-1)</f>
        <v>-1</v>
      </c>
      <c r="AG102">
        <f>IF(ISERROR(MATCH(AG$1,Рекомы_CAPM!$B$2:$B$29,0)),IF(ISERROR(MATCH(AG$1,Рекомы_CAPM!$C$2:$C$29,0)),1,0),-1)</f>
        <v>1</v>
      </c>
      <c r="AH102">
        <f>IF(ISERROR(MATCH(AH$1,Рекомы_CAPM!$B$2:$B$29,0)),IF(ISERROR(MATCH(AH$1,Рекомы_CAPM!$C$2:$C$29,0)),1,0),-1)</f>
        <v>-1</v>
      </c>
      <c r="AI102">
        <f>IF(ISERROR(MATCH(AI$1,Рекомы_CAPM!$B$2:$B$29,0)),IF(ISERROR(MATCH(AI$1,Рекомы_CAPM!$C$2:$C$29,0)),1,0),-1)</f>
        <v>1</v>
      </c>
      <c r="AJ102">
        <f>IF(ISERROR(MATCH(AJ$1,Рекомы_CAPM!$B$2:$B$29,0)),IF(ISERROR(MATCH(AJ$1,Рекомы_CAPM!$C$2:$C$29,0)),1,0),-1)</f>
        <v>-1</v>
      </c>
      <c r="AK102">
        <f>IF(ISERROR(MATCH(AK$1,Рекомы_CAPM!$B$2:$B$29,0)),IF(ISERROR(MATCH(AK$1,Рекомы_CAPM!$C$2:$C$29,0)),1,0),-1)</f>
        <v>0</v>
      </c>
      <c r="AL102">
        <f>IF(ISERROR(MATCH(AL$1,Рекомы_CAPM!$B$2:$B$29,0)),IF(ISERROR(MATCH(AL$1,Рекомы_CAPM!$C$2:$C$29,0)),1,0),-1)</f>
        <v>-1</v>
      </c>
      <c r="AM102">
        <f>IF(ISERROR(MATCH(AM$1,Рекомы_CAPM!$B$2:$B$29,0)),IF(ISERROR(MATCH(AM$1,Рекомы_CAPM!$C$2:$C$29,0)),1,0),-1)</f>
        <v>-1</v>
      </c>
      <c r="AN102">
        <f>IF(ISERROR(MATCH(AN$1,Рекомы_CAPM!$B$2:$B$29,0)),IF(ISERROR(MATCH(AN$1,Рекомы_CAPM!$C$2:$C$29,0)),1,0),-1)</f>
        <v>-1</v>
      </c>
      <c r="AO102">
        <f>IF(ISERROR(MATCH(AO$1,Рекомы_CAPM!$B$2:$B$29,0)),IF(ISERROR(MATCH(AO$1,Рекомы_CAPM!$C$2:$C$29,0)),1,0),-1)</f>
        <v>-1</v>
      </c>
      <c r="AP102">
        <f>IF(ISERROR(MATCH(AP$1,Рекомы_CAPM!$B$2:$B$29,0)),IF(ISERROR(MATCH(AP$1,Рекомы_CAPM!$C$2:$C$29,0)),1,0),-1)</f>
        <v>-1</v>
      </c>
      <c r="AQ102">
        <f>IF(ISERROR(MATCH(AQ$1,Рекомы_CAPM!$B$2:$B$29,0)),IF(ISERROR(MATCH(AQ$1,Рекомы_CAPM!$C$2:$C$29,0)),1,0),-1)</f>
        <v>-1</v>
      </c>
      <c r="AR102">
        <f>IF(ISERROR(MATCH(AR$1,Рекомы_CAPM!$B$2:$B$29,0)),IF(ISERROR(MATCH(AR$1,Рекомы_CAPM!$C$2:$C$29,0)),1,0),-1)</f>
        <v>-1</v>
      </c>
      <c r="AS102">
        <f>IF(ISERROR(MATCH(AS$1,Рекомы_CAPM!$B$2:$B$29,0)),IF(ISERROR(MATCH(AS$1,Рекомы_CAPM!$C$2:$C$29,0)),1,0),-1)</f>
        <v>1</v>
      </c>
      <c r="AT102">
        <f>IF(ISERROR(MATCH(AT$1,Рекомы_CAPM!$B$2:$B$29,0)),IF(ISERROR(MATCH(AT$1,Рекомы_CAPM!$C$2:$C$29,0)),1,0),-1)</f>
        <v>-1</v>
      </c>
      <c r="AU102">
        <f>IF(ISERROR(MATCH(AU$1,Рекомы_CAPM!$B$2:$B$29,0)),IF(ISERROR(MATCH(AU$1,Рекомы_CAPM!$C$2:$C$29,0)),1,0),-1)</f>
        <v>-1</v>
      </c>
      <c r="AV102">
        <f>IF(ISERROR(MATCH(AV$1,Рекомы_CAPM!$B$2:$B$29,0)),IF(ISERROR(MATCH(AV$1,Рекомы_CAPM!$C$2:$C$29,0)),1,0),-1)</f>
        <v>1</v>
      </c>
    </row>
    <row r="103" spans="1:48" x14ac:dyDescent="0.2">
      <c r="A103" s="3" t="s">
        <v>55</v>
      </c>
      <c r="D103">
        <f>IF(ISERROR(MATCH(D$1,Рекомы_Фама_Френч!$B$2:$B$28,0)),IF(ISERROR(MATCH(D$1,Рекомы_Фама_Френч!$C$2:$C$28,0)),1,0),-1)</f>
        <v>0</v>
      </c>
      <c r="E103">
        <f>IF(ISERROR(MATCH(E$1,Рекомы_Фама_Френч!$B$2:$B$28,0)),IF(ISERROR(MATCH(E$1,Рекомы_Фама_Френч!$C$2:$C$28,0)),1,0),-1)</f>
        <v>1</v>
      </c>
      <c r="F103">
        <f>IF(ISERROR(MATCH(F$1,Рекомы_Фама_Френч!$B$2:$B$28,0)),IF(ISERROR(MATCH(F$1,Рекомы_Фама_Френч!$C$2:$C$28,0)),1,0),-1)</f>
        <v>0</v>
      </c>
      <c r="G103">
        <f>IF(ISERROR(MATCH(G$1,Рекомы_Фама_Френч!$B$2:$B$28,0)),IF(ISERROR(MATCH(G$1,Рекомы_Фама_Френч!$C$2:$C$28,0)),1,0),-1)</f>
        <v>1</v>
      </c>
      <c r="H103">
        <f>IF(ISERROR(MATCH(H$1,Рекомы_Фама_Френч!$B$2:$B$28,0)),IF(ISERROR(MATCH(H$1,Рекомы_Фама_Френч!$C$2:$C$28,0)),1,0),-1)</f>
        <v>1</v>
      </c>
      <c r="I103">
        <f>IF(ISERROR(MATCH(I$1,Рекомы_Фама_Френч!$B$2:$B$28,0)),IF(ISERROR(MATCH(I$1,Рекомы_Фама_Френч!$C$2:$C$28,0)),1,0),-1)</f>
        <v>-1</v>
      </c>
      <c r="J103">
        <f>IF(ISERROR(MATCH(J$1,Рекомы_Фама_Френч!$B$2:$B$28,0)),IF(ISERROR(MATCH(J$1,Рекомы_Фама_Френч!$C$2:$C$28,0)),1,0),-1)</f>
        <v>-1</v>
      </c>
      <c r="K103">
        <f>IF(ISERROR(MATCH(K$1,Рекомы_Фама_Френч!$B$2:$B$28,0)),IF(ISERROR(MATCH(K$1,Рекомы_Фама_Френч!$C$2:$C$28,0)),1,0),-1)</f>
        <v>0</v>
      </c>
      <c r="L103">
        <f>IF(ISERROR(MATCH(L$1,Рекомы_Фама_Френч!$B$2:$B$28,0)),IF(ISERROR(MATCH(L$1,Рекомы_Фама_Френч!$C$2:$C$28,0)),1,0),-1)</f>
        <v>1</v>
      </c>
      <c r="M103">
        <f>IF(ISERROR(MATCH(M$1,Рекомы_Фама_Френч!$B$2:$B$28,0)),IF(ISERROR(MATCH(M$1,Рекомы_Фама_Френч!$C$2:$C$28,0)),1,0),-1)</f>
        <v>-1</v>
      </c>
      <c r="N103">
        <f>IF(ISERROR(MATCH(N$1,Рекомы_Фама_Френч!$B$2:$B$28,0)),IF(ISERROR(MATCH(N$1,Рекомы_Фама_Френч!$C$2:$C$28,0)),1,0),-1)</f>
        <v>-1</v>
      </c>
      <c r="O103">
        <f>IF(ISERROR(MATCH(O$1,Рекомы_Фама_Френч!$B$2:$B$28,0)),IF(ISERROR(MATCH(O$1,Рекомы_Фама_Френч!$C$2:$C$28,0)),1,0),-1)</f>
        <v>-1</v>
      </c>
      <c r="P103">
        <f>IF(ISERROR(MATCH(P$1,Рекомы_Фама_Френч!$B$2:$B$28,0)),IF(ISERROR(MATCH(P$1,Рекомы_Фама_Френч!$C$2:$C$28,0)),1,0),-1)</f>
        <v>-1</v>
      </c>
      <c r="Q103">
        <f>IF(ISERROR(MATCH(Q$1,Рекомы_Фама_Френч!$B$2:$B$28,0)),IF(ISERROR(MATCH(Q$1,Рекомы_Фама_Френч!$C$2:$C$28,0)),1,0),-1)</f>
        <v>-1</v>
      </c>
      <c r="R103">
        <f>IF(ISERROR(MATCH(R$1,Рекомы_Фама_Френч!$B$2:$B$28,0)),IF(ISERROR(MATCH(R$1,Рекомы_Фама_Френч!$C$2:$C$28,0)),1,0),-1)</f>
        <v>-1</v>
      </c>
      <c r="S103">
        <f>IF(ISERROR(MATCH(S$1,Рекомы_Фама_Френч!$B$2:$B$28,0)),IF(ISERROR(MATCH(S$1,Рекомы_Фама_Френч!$C$2:$C$28,0)),1,0),-1)</f>
        <v>1</v>
      </c>
      <c r="T103">
        <f>IF(ISERROR(MATCH(T$1,Рекомы_Фама_Френч!$B$2:$B$28,0)),IF(ISERROR(MATCH(T$1,Рекомы_Фама_Френч!$C$2:$C$28,0)),1,0),-1)</f>
        <v>1</v>
      </c>
      <c r="U103">
        <f>IF(ISERROR(MATCH(U$1,Рекомы_Фама_Френч!$B$2:$B$28,0)),IF(ISERROR(MATCH(U$1,Рекомы_Фама_Френч!$C$2:$C$28,0)),1,0),-1)</f>
        <v>-1</v>
      </c>
      <c r="V103">
        <f>IF(ISERROR(MATCH(V$1,Рекомы_Фама_Френч!$B$2:$B$28,0)),IF(ISERROR(MATCH(V$1,Рекомы_Фама_Френч!$C$2:$C$28,0)),1,0),-1)</f>
        <v>-1</v>
      </c>
      <c r="W103">
        <f>IF(ISERROR(MATCH(W$1,Рекомы_Фама_Френч!$B$2:$B$28,0)),IF(ISERROR(MATCH(W$1,Рекомы_Фама_Френч!$C$2:$C$28,0)),1,0),-1)</f>
        <v>-1</v>
      </c>
      <c r="X103">
        <f>IF(ISERROR(MATCH(X$1,Рекомы_Фама_Френч!$B$2:$B$28,0)),IF(ISERROR(MATCH(X$1,Рекомы_Фама_Френч!$C$2:$C$28,0)),1,0),-1)</f>
        <v>-1</v>
      </c>
      <c r="Y103">
        <f>IF(ISERROR(MATCH(Y$1,Рекомы_Фама_Френч!$B$2:$B$28,0)),IF(ISERROR(MATCH(Y$1,Рекомы_Фама_Френч!$C$2:$C$28,0)),1,0),-1)</f>
        <v>-1</v>
      </c>
      <c r="Z103">
        <f>IF(ISERROR(MATCH(Z$1,Рекомы_Фама_Френч!$B$2:$B$28,0)),IF(ISERROR(MATCH(Z$1,Рекомы_Фама_Френч!$C$2:$C$28,0)),1,0),-1)</f>
        <v>-1</v>
      </c>
      <c r="AA103">
        <f>IF(ISERROR(MATCH(AA$1,Рекомы_Фама_Френч!$B$2:$B$28,0)),IF(ISERROR(MATCH(AA$1,Рекомы_Фама_Френч!$C$2:$C$28,0)),1,0),-1)</f>
        <v>-1</v>
      </c>
      <c r="AB103">
        <f>IF(ISERROR(MATCH(AB$1,Рекомы_Фама_Френч!$B$2:$B$28,0)),IF(ISERROR(MATCH(AB$1,Рекомы_Фама_Френч!$C$2:$C$28,0)),1,0),-1)</f>
        <v>-1</v>
      </c>
      <c r="AC103">
        <f>IF(ISERROR(MATCH(AC$1,Рекомы_Фама_Френч!$B$2:$B$28,0)),IF(ISERROR(MATCH(AC$1,Рекомы_Фама_Френч!$C$2:$C$28,0)),1,0),-1)</f>
        <v>1</v>
      </c>
      <c r="AD103">
        <f>IF(ISERROR(MATCH(AD$1,Рекомы_Фама_Френч!$B$2:$B$28,0)),IF(ISERROR(MATCH(AD$1,Рекомы_Фама_Френч!$C$2:$C$28,0)),1,0),-1)</f>
        <v>1</v>
      </c>
      <c r="AE103">
        <f>IF(ISERROR(MATCH(AE$1,Рекомы_Фама_Френч!$B$2:$B$28,0)),IF(ISERROR(MATCH(AE$1,Рекомы_Фама_Френч!$C$2:$C$28,0)),1,0),-1)</f>
        <v>1</v>
      </c>
      <c r="AF103">
        <f>IF(ISERROR(MATCH(AF$1,Рекомы_Фама_Френч!$B$2:$B$28,0)),IF(ISERROR(MATCH(AF$1,Рекомы_Фама_Френч!$C$2:$C$28,0)),1,0),-1)</f>
        <v>-1</v>
      </c>
      <c r="AG103">
        <f>IF(ISERROR(MATCH(AG$1,Рекомы_Фама_Френч!$B$2:$B$28,0)),IF(ISERROR(MATCH(AG$1,Рекомы_Фама_Френч!$C$2:$C$28,0)),1,0),-1)</f>
        <v>1</v>
      </c>
      <c r="AH103">
        <f>IF(ISERROR(MATCH(AH$1,Рекомы_Фама_Френч!$B$2:$B$28,0)),IF(ISERROR(MATCH(AH$1,Рекомы_Фама_Френч!$C$2:$C$28,0)),1,0),-1)</f>
        <v>-1</v>
      </c>
      <c r="AI103">
        <f>IF(ISERROR(MATCH(AI$1,Рекомы_Фама_Френч!$B$2:$B$28,0)),IF(ISERROR(MATCH(AI$1,Рекомы_Фама_Френч!$C$2:$C$28,0)),1,0),-1)</f>
        <v>1</v>
      </c>
      <c r="AJ103">
        <f>IF(ISERROR(MATCH(AJ$1,Рекомы_Фама_Френч!$B$2:$B$28,0)),IF(ISERROR(MATCH(AJ$1,Рекомы_Фама_Френч!$C$2:$C$28,0)),1,0),-1)</f>
        <v>-1</v>
      </c>
      <c r="AK103">
        <f>IF(ISERROR(MATCH(AK$1,Рекомы_Фама_Френч!$B$2:$B$28,0)),IF(ISERROR(MATCH(AK$1,Рекомы_Фама_Френч!$C$2:$C$28,0)),1,0),-1)</f>
        <v>0</v>
      </c>
      <c r="AL103">
        <f>IF(ISERROR(MATCH(AL$1,Рекомы_Фама_Френч!$B$2:$B$28,0)),IF(ISERROR(MATCH(AL$1,Рекомы_Фама_Френч!$C$2:$C$28,0)),1,0),-1)</f>
        <v>-1</v>
      </c>
      <c r="AM103">
        <f>IF(ISERROR(MATCH(AM$1,Рекомы_Фама_Френч!$B$2:$B$28,0)),IF(ISERROR(MATCH(AM$1,Рекомы_Фама_Френч!$C$2:$C$28,0)),1,0),-1)</f>
        <v>-1</v>
      </c>
      <c r="AN103">
        <f>IF(ISERROR(MATCH(AN$1,Рекомы_Фама_Френч!$B$2:$B$28,0)),IF(ISERROR(MATCH(AN$1,Рекомы_Фама_Френч!$C$2:$C$28,0)),1,0),-1)</f>
        <v>-1</v>
      </c>
      <c r="AO103">
        <f>IF(ISERROR(MATCH(AO$1,Рекомы_Фама_Френч!$B$2:$B$28,0)),IF(ISERROR(MATCH(AO$1,Рекомы_Фама_Френч!$C$2:$C$28,0)),1,0),-1)</f>
        <v>-1</v>
      </c>
      <c r="AP103">
        <f>IF(ISERROR(MATCH(AP$1,Рекомы_Фама_Френч!$B$2:$B$28,0)),IF(ISERROR(MATCH(AP$1,Рекомы_Фама_Френч!$C$2:$C$28,0)),1,0),-1)</f>
        <v>-1</v>
      </c>
      <c r="AQ103">
        <f>IF(ISERROR(MATCH(AQ$1,Рекомы_Фама_Френч!$B$2:$B$28,0)),IF(ISERROR(MATCH(AQ$1,Рекомы_Фама_Френч!$C$2:$C$28,0)),1,0),-1)</f>
        <v>-1</v>
      </c>
      <c r="AR103">
        <f>IF(ISERROR(MATCH(AR$1,Рекомы_Фама_Френч!$B$2:$B$28,0)),IF(ISERROR(MATCH(AR$1,Рекомы_Фама_Френч!$C$2:$C$28,0)),1,0),-1)</f>
        <v>-1</v>
      </c>
      <c r="AS103">
        <f>IF(ISERROR(MATCH(AS$1,Рекомы_Фама_Френч!$B$2:$B$28,0)),IF(ISERROR(MATCH(AS$1,Рекомы_Фама_Френч!$C$2:$C$28,0)),1,0),-1)</f>
        <v>0</v>
      </c>
      <c r="AT103">
        <f>IF(ISERROR(MATCH(AT$1,Рекомы_Фама_Френч!$B$2:$B$28,0)),IF(ISERROR(MATCH(AT$1,Рекомы_Фама_Френч!$C$2:$C$28,0)),1,0),-1)</f>
        <v>-1</v>
      </c>
      <c r="AU103">
        <f>IF(ISERROR(MATCH(AU$1,Рекомы_Фама_Френч!$B$2:$B$28,0)),IF(ISERROR(MATCH(AU$1,Рекомы_Фама_Френч!$C$2:$C$28,0)),1,0),-1)</f>
        <v>1</v>
      </c>
      <c r="AV103">
        <f>IF(ISERROR(MATCH(AV$1,Рекомы_Фама_Френч!$B$2:$B$28,0)),IF(ISERROR(MATCH(AV$1,Рекомы_Фама_Френч!$C$2:$C$28,0)),1,0),-1)</f>
        <v>1</v>
      </c>
    </row>
    <row r="104" spans="1:48" x14ac:dyDescent="0.2">
      <c r="A104" s="3" t="s">
        <v>56</v>
      </c>
      <c r="D104">
        <f>IF(ISERROR(MATCH(D$1,Рекомы_Лассо!$B$2:$B$27,0)),IF(ISERROR(MATCH(D$1,Рекомы_Лассо!$C$2:$C$27,0)),1,0),-1)</f>
        <v>1</v>
      </c>
      <c r="E104">
        <f>IF(ISERROR(MATCH(E$1,Рекомы_Лассо!$B$2:$B$27,0)),IF(ISERROR(MATCH(E$1,Рекомы_Лассо!$C$2:$C$27,0)),1,0),-1)</f>
        <v>1</v>
      </c>
      <c r="F104">
        <f>IF(ISERROR(MATCH(F$1,Рекомы_Лассо!$B$2:$B$27,0)),IF(ISERROR(MATCH(F$1,Рекомы_Лассо!$C$2:$C$27,0)),1,0),-1)</f>
        <v>-1</v>
      </c>
      <c r="G104">
        <f>IF(ISERROR(MATCH(G$1,Рекомы_Лассо!$B$2:$B$27,0)),IF(ISERROR(MATCH(G$1,Рекомы_Лассо!$C$2:$C$27,0)),1,0),-1)</f>
        <v>1</v>
      </c>
      <c r="H104">
        <f>IF(ISERROR(MATCH(H$1,Рекомы_Лассо!$B$2:$B$27,0)),IF(ISERROR(MATCH(H$1,Рекомы_Лассо!$C$2:$C$27,0)),1,0),-1)</f>
        <v>-1</v>
      </c>
      <c r="I104">
        <f>IF(ISERROR(MATCH(I$1,Рекомы_Лассо!$B$2:$B$27,0)),IF(ISERROR(MATCH(I$1,Рекомы_Лассо!$C$2:$C$27,0)),1,0),-1)</f>
        <v>-1</v>
      </c>
      <c r="J104">
        <f>IF(ISERROR(MATCH(J$1,Рекомы_Лассо!$B$2:$B$27,0)),IF(ISERROR(MATCH(J$1,Рекомы_Лассо!$C$2:$C$27,0)),1,0),-1)</f>
        <v>-1</v>
      </c>
      <c r="K104">
        <f>IF(ISERROR(MATCH(K$1,Рекомы_Лассо!$B$2:$B$27,0)),IF(ISERROR(MATCH(K$1,Рекомы_Лассо!$C$2:$C$27,0)),1,0),-1)</f>
        <v>1</v>
      </c>
      <c r="L104">
        <f>IF(ISERROR(MATCH(L$1,Рекомы_Лассо!$B$2:$B$27,0)),IF(ISERROR(MATCH(L$1,Рекомы_Лассо!$C$2:$C$27,0)),1,0),-1)</f>
        <v>1</v>
      </c>
      <c r="M104">
        <f>IF(ISERROR(MATCH(M$1,Рекомы_Лассо!$B$2:$B$27,0)),IF(ISERROR(MATCH(M$1,Рекомы_Лассо!$C$2:$C$27,0)),1,0),-1)</f>
        <v>-1</v>
      </c>
      <c r="N104">
        <f>IF(ISERROR(MATCH(N$1,Рекомы_Лассо!$B$2:$B$27,0)),IF(ISERROR(MATCH(N$1,Рекомы_Лассо!$C$2:$C$27,0)),1,0),-1)</f>
        <v>-1</v>
      </c>
      <c r="O104">
        <f>IF(ISERROR(MATCH(O$1,Рекомы_Лассо!$B$2:$B$27,0)),IF(ISERROR(MATCH(O$1,Рекомы_Лассо!$C$2:$C$27,0)),1,0),-1)</f>
        <v>1</v>
      </c>
      <c r="P104">
        <f>IF(ISERROR(MATCH(P$1,Рекомы_Лассо!$B$2:$B$27,0)),IF(ISERROR(MATCH(P$1,Рекомы_Лассо!$C$2:$C$27,0)),1,0),-1)</f>
        <v>-1</v>
      </c>
      <c r="Q104">
        <f>IF(ISERROR(MATCH(Q$1,Рекомы_Лассо!$B$2:$B$27,0)),IF(ISERROR(MATCH(Q$1,Рекомы_Лассо!$C$2:$C$27,0)),1,0),-1)</f>
        <v>-1</v>
      </c>
      <c r="R104">
        <f>IF(ISERROR(MATCH(R$1,Рекомы_Лассо!$B$2:$B$27,0)),IF(ISERROR(MATCH(R$1,Рекомы_Лассо!$C$2:$C$27,0)),1,0),-1)</f>
        <v>0</v>
      </c>
      <c r="S104">
        <f>IF(ISERROR(MATCH(S$1,Рекомы_Лассо!$B$2:$B$27,0)),IF(ISERROR(MATCH(S$1,Рекомы_Лассо!$C$2:$C$27,0)),1,0),-1)</f>
        <v>1</v>
      </c>
      <c r="T104">
        <f>IF(ISERROR(MATCH(T$1,Рекомы_Лассо!$B$2:$B$27,0)),IF(ISERROR(MATCH(T$1,Рекомы_Лассо!$C$2:$C$27,0)),1,0),-1)</f>
        <v>1</v>
      </c>
      <c r="U104">
        <f>IF(ISERROR(MATCH(U$1,Рекомы_Лассо!$B$2:$B$27,0)),IF(ISERROR(MATCH(U$1,Рекомы_Лассо!$C$2:$C$27,0)),1,0),-1)</f>
        <v>-1</v>
      </c>
      <c r="V104">
        <f>IF(ISERROR(MATCH(V$1,Рекомы_Лассо!$B$2:$B$27,0)),IF(ISERROR(MATCH(V$1,Рекомы_Лассо!$C$2:$C$27,0)),1,0),-1)</f>
        <v>-1</v>
      </c>
      <c r="W104">
        <f>IF(ISERROR(MATCH(W$1,Рекомы_Лассо!$B$2:$B$27,0)),IF(ISERROR(MATCH(W$1,Рекомы_Лассо!$C$2:$C$27,0)),1,0),-1)</f>
        <v>-1</v>
      </c>
      <c r="X104">
        <f>IF(ISERROR(MATCH(X$1,Рекомы_Лассо!$B$2:$B$27,0)),IF(ISERROR(MATCH(X$1,Рекомы_Лассо!$C$2:$C$27,0)),1,0),-1)</f>
        <v>-1</v>
      </c>
      <c r="Y104">
        <f>IF(ISERROR(MATCH(Y$1,Рекомы_Лассо!$B$2:$B$27,0)),IF(ISERROR(MATCH(Y$1,Рекомы_Лассо!$C$2:$C$27,0)),1,0),-1)</f>
        <v>-1</v>
      </c>
      <c r="Z104">
        <f>IF(ISERROR(MATCH(Z$1,Рекомы_Лассо!$B$2:$B$27,0)),IF(ISERROR(MATCH(Z$1,Рекомы_Лассо!$C$2:$C$27,0)),1,0),-1)</f>
        <v>-1</v>
      </c>
      <c r="AA104">
        <f>IF(ISERROR(MATCH(AA$1,Рекомы_Лассо!$B$2:$B$27,0)),IF(ISERROR(MATCH(AA$1,Рекомы_Лассо!$C$2:$C$27,0)),1,0),-1)</f>
        <v>-1</v>
      </c>
      <c r="AB104">
        <f>IF(ISERROR(MATCH(AB$1,Рекомы_Лассо!$B$2:$B$27,0)),IF(ISERROR(MATCH(AB$1,Рекомы_Лассо!$C$2:$C$27,0)),1,0),-1)</f>
        <v>1</v>
      </c>
      <c r="AC104">
        <f>IF(ISERROR(MATCH(AC$1,Рекомы_Лассо!$B$2:$B$27,0)),IF(ISERROR(MATCH(AC$1,Рекомы_Лассо!$C$2:$C$27,0)),1,0),-1)</f>
        <v>1</v>
      </c>
      <c r="AD104">
        <f>IF(ISERROR(MATCH(AD$1,Рекомы_Лассо!$B$2:$B$27,0)),IF(ISERROR(MATCH(AD$1,Рекомы_Лассо!$C$2:$C$27,0)),1,0),-1)</f>
        <v>1</v>
      </c>
      <c r="AE104">
        <f>IF(ISERROR(MATCH(AE$1,Рекомы_Лассо!$B$2:$B$27,0)),IF(ISERROR(MATCH(AE$1,Рекомы_Лассо!$C$2:$C$27,0)),1,0),-1)</f>
        <v>1</v>
      </c>
      <c r="AF104">
        <f>IF(ISERROR(MATCH(AF$1,Рекомы_Лассо!$B$2:$B$27,0)),IF(ISERROR(MATCH(AF$1,Рекомы_Лассо!$C$2:$C$27,0)),1,0),-1)</f>
        <v>1</v>
      </c>
      <c r="AG104">
        <f>IF(ISERROR(MATCH(AG$1,Рекомы_Лассо!$B$2:$B$27,0)),IF(ISERROR(MATCH(AG$1,Рекомы_Лассо!$C$2:$C$27,0)),1,0),-1)</f>
        <v>1</v>
      </c>
      <c r="AH104">
        <f>IF(ISERROR(MATCH(AH$1,Рекомы_Лассо!$B$2:$B$27,0)),IF(ISERROR(MATCH(AH$1,Рекомы_Лассо!$C$2:$C$27,0)),1,0),-1)</f>
        <v>-1</v>
      </c>
      <c r="AI104">
        <f>IF(ISERROR(MATCH(AI$1,Рекомы_Лассо!$B$2:$B$27,0)),IF(ISERROR(MATCH(AI$1,Рекомы_Лассо!$C$2:$C$27,0)),1,0),-1)</f>
        <v>1</v>
      </c>
      <c r="AJ104">
        <f>IF(ISERROR(MATCH(AJ$1,Рекомы_Лассо!$B$2:$B$27,0)),IF(ISERROR(MATCH(AJ$1,Рекомы_Лассо!$C$2:$C$27,0)),1,0),-1)</f>
        <v>-1</v>
      </c>
      <c r="AK104">
        <f>IF(ISERROR(MATCH(AK$1,Рекомы_Лассо!$B$2:$B$27,0)),IF(ISERROR(MATCH(AK$1,Рекомы_Лассо!$C$2:$C$27,0)),1,0),-1)</f>
        <v>-1</v>
      </c>
      <c r="AL104">
        <f>IF(ISERROR(MATCH(AL$1,Рекомы_Лассо!$B$2:$B$27,0)),IF(ISERROR(MATCH(AL$1,Рекомы_Лассо!$C$2:$C$27,0)),1,0),-1)</f>
        <v>-1</v>
      </c>
      <c r="AM104">
        <f>IF(ISERROR(MATCH(AM$1,Рекомы_Лассо!$B$2:$B$27,0)),IF(ISERROR(MATCH(AM$1,Рекомы_Лассо!$C$2:$C$27,0)),1,0),-1)</f>
        <v>-1</v>
      </c>
      <c r="AN104">
        <f>IF(ISERROR(MATCH(AN$1,Рекомы_Лассо!$B$2:$B$27,0)),IF(ISERROR(MATCH(AN$1,Рекомы_Лассо!$C$2:$C$27,0)),1,0),-1)</f>
        <v>1</v>
      </c>
      <c r="AO104">
        <f>IF(ISERROR(MATCH(AO$1,Рекомы_Лассо!$B$2:$B$27,0)),IF(ISERROR(MATCH(AO$1,Рекомы_Лассо!$C$2:$C$27,0)),1,0),-1)</f>
        <v>-1</v>
      </c>
      <c r="AP104">
        <f>IF(ISERROR(MATCH(AP$1,Рекомы_Лассо!$B$2:$B$27,0)),IF(ISERROR(MATCH(AP$1,Рекомы_Лассо!$C$2:$C$27,0)),1,0),-1)</f>
        <v>-1</v>
      </c>
      <c r="AQ104">
        <f>IF(ISERROR(MATCH(AQ$1,Рекомы_Лассо!$B$2:$B$27,0)),IF(ISERROR(MATCH(AQ$1,Рекомы_Лассо!$C$2:$C$27,0)),1,0),-1)</f>
        <v>-1</v>
      </c>
      <c r="AR104">
        <f>IF(ISERROR(MATCH(AR$1,Рекомы_Лассо!$B$2:$B$27,0)),IF(ISERROR(MATCH(AR$1,Рекомы_Лассо!$C$2:$C$27,0)),1,0),-1)</f>
        <v>-1</v>
      </c>
      <c r="AS104">
        <f>IF(ISERROR(MATCH(AS$1,Рекомы_Лассо!$B$2:$B$27,0)),IF(ISERROR(MATCH(AS$1,Рекомы_Лассо!$C$2:$C$27,0)),1,0),-1)</f>
        <v>1</v>
      </c>
      <c r="AT104">
        <f>IF(ISERROR(MATCH(AT$1,Рекомы_Лассо!$B$2:$B$27,0)),IF(ISERROR(MATCH(AT$1,Рекомы_Лассо!$C$2:$C$27,0)),1,0),-1)</f>
        <v>-1</v>
      </c>
      <c r="AU104">
        <f>IF(ISERROR(MATCH(AU$1,Рекомы_Лассо!$B$2:$B$27,0)),IF(ISERROR(MATCH(AU$1,Рекомы_Лассо!$C$2:$C$27,0)),1,0),-1)</f>
        <v>-1</v>
      </c>
      <c r="AV104">
        <f>IF(ISERROR(MATCH(AV$1,Рекомы_Лассо!$B$2:$B$27,0)),IF(ISERROR(MATCH(AV$1,Рекомы_Лассо!$C$2:$C$27,0)),1,0),-1)</f>
        <v>1</v>
      </c>
    </row>
    <row r="105" spans="1:48" x14ac:dyDescent="0.2">
      <c r="A105" s="3" t="s">
        <v>63</v>
      </c>
      <c r="D105">
        <f>cell_udf(D104,IF(Summary!$B$2="CAPM",D102,D103))</f>
        <v>6</v>
      </c>
      <c r="E105">
        <f>cell_udf(E104,IF(Summary!$B$2="CAPM",E102,E103))</f>
        <v>9</v>
      </c>
      <c r="F105">
        <f>cell_udf(F104,IF(Summary!$B$2="CAPM",F102,F103))</f>
        <v>4</v>
      </c>
      <c r="G105">
        <f>cell_udf(G104,IF(Summary!$B$2="CAPM",G102,G103))</f>
        <v>9</v>
      </c>
      <c r="H105">
        <f>cell_udf(H104,IF(Summary!$B$2="CAPM",H102,H103))</f>
        <v>7</v>
      </c>
      <c r="I105">
        <f>cell_udf(I104,IF(Summary!$B$2="CAPM",I102,I103))</f>
        <v>1</v>
      </c>
      <c r="J105">
        <f>cell_udf(J104,IF(Summary!$B$2="CAPM",J102,J103))</f>
        <v>1</v>
      </c>
      <c r="K105">
        <f>cell_udf(K104,IF(Summary!$B$2="CAPM",K102,K103))</f>
        <v>6</v>
      </c>
      <c r="L105">
        <f>cell_udf(L104,IF(Summary!$B$2="CAPM",L102,L103))</f>
        <v>9</v>
      </c>
      <c r="M105">
        <f>cell_udf(M104,IF(Summary!$B$2="CAPM",M102,M103))</f>
        <v>1</v>
      </c>
      <c r="N105">
        <f>cell_udf(N104,IF(Summary!$B$2="CAPM",N102,N103))</f>
        <v>1</v>
      </c>
      <c r="O105">
        <f>cell_udf(O104,IF(Summary!$B$2="CAPM",O102,O103))</f>
        <v>3</v>
      </c>
      <c r="P105">
        <f>cell_udf(P104,IF(Summary!$B$2="CAPM",P102,P103))</f>
        <v>1</v>
      </c>
      <c r="Q105">
        <f>cell_udf(Q104,IF(Summary!$B$2="CAPM",Q102,Q103))</f>
        <v>1</v>
      </c>
      <c r="R105">
        <f>cell_udf(R104,IF(Summary!$B$2="CAPM",R102,R103))</f>
        <v>2</v>
      </c>
      <c r="S105">
        <f>cell_udf(S104,IF(Summary!$B$2="CAPM",S102,S103))</f>
        <v>9</v>
      </c>
      <c r="T105">
        <f>cell_udf(T104,IF(Summary!$B$2="CAPM",T102,T103))</f>
        <v>9</v>
      </c>
      <c r="U105">
        <f>cell_udf(U104,IF(Summary!$B$2="CAPM",U102,U103))</f>
        <v>1</v>
      </c>
      <c r="V105">
        <f>cell_udf(V104,IF(Summary!$B$2="CAPM",V102,V103))</f>
        <v>1</v>
      </c>
      <c r="W105">
        <f>cell_udf(W104,IF(Summary!$B$2="CAPM",W102,W103))</f>
        <v>1</v>
      </c>
      <c r="X105">
        <f>cell_udf(X104,IF(Summary!$B$2="CAPM",X102,X103))</f>
        <v>1</v>
      </c>
      <c r="Y105">
        <f>cell_udf(Y104,IF(Summary!$B$2="CAPM",Y102,Y103))</f>
        <v>1</v>
      </c>
      <c r="Z105">
        <f>cell_udf(Z104,IF(Summary!$B$2="CAPM",Z102,Z103))</f>
        <v>1</v>
      </c>
      <c r="AA105">
        <f>cell_udf(AA104,IF(Summary!$B$2="CAPM",AA102,AA103))</f>
        <v>1</v>
      </c>
      <c r="AB105">
        <f>cell_udf(AB104,IF(Summary!$B$2="CAPM",AB102,AB103))</f>
        <v>3</v>
      </c>
      <c r="AC105">
        <f>cell_udf(AC104,IF(Summary!$B$2="CAPM",AC102,AC103))</f>
        <v>9</v>
      </c>
      <c r="AD105">
        <f>cell_udf(AD104,IF(Summary!$B$2="CAPM",AD102,AD103))</f>
        <v>9</v>
      </c>
      <c r="AE105">
        <f>cell_udf(AE104,IF(Summary!$B$2="CAPM",AE102,AE103))</f>
        <v>9</v>
      </c>
      <c r="AF105">
        <f>cell_udf(AF104,IF(Summary!$B$2="CAPM",AF102,AF103))</f>
        <v>3</v>
      </c>
      <c r="AG105">
        <f>cell_udf(AG104,IF(Summary!$B$2="CAPM",AG102,AG103))</f>
        <v>9</v>
      </c>
      <c r="AH105">
        <f>cell_udf(AH104,IF(Summary!$B$2="CAPM",AH102,AH103))</f>
        <v>1</v>
      </c>
      <c r="AI105">
        <f>cell_udf(AI104,IF(Summary!$B$2="CAPM",AI102,AI103))</f>
        <v>9</v>
      </c>
      <c r="AJ105">
        <f>cell_udf(AJ104,IF(Summary!$B$2="CAPM",AJ102,AJ103))</f>
        <v>1</v>
      </c>
      <c r="AK105">
        <f>cell_udf(AK104,IF(Summary!$B$2="CAPM",AK102,AK103))</f>
        <v>4</v>
      </c>
      <c r="AL105">
        <f>cell_udf(AL104,IF(Summary!$B$2="CAPM",AL102,AL103))</f>
        <v>1</v>
      </c>
      <c r="AM105">
        <f>cell_udf(AM104,IF(Summary!$B$2="CAPM",AM102,AM103))</f>
        <v>1</v>
      </c>
      <c r="AN105">
        <f>cell_udf(AN104,IF(Summary!$B$2="CAPM",AN102,AN103))</f>
        <v>3</v>
      </c>
      <c r="AO105">
        <f>cell_udf(AO104,IF(Summary!$B$2="CAPM",AO102,AO103))</f>
        <v>1</v>
      </c>
      <c r="AP105">
        <f>cell_udf(AP104,IF(Summary!$B$2="CAPM",AP102,AP103))</f>
        <v>1</v>
      </c>
      <c r="AQ105">
        <f>cell_udf(AQ104,IF(Summary!$B$2="CAPM",AQ102,AQ103))</f>
        <v>1</v>
      </c>
      <c r="AR105">
        <f>cell_udf(AR104,IF(Summary!$B$2="CAPM",AR102,AR103))</f>
        <v>1</v>
      </c>
      <c r="AS105">
        <f>cell_udf(AS104,IF(Summary!$B$2="CAPM",AS102,AS103))</f>
        <v>6</v>
      </c>
      <c r="AT105">
        <f>cell_udf(AT104,IF(Summary!$B$2="CAPM",AT102,AT103))</f>
        <v>1</v>
      </c>
      <c r="AU105">
        <f>cell_udf(AU104,IF(Summary!$B$2="CAPM",AU102,AU103))</f>
        <v>7</v>
      </c>
      <c r="AV105">
        <f>cell_udf(AV104,IF(Summary!$B$2="CAPM",AV102,AV103))</f>
        <v>9</v>
      </c>
    </row>
    <row r="106" spans="1:48" x14ac:dyDescent="0.2">
      <c r="D106" s="11">
        <f>(SUMIF(D105:AV105,9,D3:AV3)/COUNTIF(D105:AT105,1))</f>
        <v>-1.2343102247053704E-3</v>
      </c>
    </row>
    <row r="107" spans="1:48" x14ac:dyDescent="0.2">
      <c r="D107" s="12">
        <f>SUMIFS(D3:AV3,D105:AV105,1)</f>
        <v>-6.9981494332111895E-3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0"/>
  <sheetViews>
    <sheetView workbookViewId="0">
      <selection activeCell="F27" sqref="F27"/>
    </sheetView>
  </sheetViews>
  <sheetFormatPr baseColWidth="10" defaultColWidth="8.83203125" defaultRowHeight="15" x14ac:dyDescent="0.2"/>
  <sheetData>
    <row r="1" spans="1:4" x14ac:dyDescent="0.2">
      <c r="B1" s="1" t="s">
        <v>51</v>
      </c>
      <c r="C1" s="1" t="s">
        <v>50</v>
      </c>
      <c r="D1" s="1" t="s">
        <v>49</v>
      </c>
    </row>
    <row r="2" spans="1:4" x14ac:dyDescent="0.2">
      <c r="A2" s="1">
        <v>0</v>
      </c>
      <c r="B2" t="s">
        <v>5</v>
      </c>
      <c r="C2" t="s">
        <v>0</v>
      </c>
      <c r="D2" t="s">
        <v>1</v>
      </c>
    </row>
    <row r="3" spans="1:4" x14ac:dyDescent="0.2">
      <c r="A3" s="1">
        <v>1</v>
      </c>
      <c r="B3" t="s">
        <v>7</v>
      </c>
      <c r="C3" t="s">
        <v>2</v>
      </c>
      <c r="D3" t="s">
        <v>3</v>
      </c>
    </row>
    <row r="4" spans="1:4" x14ac:dyDescent="0.2">
      <c r="A4" s="1">
        <v>2</v>
      </c>
      <c r="B4" t="s">
        <v>10</v>
      </c>
      <c r="C4" t="s">
        <v>35</v>
      </c>
      <c r="D4" t="s">
        <v>4</v>
      </c>
    </row>
    <row r="5" spans="1:4" x14ac:dyDescent="0.2">
      <c r="A5" s="1">
        <v>3</v>
      </c>
      <c r="B5" t="s">
        <v>11</v>
      </c>
      <c r="D5" t="s">
        <v>8</v>
      </c>
    </row>
    <row r="6" spans="1:4" x14ac:dyDescent="0.2">
      <c r="A6" s="1">
        <v>4</v>
      </c>
      <c r="B6" t="s">
        <v>12</v>
      </c>
      <c r="D6" t="s">
        <v>9</v>
      </c>
    </row>
    <row r="7" spans="1:4" x14ac:dyDescent="0.2">
      <c r="A7" s="1">
        <v>5</v>
      </c>
      <c r="B7" t="s">
        <v>13</v>
      </c>
      <c r="D7" t="s">
        <v>16</v>
      </c>
    </row>
    <row r="8" spans="1:4" x14ac:dyDescent="0.2">
      <c r="A8" s="1">
        <v>6</v>
      </c>
      <c r="B8" t="s">
        <v>14</v>
      </c>
      <c r="D8" t="s">
        <v>17</v>
      </c>
    </row>
    <row r="9" spans="1:4" x14ac:dyDescent="0.2">
      <c r="A9" s="1">
        <v>7</v>
      </c>
      <c r="B9" t="s">
        <v>15</v>
      </c>
      <c r="D9" t="s">
        <v>27</v>
      </c>
    </row>
    <row r="10" spans="1:4" x14ac:dyDescent="0.2">
      <c r="A10" s="1">
        <v>8</v>
      </c>
      <c r="B10" t="s">
        <v>18</v>
      </c>
      <c r="D10" t="s">
        <v>28</v>
      </c>
    </row>
    <row r="11" spans="1:4" x14ac:dyDescent="0.2">
      <c r="A11" s="1">
        <v>9</v>
      </c>
      <c r="B11" t="s">
        <v>19</v>
      </c>
      <c r="D11" t="s">
        <v>29</v>
      </c>
    </row>
    <row r="12" spans="1:4" x14ac:dyDescent="0.2">
      <c r="A12" s="1">
        <v>10</v>
      </c>
      <c r="B12" t="s">
        <v>20</v>
      </c>
      <c r="D12" t="s">
        <v>31</v>
      </c>
    </row>
    <row r="13" spans="1:4" x14ac:dyDescent="0.2">
      <c r="A13" s="1">
        <v>11</v>
      </c>
      <c r="B13" t="s">
        <v>21</v>
      </c>
      <c r="D13" t="s">
        <v>33</v>
      </c>
    </row>
    <row r="14" spans="1:4" x14ac:dyDescent="0.2">
      <c r="A14" s="1">
        <v>12</v>
      </c>
      <c r="B14" t="s">
        <v>22</v>
      </c>
      <c r="D14" t="s">
        <v>44</v>
      </c>
    </row>
    <row r="15" spans="1:4" x14ac:dyDescent="0.2">
      <c r="A15" s="1">
        <v>13</v>
      </c>
      <c r="B15" t="s">
        <v>23</v>
      </c>
    </row>
    <row r="16" spans="1:4" x14ac:dyDescent="0.2">
      <c r="A16" s="1">
        <v>14</v>
      </c>
      <c r="B16" t="s">
        <v>24</v>
      </c>
    </row>
    <row r="17" spans="1:2" x14ac:dyDescent="0.2">
      <c r="A17" s="1">
        <v>15</v>
      </c>
      <c r="B17" t="s">
        <v>25</v>
      </c>
    </row>
    <row r="18" spans="1:2" x14ac:dyDescent="0.2">
      <c r="A18" s="1">
        <v>16</v>
      </c>
      <c r="B18" t="s">
        <v>30</v>
      </c>
    </row>
    <row r="19" spans="1:2" x14ac:dyDescent="0.2">
      <c r="A19" s="1">
        <v>17</v>
      </c>
      <c r="B19" t="s">
        <v>32</v>
      </c>
    </row>
    <row r="20" spans="1:2" x14ac:dyDescent="0.2">
      <c r="A20" s="1">
        <v>18</v>
      </c>
      <c r="B20" t="s">
        <v>34</v>
      </c>
    </row>
    <row r="21" spans="1:2" x14ac:dyDescent="0.2">
      <c r="A21" s="1">
        <v>19</v>
      </c>
      <c r="B21" t="s">
        <v>36</v>
      </c>
    </row>
    <row r="22" spans="1:2" x14ac:dyDescent="0.2">
      <c r="A22" s="1">
        <v>20</v>
      </c>
      <c r="B22" t="s">
        <v>37</v>
      </c>
    </row>
    <row r="23" spans="1:2" x14ac:dyDescent="0.2">
      <c r="A23" s="1">
        <v>21</v>
      </c>
      <c r="B23" t="s">
        <v>38</v>
      </c>
    </row>
    <row r="24" spans="1:2" x14ac:dyDescent="0.2">
      <c r="A24" s="1">
        <v>22</v>
      </c>
      <c r="B24" t="s">
        <v>39</v>
      </c>
    </row>
    <row r="25" spans="1:2" x14ac:dyDescent="0.2">
      <c r="A25" s="1">
        <v>23</v>
      </c>
      <c r="B25" t="s">
        <v>40</v>
      </c>
    </row>
    <row r="26" spans="1:2" x14ac:dyDescent="0.2">
      <c r="A26" s="1">
        <v>24</v>
      </c>
      <c r="B26" t="s">
        <v>41</v>
      </c>
    </row>
    <row r="27" spans="1:2" x14ac:dyDescent="0.2">
      <c r="A27" s="1">
        <v>25</v>
      </c>
      <c r="B27" t="s">
        <v>42</v>
      </c>
    </row>
    <row r="28" spans="1:2" x14ac:dyDescent="0.2">
      <c r="A28" s="1">
        <v>26</v>
      </c>
      <c r="B28" t="s">
        <v>45</v>
      </c>
    </row>
    <row r="29" spans="1:2" x14ac:dyDescent="0.2">
      <c r="A29" s="1">
        <v>27</v>
      </c>
      <c r="B29" t="s">
        <v>46</v>
      </c>
    </row>
    <row r="30" spans="1:2" x14ac:dyDescent="0.2">
      <c r="A30" s="1">
        <v>28</v>
      </c>
      <c r="B30" t="s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30"/>
  <sheetViews>
    <sheetView workbookViewId="0">
      <selection activeCell="C28" sqref="C28"/>
    </sheetView>
  </sheetViews>
  <sheetFormatPr baseColWidth="10" defaultColWidth="8.83203125" defaultRowHeight="15" x14ac:dyDescent="0.2"/>
  <sheetData>
    <row r="1" spans="1:4" x14ac:dyDescent="0.2">
      <c r="B1" s="1" t="s">
        <v>51</v>
      </c>
      <c r="C1" s="1" t="s">
        <v>50</v>
      </c>
      <c r="D1" s="1" t="s">
        <v>49</v>
      </c>
    </row>
    <row r="2" spans="1:4" x14ac:dyDescent="0.2">
      <c r="A2" s="1">
        <v>0</v>
      </c>
      <c r="B2" t="s">
        <v>5</v>
      </c>
      <c r="C2" t="s">
        <v>0</v>
      </c>
      <c r="D2" t="s">
        <v>1</v>
      </c>
    </row>
    <row r="3" spans="1:4" x14ac:dyDescent="0.2">
      <c r="A3" s="1">
        <v>1</v>
      </c>
      <c r="B3" t="s">
        <v>7</v>
      </c>
      <c r="C3" t="s">
        <v>2</v>
      </c>
      <c r="D3" t="s">
        <v>3</v>
      </c>
    </row>
    <row r="4" spans="1:4" x14ac:dyDescent="0.2">
      <c r="A4" s="1">
        <v>2</v>
      </c>
      <c r="B4" t="s">
        <v>10</v>
      </c>
      <c r="C4" t="s">
        <v>8</v>
      </c>
      <c r="D4" t="s">
        <v>4</v>
      </c>
    </row>
    <row r="5" spans="1:4" x14ac:dyDescent="0.2">
      <c r="A5" s="1">
        <v>3</v>
      </c>
      <c r="B5" t="s">
        <v>11</v>
      </c>
      <c r="C5" t="s">
        <v>35</v>
      </c>
      <c r="D5" t="s">
        <v>9</v>
      </c>
    </row>
    <row r="6" spans="1:4" x14ac:dyDescent="0.2">
      <c r="A6" s="1">
        <v>4</v>
      </c>
      <c r="B6" t="s">
        <v>12</v>
      </c>
      <c r="C6" t="s">
        <v>44</v>
      </c>
      <c r="D6" t="s">
        <v>16</v>
      </c>
    </row>
    <row r="7" spans="1:4" x14ac:dyDescent="0.2">
      <c r="A7" s="1">
        <v>5</v>
      </c>
      <c r="B7" t="s">
        <v>13</v>
      </c>
      <c r="D7" t="s">
        <v>17</v>
      </c>
    </row>
    <row r="8" spans="1:4" x14ac:dyDescent="0.2">
      <c r="A8" s="1">
        <v>6</v>
      </c>
      <c r="B8" t="s">
        <v>14</v>
      </c>
      <c r="D8" t="s">
        <v>27</v>
      </c>
    </row>
    <row r="9" spans="1:4" x14ac:dyDescent="0.2">
      <c r="A9" s="1">
        <v>7</v>
      </c>
      <c r="B9" t="s">
        <v>15</v>
      </c>
      <c r="D9" t="s">
        <v>28</v>
      </c>
    </row>
    <row r="10" spans="1:4" x14ac:dyDescent="0.2">
      <c r="A10" s="1">
        <v>8</v>
      </c>
      <c r="B10" t="s">
        <v>18</v>
      </c>
      <c r="D10" t="s">
        <v>29</v>
      </c>
    </row>
    <row r="11" spans="1:4" x14ac:dyDescent="0.2">
      <c r="A11" s="1">
        <v>9</v>
      </c>
      <c r="B11" t="s">
        <v>19</v>
      </c>
      <c r="D11" t="s">
        <v>31</v>
      </c>
    </row>
    <row r="12" spans="1:4" x14ac:dyDescent="0.2">
      <c r="A12" s="1">
        <v>10</v>
      </c>
      <c r="B12" t="s">
        <v>20</v>
      </c>
      <c r="D12" t="s">
        <v>33</v>
      </c>
    </row>
    <row r="13" spans="1:4" x14ac:dyDescent="0.2">
      <c r="A13" s="1">
        <v>11</v>
      </c>
      <c r="B13" t="s">
        <v>21</v>
      </c>
    </row>
    <row r="14" spans="1:4" x14ac:dyDescent="0.2">
      <c r="A14" s="1">
        <v>12</v>
      </c>
      <c r="B14" t="s">
        <v>22</v>
      </c>
    </row>
    <row r="15" spans="1:4" x14ac:dyDescent="0.2">
      <c r="A15" s="1">
        <v>13</v>
      </c>
      <c r="B15" t="s">
        <v>23</v>
      </c>
    </row>
    <row r="16" spans="1:4" x14ac:dyDescent="0.2">
      <c r="A16" s="1">
        <v>14</v>
      </c>
      <c r="B16" t="s">
        <v>24</v>
      </c>
    </row>
    <row r="17" spans="1:2" x14ac:dyDescent="0.2">
      <c r="A17" s="1">
        <v>15</v>
      </c>
      <c r="B17" t="s">
        <v>25</v>
      </c>
    </row>
    <row r="18" spans="1:2" x14ac:dyDescent="0.2">
      <c r="A18" s="1">
        <v>16</v>
      </c>
      <c r="B18" t="s">
        <v>30</v>
      </c>
    </row>
    <row r="19" spans="1:2" x14ac:dyDescent="0.2">
      <c r="A19" s="1">
        <v>17</v>
      </c>
      <c r="B19" t="s">
        <v>32</v>
      </c>
    </row>
    <row r="20" spans="1:2" x14ac:dyDescent="0.2">
      <c r="A20" s="1">
        <v>18</v>
      </c>
      <c r="B20" t="s">
        <v>34</v>
      </c>
    </row>
    <row r="21" spans="1:2" x14ac:dyDescent="0.2">
      <c r="A21" s="1">
        <v>19</v>
      </c>
      <c r="B21" t="s">
        <v>36</v>
      </c>
    </row>
    <row r="22" spans="1:2" x14ac:dyDescent="0.2">
      <c r="A22" s="1">
        <v>20</v>
      </c>
      <c r="B22" t="s">
        <v>37</v>
      </c>
    </row>
    <row r="23" spans="1:2" x14ac:dyDescent="0.2">
      <c r="A23" s="1">
        <v>21</v>
      </c>
      <c r="B23" t="s">
        <v>38</v>
      </c>
    </row>
    <row r="24" spans="1:2" x14ac:dyDescent="0.2">
      <c r="A24" s="1">
        <v>22</v>
      </c>
      <c r="B24" t="s">
        <v>39</v>
      </c>
    </row>
    <row r="25" spans="1:2" x14ac:dyDescent="0.2">
      <c r="A25" s="1">
        <v>23</v>
      </c>
      <c r="B25" t="s">
        <v>40</v>
      </c>
    </row>
    <row r="26" spans="1:2" x14ac:dyDescent="0.2">
      <c r="A26" s="1">
        <v>24</v>
      </c>
      <c r="B26" t="s">
        <v>41</v>
      </c>
    </row>
    <row r="27" spans="1:2" x14ac:dyDescent="0.2">
      <c r="A27" s="1">
        <v>25</v>
      </c>
      <c r="B27" t="s">
        <v>42</v>
      </c>
    </row>
    <row r="28" spans="1:2" x14ac:dyDescent="0.2">
      <c r="A28" s="1">
        <v>26</v>
      </c>
      <c r="B28" t="s">
        <v>45</v>
      </c>
    </row>
    <row r="29" spans="1:2" x14ac:dyDescent="0.2">
      <c r="A29" s="1">
        <v>27</v>
      </c>
      <c r="B29" t="s">
        <v>46</v>
      </c>
    </row>
    <row r="30" spans="1:2" x14ac:dyDescent="0.2">
      <c r="A30" s="1">
        <v>28</v>
      </c>
      <c r="B30" t="s">
        <v>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8"/>
  <sheetViews>
    <sheetView workbookViewId="0">
      <selection activeCell="D22" sqref="D22"/>
    </sheetView>
  </sheetViews>
  <sheetFormatPr baseColWidth="10" defaultColWidth="8.83203125" defaultRowHeight="15" x14ac:dyDescent="0.2"/>
  <sheetData>
    <row r="1" spans="1:4" x14ac:dyDescent="0.2">
      <c r="B1" s="1" t="s">
        <v>51</v>
      </c>
      <c r="C1" s="1" t="s">
        <v>50</v>
      </c>
      <c r="D1" s="1" t="s">
        <v>49</v>
      </c>
    </row>
    <row r="2" spans="1:4" x14ac:dyDescent="0.2">
      <c r="A2" s="1">
        <v>0</v>
      </c>
      <c r="B2" t="s">
        <v>2</v>
      </c>
      <c r="C2" t="s">
        <v>15</v>
      </c>
      <c r="D2" t="s">
        <v>0</v>
      </c>
    </row>
    <row r="3" spans="1:4" x14ac:dyDescent="0.2">
      <c r="A3" s="1">
        <v>1</v>
      </c>
      <c r="B3" t="s">
        <v>4</v>
      </c>
      <c r="D3" t="s">
        <v>1</v>
      </c>
    </row>
    <row r="4" spans="1:4" x14ac:dyDescent="0.2">
      <c r="A4" s="1">
        <v>2</v>
      </c>
      <c r="B4" t="s">
        <v>5</v>
      </c>
      <c r="D4" t="s">
        <v>3</v>
      </c>
    </row>
    <row r="5" spans="1:4" x14ac:dyDescent="0.2">
      <c r="A5" s="1">
        <v>3</v>
      </c>
      <c r="B5" t="s">
        <v>7</v>
      </c>
      <c r="D5" t="s">
        <v>8</v>
      </c>
    </row>
    <row r="6" spans="1:4" x14ac:dyDescent="0.2">
      <c r="A6" s="1">
        <v>4</v>
      </c>
      <c r="B6" t="s">
        <v>10</v>
      </c>
      <c r="D6" t="s">
        <v>9</v>
      </c>
    </row>
    <row r="7" spans="1:4" x14ac:dyDescent="0.2">
      <c r="A7" s="1">
        <v>5</v>
      </c>
      <c r="B7" t="s">
        <v>11</v>
      </c>
      <c r="D7" t="s">
        <v>12</v>
      </c>
    </row>
    <row r="8" spans="1:4" x14ac:dyDescent="0.2">
      <c r="A8" s="1">
        <v>6</v>
      </c>
      <c r="B8" t="s">
        <v>13</v>
      </c>
      <c r="D8" t="s">
        <v>16</v>
      </c>
    </row>
    <row r="9" spans="1:4" x14ac:dyDescent="0.2">
      <c r="A9" s="1">
        <v>7</v>
      </c>
      <c r="B9" t="s">
        <v>14</v>
      </c>
      <c r="D9" t="s">
        <v>17</v>
      </c>
    </row>
    <row r="10" spans="1:4" x14ac:dyDescent="0.2">
      <c r="A10" s="1">
        <v>8</v>
      </c>
      <c r="B10" t="s">
        <v>18</v>
      </c>
      <c r="D10" t="s">
        <v>25</v>
      </c>
    </row>
    <row r="11" spans="1:4" x14ac:dyDescent="0.2">
      <c r="A11" s="1">
        <v>9</v>
      </c>
      <c r="B11" t="s">
        <v>19</v>
      </c>
      <c r="D11" t="s">
        <v>27</v>
      </c>
    </row>
    <row r="12" spans="1:4" x14ac:dyDescent="0.2">
      <c r="A12" s="1">
        <v>10</v>
      </c>
      <c r="B12" t="s">
        <v>20</v>
      </c>
      <c r="D12" t="s">
        <v>28</v>
      </c>
    </row>
    <row r="13" spans="1:4" x14ac:dyDescent="0.2">
      <c r="A13" s="1">
        <v>11</v>
      </c>
      <c r="B13" t="s">
        <v>21</v>
      </c>
      <c r="D13" t="s">
        <v>29</v>
      </c>
    </row>
    <row r="14" spans="1:4" x14ac:dyDescent="0.2">
      <c r="A14" s="1">
        <v>12</v>
      </c>
      <c r="B14" t="s">
        <v>22</v>
      </c>
      <c r="D14" t="s">
        <v>30</v>
      </c>
    </row>
    <row r="15" spans="1:4" x14ac:dyDescent="0.2">
      <c r="A15" s="1">
        <v>13</v>
      </c>
      <c r="B15" t="s">
        <v>23</v>
      </c>
      <c r="D15" t="s">
        <v>31</v>
      </c>
    </row>
    <row r="16" spans="1:4" x14ac:dyDescent="0.2">
      <c r="A16" s="1">
        <v>14</v>
      </c>
      <c r="B16" t="s">
        <v>24</v>
      </c>
      <c r="D16" t="s">
        <v>33</v>
      </c>
    </row>
    <row r="17" spans="1:4" x14ac:dyDescent="0.2">
      <c r="A17" s="1">
        <v>15</v>
      </c>
      <c r="B17" t="s">
        <v>32</v>
      </c>
      <c r="D17" t="s">
        <v>38</v>
      </c>
    </row>
    <row r="18" spans="1:4" x14ac:dyDescent="0.2">
      <c r="A18" s="1">
        <v>16</v>
      </c>
      <c r="B18" t="s">
        <v>34</v>
      </c>
      <c r="D18" t="s">
        <v>44</v>
      </c>
    </row>
    <row r="19" spans="1:4" x14ac:dyDescent="0.2">
      <c r="A19" s="1">
        <v>17</v>
      </c>
      <c r="B19" t="s">
        <v>35</v>
      </c>
    </row>
    <row r="20" spans="1:4" x14ac:dyDescent="0.2">
      <c r="A20" s="1">
        <v>18</v>
      </c>
      <c r="B20" t="s">
        <v>36</v>
      </c>
    </row>
    <row r="21" spans="1:4" x14ac:dyDescent="0.2">
      <c r="A21" s="1">
        <v>19</v>
      </c>
      <c r="B21" t="s">
        <v>37</v>
      </c>
    </row>
    <row r="22" spans="1:4" x14ac:dyDescent="0.2">
      <c r="A22" s="1">
        <v>20</v>
      </c>
      <c r="B22" t="s">
        <v>39</v>
      </c>
    </row>
    <row r="23" spans="1:4" x14ac:dyDescent="0.2">
      <c r="A23" s="1">
        <v>21</v>
      </c>
      <c r="B23" t="s">
        <v>40</v>
      </c>
    </row>
    <row r="24" spans="1:4" x14ac:dyDescent="0.2">
      <c r="A24" s="1">
        <v>22</v>
      </c>
      <c r="B24" t="s">
        <v>41</v>
      </c>
    </row>
    <row r="25" spans="1:4" x14ac:dyDescent="0.2">
      <c r="A25" s="1">
        <v>23</v>
      </c>
      <c r="B25" t="s">
        <v>42</v>
      </c>
    </row>
    <row r="26" spans="1:4" x14ac:dyDescent="0.2">
      <c r="A26" s="1">
        <v>24</v>
      </c>
      <c r="B26" t="s">
        <v>45</v>
      </c>
    </row>
    <row r="27" spans="1:4" x14ac:dyDescent="0.2">
      <c r="A27" s="1">
        <v>25</v>
      </c>
      <c r="B27" t="s">
        <v>46</v>
      </c>
    </row>
    <row r="28" spans="1:4" x14ac:dyDescent="0.2">
      <c r="A28" s="1">
        <v>26</v>
      </c>
      <c r="B28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Summary</vt:lpstr>
      <vt:lpstr>Цены</vt:lpstr>
      <vt:lpstr>Доходности</vt:lpstr>
      <vt:lpstr>Рекомы_CAPM</vt:lpstr>
      <vt:lpstr>Рекомы_Фама_Френч</vt:lpstr>
      <vt:lpstr>Рекомы_Лассо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alise</dc:creator>
  <cp:lastModifiedBy>14170114 Петраков Сергей Денисович</cp:lastModifiedBy>
  <dcterms:created xsi:type="dcterms:W3CDTF">2021-05-02T15:47:38Z</dcterms:created>
  <dcterms:modified xsi:type="dcterms:W3CDTF">2021-05-06T18:42:34Z</dcterms:modified>
</cp:coreProperties>
</file>